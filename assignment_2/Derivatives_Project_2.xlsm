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ilyes\Desktop\FinalWork\"/>
    </mc:Choice>
  </mc:AlternateContent>
  <xr:revisionPtr revIDLastSave="0" documentId="8_{CB5E4526-A2CB-48DB-9C79-FA7C99395794}" xr6:coauthVersionLast="47" xr6:coauthVersionMax="47" xr10:uidLastSave="{00000000-0000-0000-0000-000000000000}"/>
  <bookViews>
    <workbookView xWindow="-108" yWindow="-108" windowWidth="23256" windowHeight="12576" tabRatio="700" xr2:uid="{00000000-000D-0000-FFFF-FFFF00000000}"/>
  </bookViews>
  <sheets>
    <sheet name="ReadMe" sheetId="14" r:id="rId1"/>
    <sheet name="ReadMe_old" sheetId="1" state="hidden" r:id="rId2"/>
    <sheet name="Inputs" sheetId="2" r:id="rId3"/>
    <sheet name="BinomialModel" sheetId="12" r:id="rId4"/>
    <sheet name="BinomialModel_VBA" sheetId="13" state="hidden" r:id="rId5"/>
    <sheet name="MC" sheetId="11" r:id="rId6"/>
    <sheet name="Black&amp;Scholes" sheetId="5" state="hidden" r:id="rId7"/>
    <sheet name="Airbus - Market Data" sheetId="8" r:id="rId8"/>
    <sheet name="Current Market Data" sheetId="10" r:id="rId9"/>
    <sheet name="Aux" sheetId="7" state="hidden" r:id="rId10"/>
  </sheets>
  <functionGroups builtInGroupCount="19"/>
  <externalReferences>
    <externalReference r:id="rId11"/>
  </externalReferences>
  <definedNames>
    <definedName name="_xlchart.v1.0" hidden="1">MC!$B$10:$B$1009</definedName>
    <definedName name="_xlchart.v1.1" hidden="1">MC!$B$9</definedName>
    <definedName name="average_price">'Current Market Data'!$D$5</definedName>
    <definedName name="bs_option_type" localSheetId="0">[1]Inputs!$B$4</definedName>
    <definedName name="bs_option_type">Inputs!$B$4</definedName>
    <definedName name="d_1" localSheetId="2">#REF!</definedName>
    <definedName name="d_1" localSheetId="0">'[1]Black&amp;Scholes'!$D$4</definedName>
    <definedName name="d_1">'Black&amp;Scholes'!$D$4</definedName>
    <definedName name="d_2" localSheetId="2">#REF!</definedName>
    <definedName name="d_2" localSheetId="0">'[1]Black&amp;Scholes'!$D$5</definedName>
    <definedName name="d_2">'Black&amp;Scholes'!$D$5</definedName>
    <definedName name="dividend_rate" localSheetId="0">[1]Inputs!$B$11</definedName>
    <definedName name="dividend_rate">Inputs!$B$11</definedName>
    <definedName name="DonnéesExternes_1" localSheetId="8" hidden="1">'Current Market Data'!$A$4:$B$161</definedName>
    <definedName name="down_factor" localSheetId="0">[1]BinomialModel!$B$7</definedName>
    <definedName name="down_factor">BinomialModel!$B$7</definedName>
    <definedName name="Exercise" localSheetId="2">Inputs!$B$6</definedName>
    <definedName name="Exercise" localSheetId="0">[1]Inputs!$B$6</definedName>
    <definedName name="Exercise">Inputs!$B$6</definedName>
    <definedName name="expected_return" localSheetId="2">Inputs!$B$10</definedName>
    <definedName name="expected_return">Inputs!$B$10</definedName>
    <definedName name="hedge_ratio" localSheetId="3">BinomialModel!$K$5</definedName>
    <definedName name="hedge_ratio" localSheetId="0">#REF!</definedName>
    <definedName name="hedge_ratio">#REF!</definedName>
    <definedName name="n_periods" localSheetId="0">[1]Inputs!$B$12</definedName>
    <definedName name="n_periods">Inputs!$B$12</definedName>
    <definedName name="Nd_1" localSheetId="2">#REF!</definedName>
    <definedName name="Nd_1" localSheetId="0">'[1]Black&amp;Scholes'!$D$6</definedName>
    <definedName name="Nd_1">'Black&amp;Scholes'!$D$6</definedName>
    <definedName name="Nd_2" localSheetId="2">#REF!</definedName>
    <definedName name="Nd_2" localSheetId="0">'[1]Black&amp;Scholes'!$D$7</definedName>
    <definedName name="Nd_2">'Black&amp;Scholes'!$D$7</definedName>
    <definedName name="Nminusd_1" localSheetId="2">#REF!</definedName>
    <definedName name="Nminusd_1" localSheetId="0">'[1]Black&amp;Scholes'!$D$8</definedName>
    <definedName name="Nminusd_1">'Black&amp;Scholes'!$D$8</definedName>
    <definedName name="Nminusd_2" localSheetId="2">#REF!</definedName>
    <definedName name="Nminusd_2" localSheetId="0">'[1]Black&amp;Scholes'!$D$9</definedName>
    <definedName name="Nminusd_2">'Black&amp;Scholes'!$D$9</definedName>
    <definedName name="option_cat">Inputs!$B$14</definedName>
    <definedName name="Rate" localSheetId="2">Inputs!$B$7</definedName>
    <definedName name="Rate" localSheetId="0">[1]Inputs!$B$7</definedName>
    <definedName name="Rate">Inputs!$B$7</definedName>
    <definedName name="RefSymbol">'Current Market Data'!$B$1</definedName>
    <definedName name="Risk_Neutral_Pb">BinomialModel!$E$7</definedName>
    <definedName name="Sigma" localSheetId="2">Inputs!$B$8</definedName>
    <definedName name="Sigma" localSheetId="0">[1]Inputs!$B$8</definedName>
    <definedName name="Sigma">Inputs!$B$8</definedName>
    <definedName name="Stock" localSheetId="2">Inputs!$B$5</definedName>
    <definedName name="Stock" localSheetId="0">[1]Inputs!$B$5</definedName>
    <definedName name="Stock">Inputs!$B$5</definedName>
    <definedName name="test_vba_bs" localSheetId="2">#REF!</definedName>
    <definedName name="Time" localSheetId="2">Inputs!$B$9</definedName>
    <definedName name="Time" localSheetId="0">[1]Inputs!$B$9</definedName>
    <definedName name="Time">Inputs!$B$9</definedName>
    <definedName name="trading_date">Inputs!$B$13</definedName>
    <definedName name="up_factor" localSheetId="0">[1]BinomialModel!$B$6</definedName>
    <definedName name="up_factor">BinomialModel!$B$6</definedName>
    <definedName name="vba_bs_result" localSheetId="0">'[1]Black&amp;Scholes'!$D$14</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M8" i="8"/>
  <c r="L8" i="8"/>
  <c r="D3103" i="8" l="1"/>
  <c r="D3102" i="8"/>
  <c r="D3101" i="8"/>
  <c r="D3100" i="8"/>
  <c r="D3099" i="8"/>
  <c r="D3098" i="8"/>
  <c r="D3097" i="8"/>
  <c r="D3096" i="8"/>
  <c r="D3095" i="8"/>
  <c r="D3094" i="8"/>
  <c r="D3093" i="8"/>
  <c r="D3092" i="8"/>
  <c r="D3091" i="8"/>
  <c r="D3090" i="8"/>
  <c r="D3089" i="8"/>
  <c r="D3088" i="8"/>
  <c r="D3087" i="8"/>
  <c r="D3086" i="8"/>
  <c r="D3085" i="8"/>
  <c r="D3084" i="8"/>
  <c r="D3083" i="8"/>
  <c r="D3082" i="8"/>
  <c r="D3081" i="8"/>
  <c r="D3080" i="8"/>
  <c r="D3079" i="8"/>
  <c r="D3078" i="8"/>
  <c r="D3077" i="8"/>
  <c r="D3076" i="8"/>
  <c r="D3075" i="8"/>
  <c r="D3074" i="8"/>
  <c r="D3073" i="8"/>
  <c r="D3072" i="8"/>
  <c r="D3071" i="8"/>
  <c r="D3070" i="8"/>
  <c r="D3069" i="8"/>
  <c r="D3068" i="8"/>
  <c r="D3067" i="8"/>
  <c r="D3066" i="8"/>
  <c r="D3065" i="8"/>
  <c r="D3064" i="8"/>
  <c r="D3063" i="8"/>
  <c r="D3062" i="8"/>
  <c r="D3061" i="8"/>
  <c r="D3060" i="8"/>
  <c r="D3059" i="8"/>
  <c r="D3058" i="8"/>
  <c r="D3057" i="8"/>
  <c r="D3056" i="8"/>
  <c r="D3055" i="8"/>
  <c r="D3054" i="8"/>
  <c r="D3053" i="8"/>
  <c r="D3052" i="8"/>
  <c r="D3051" i="8"/>
  <c r="D3050" i="8"/>
  <c r="D3049" i="8"/>
  <c r="D3048" i="8"/>
  <c r="D3047" i="8"/>
  <c r="D3046" i="8"/>
  <c r="D3045" i="8"/>
  <c r="D3044" i="8"/>
  <c r="D3043" i="8"/>
  <c r="D3042" i="8"/>
  <c r="D3041" i="8"/>
  <c r="D3040" i="8"/>
  <c r="D3039" i="8"/>
  <c r="D3038" i="8"/>
  <c r="D3037" i="8"/>
  <c r="D3036" i="8"/>
  <c r="D3035" i="8"/>
  <c r="D3034" i="8"/>
  <c r="D3033" i="8"/>
  <c r="D3032" i="8"/>
  <c r="D3031" i="8"/>
  <c r="D3030" i="8"/>
  <c r="D3029" i="8"/>
  <c r="D3028" i="8"/>
  <c r="D3027" i="8"/>
  <c r="D3026" i="8"/>
  <c r="D3025" i="8"/>
  <c r="D3024" i="8"/>
  <c r="D3023" i="8"/>
  <c r="D3022" i="8"/>
  <c r="D3021" i="8"/>
  <c r="D3020" i="8"/>
  <c r="D3019" i="8"/>
  <c r="D3018" i="8"/>
  <c r="D3017" i="8"/>
  <c r="D3016" i="8"/>
  <c r="D3015" i="8"/>
  <c r="D3014" i="8"/>
  <c r="D3013" i="8"/>
  <c r="D3012" i="8"/>
  <c r="D3011" i="8"/>
  <c r="D3010" i="8"/>
  <c r="D3009" i="8"/>
  <c r="D3008" i="8"/>
  <c r="D3007" i="8"/>
  <c r="D3006" i="8"/>
  <c r="D3005" i="8"/>
  <c r="D3004" i="8"/>
  <c r="D3003" i="8"/>
  <c r="D3002" i="8"/>
  <c r="D3001" i="8"/>
  <c r="D3000" i="8"/>
  <c r="D2999" i="8"/>
  <c r="D2998" i="8"/>
  <c r="D2997" i="8"/>
  <c r="D2996" i="8"/>
  <c r="D2995" i="8"/>
  <c r="D2994" i="8"/>
  <c r="D2993" i="8"/>
  <c r="D2992" i="8"/>
  <c r="D2991" i="8"/>
  <c r="D2990" i="8"/>
  <c r="D2989" i="8"/>
  <c r="D2988" i="8"/>
  <c r="D2987" i="8"/>
  <c r="D2986" i="8"/>
  <c r="D2985" i="8"/>
  <c r="D2984" i="8"/>
  <c r="D2983" i="8"/>
  <c r="D2982" i="8"/>
  <c r="D2981" i="8"/>
  <c r="D2980" i="8"/>
  <c r="D2979" i="8"/>
  <c r="D2978" i="8"/>
  <c r="D2977" i="8"/>
  <c r="D2976" i="8"/>
  <c r="D2975" i="8"/>
  <c r="D2974" i="8"/>
  <c r="D2973" i="8"/>
  <c r="D2972" i="8"/>
  <c r="D2971" i="8"/>
  <c r="D2970" i="8"/>
  <c r="D2969" i="8"/>
  <c r="D2968" i="8"/>
  <c r="D2967" i="8"/>
  <c r="D2966" i="8"/>
  <c r="D2965" i="8"/>
  <c r="D2964" i="8"/>
  <c r="D2963" i="8"/>
  <c r="D2962" i="8"/>
  <c r="D2961" i="8"/>
  <c r="D2960" i="8"/>
  <c r="D2959" i="8"/>
  <c r="D2958" i="8"/>
  <c r="D2957" i="8"/>
  <c r="D2956" i="8"/>
  <c r="D2955" i="8"/>
  <c r="D2954" i="8"/>
  <c r="D2953" i="8"/>
  <c r="D2952" i="8"/>
  <c r="D2951" i="8"/>
  <c r="D2950" i="8"/>
  <c r="D2949" i="8"/>
  <c r="D2948" i="8"/>
  <c r="D2947" i="8"/>
  <c r="D2946" i="8"/>
  <c r="D2945" i="8"/>
  <c r="D2944" i="8"/>
  <c r="D2943" i="8"/>
  <c r="D2942" i="8"/>
  <c r="D2941" i="8"/>
  <c r="D2940" i="8"/>
  <c r="D2939" i="8"/>
  <c r="D2938" i="8"/>
  <c r="D2937" i="8"/>
  <c r="D2936" i="8"/>
  <c r="D2935" i="8"/>
  <c r="D2934" i="8"/>
  <c r="D2933" i="8"/>
  <c r="D2932" i="8"/>
  <c r="D2931" i="8"/>
  <c r="D2930" i="8"/>
  <c r="D2929" i="8"/>
  <c r="D2928" i="8"/>
  <c r="D2927" i="8"/>
  <c r="D2926" i="8"/>
  <c r="D2925" i="8"/>
  <c r="D2924" i="8"/>
  <c r="D2923" i="8"/>
  <c r="D2922" i="8"/>
  <c r="D2921" i="8"/>
  <c r="D2920" i="8"/>
  <c r="D2919" i="8"/>
  <c r="D2918" i="8"/>
  <c r="D2917" i="8"/>
  <c r="D2916" i="8"/>
  <c r="D2915" i="8"/>
  <c r="D2914" i="8"/>
  <c r="D2913" i="8"/>
  <c r="D2912" i="8"/>
  <c r="D2911" i="8"/>
  <c r="D2910" i="8"/>
  <c r="D2909" i="8"/>
  <c r="D2908" i="8"/>
  <c r="D2907" i="8"/>
  <c r="D2906" i="8"/>
  <c r="D2905" i="8"/>
  <c r="D2904" i="8"/>
  <c r="D2903" i="8"/>
  <c r="D2902" i="8"/>
  <c r="D2901" i="8"/>
  <c r="D2900" i="8"/>
  <c r="D2899" i="8"/>
  <c r="D2898" i="8"/>
  <c r="D2897" i="8"/>
  <c r="D2896" i="8"/>
  <c r="D2895" i="8"/>
  <c r="D2894" i="8"/>
  <c r="D2893" i="8"/>
  <c r="D2892" i="8"/>
  <c r="D2891" i="8"/>
  <c r="D2890" i="8"/>
  <c r="D2889" i="8"/>
  <c r="D2888" i="8"/>
  <c r="D2887" i="8"/>
  <c r="D2886" i="8"/>
  <c r="D2885" i="8"/>
  <c r="D2884" i="8"/>
  <c r="D2883" i="8"/>
  <c r="D2882" i="8"/>
  <c r="D2881" i="8"/>
  <c r="D2880" i="8"/>
  <c r="D2879" i="8"/>
  <c r="D2878" i="8"/>
  <c r="D2877" i="8"/>
  <c r="D2876" i="8"/>
  <c r="D2875" i="8"/>
  <c r="D2874" i="8"/>
  <c r="D2873" i="8"/>
  <c r="D2872" i="8"/>
  <c r="D2871" i="8"/>
  <c r="D2870" i="8"/>
  <c r="D2869" i="8"/>
  <c r="D2868" i="8"/>
  <c r="D2867" i="8"/>
  <c r="D2866" i="8"/>
  <c r="D2865" i="8"/>
  <c r="D2864" i="8"/>
  <c r="D2863" i="8"/>
  <c r="D2862" i="8"/>
  <c r="D2861" i="8"/>
  <c r="D2860" i="8"/>
  <c r="D2859" i="8"/>
  <c r="D2858" i="8"/>
  <c r="D2857" i="8"/>
  <c r="D2856" i="8"/>
  <c r="D2855" i="8"/>
  <c r="D2854" i="8"/>
  <c r="D2853" i="8"/>
  <c r="D2852" i="8"/>
  <c r="D2851" i="8"/>
  <c r="D2850" i="8"/>
  <c r="D2849" i="8"/>
  <c r="D2848" i="8"/>
  <c r="D2847" i="8"/>
  <c r="D2846" i="8"/>
  <c r="D2845" i="8"/>
  <c r="D2844" i="8"/>
  <c r="D2843" i="8"/>
  <c r="D2842" i="8"/>
  <c r="D2841" i="8"/>
  <c r="D2840" i="8"/>
  <c r="D2839" i="8"/>
  <c r="D2838" i="8"/>
  <c r="D2837" i="8"/>
  <c r="D2836" i="8"/>
  <c r="D2835" i="8"/>
  <c r="D2834" i="8"/>
  <c r="D2833" i="8"/>
  <c r="D2832" i="8"/>
  <c r="D2831" i="8"/>
  <c r="D2830" i="8"/>
  <c r="D2829" i="8"/>
  <c r="D2828" i="8"/>
  <c r="D2827" i="8"/>
  <c r="D2826" i="8"/>
  <c r="D2825" i="8"/>
  <c r="D2824" i="8"/>
  <c r="D2823" i="8"/>
  <c r="D2822" i="8"/>
  <c r="D2821" i="8"/>
  <c r="D2820" i="8"/>
  <c r="D2819" i="8"/>
  <c r="D2818" i="8"/>
  <c r="D2817" i="8"/>
  <c r="D2816" i="8"/>
  <c r="D2815" i="8"/>
  <c r="D2814" i="8"/>
  <c r="D2813" i="8"/>
  <c r="D2812" i="8"/>
  <c r="D2811" i="8"/>
  <c r="D2810" i="8"/>
  <c r="D2809" i="8"/>
  <c r="D2808" i="8"/>
  <c r="D2807" i="8"/>
  <c r="D2806" i="8"/>
  <c r="D2805" i="8"/>
  <c r="D2804" i="8"/>
  <c r="D2803" i="8"/>
  <c r="D2802" i="8"/>
  <c r="D2801" i="8"/>
  <c r="D2800" i="8"/>
  <c r="D2799" i="8"/>
  <c r="D2798" i="8"/>
  <c r="D2797" i="8"/>
  <c r="D2796" i="8"/>
  <c r="D2795" i="8"/>
  <c r="D2794" i="8"/>
  <c r="D2793" i="8"/>
  <c r="D2792" i="8"/>
  <c r="D2791" i="8"/>
  <c r="D2790" i="8"/>
  <c r="D2789" i="8"/>
  <c r="D2788" i="8"/>
  <c r="D2787" i="8"/>
  <c r="D2786" i="8"/>
  <c r="D2785" i="8"/>
  <c r="D2784" i="8"/>
  <c r="D2783" i="8"/>
  <c r="D2782" i="8"/>
  <c r="D2781" i="8"/>
  <c r="D2780" i="8"/>
  <c r="D2779" i="8"/>
  <c r="D2778" i="8"/>
  <c r="D2777" i="8"/>
  <c r="D2776" i="8"/>
  <c r="D2775" i="8"/>
  <c r="D2774" i="8"/>
  <c r="D2773" i="8"/>
  <c r="D2772" i="8"/>
  <c r="D2771" i="8"/>
  <c r="D2770" i="8"/>
  <c r="D2769" i="8"/>
  <c r="D2768" i="8"/>
  <c r="D2767" i="8"/>
  <c r="D2766" i="8"/>
  <c r="D2765" i="8"/>
  <c r="D2764" i="8"/>
  <c r="D2763" i="8"/>
  <c r="D2762" i="8"/>
  <c r="D2761" i="8"/>
  <c r="D2760" i="8"/>
  <c r="D2759" i="8"/>
  <c r="D2758" i="8"/>
  <c r="D2757" i="8"/>
  <c r="D2756" i="8"/>
  <c r="D2755" i="8"/>
  <c r="D2754" i="8"/>
  <c r="D2753" i="8"/>
  <c r="D2752" i="8"/>
  <c r="D2751" i="8"/>
  <c r="D2750" i="8"/>
  <c r="D2749" i="8"/>
  <c r="D2748" i="8"/>
  <c r="D2747" i="8"/>
  <c r="D2746" i="8"/>
  <c r="D2745" i="8"/>
  <c r="D2744" i="8"/>
  <c r="D2743" i="8"/>
  <c r="D2742" i="8"/>
  <c r="D2741" i="8"/>
  <c r="D2740" i="8"/>
  <c r="D2739" i="8"/>
  <c r="D2738" i="8"/>
  <c r="D2737" i="8"/>
  <c r="D2736" i="8"/>
  <c r="D2735" i="8"/>
  <c r="D2734" i="8"/>
  <c r="D2733" i="8"/>
  <c r="D2732" i="8"/>
  <c r="D2731" i="8"/>
  <c r="D2730" i="8"/>
  <c r="D2729" i="8"/>
  <c r="D2728" i="8"/>
  <c r="D2727" i="8"/>
  <c r="D2726" i="8"/>
  <c r="D2725" i="8"/>
  <c r="D2724" i="8"/>
  <c r="D2723" i="8"/>
  <c r="D2722" i="8"/>
  <c r="D2721" i="8"/>
  <c r="D2720" i="8"/>
  <c r="D2719" i="8"/>
  <c r="D2718" i="8"/>
  <c r="D2717" i="8"/>
  <c r="D2716" i="8"/>
  <c r="D2715" i="8"/>
  <c r="D2714" i="8"/>
  <c r="D2713" i="8"/>
  <c r="D2712" i="8"/>
  <c r="D2711" i="8"/>
  <c r="D2710" i="8"/>
  <c r="D2709" i="8"/>
  <c r="D2708" i="8"/>
  <c r="D2707" i="8"/>
  <c r="D2706" i="8"/>
  <c r="D2705" i="8"/>
  <c r="D2704" i="8"/>
  <c r="D2703" i="8"/>
  <c r="D2702" i="8"/>
  <c r="D2701" i="8"/>
  <c r="D2700" i="8"/>
  <c r="D2699" i="8"/>
  <c r="D2698" i="8"/>
  <c r="D2697" i="8"/>
  <c r="D2696" i="8"/>
  <c r="D2695" i="8"/>
  <c r="D2694" i="8"/>
  <c r="D2693" i="8"/>
  <c r="D2692" i="8"/>
  <c r="D2691" i="8"/>
  <c r="D2690" i="8"/>
  <c r="D2689" i="8"/>
  <c r="D2688" i="8"/>
  <c r="D2687" i="8"/>
  <c r="D2686" i="8"/>
  <c r="D2685" i="8"/>
  <c r="D2684" i="8"/>
  <c r="D2683" i="8"/>
  <c r="D2682" i="8"/>
  <c r="D2681" i="8"/>
  <c r="D2680" i="8"/>
  <c r="D2679" i="8"/>
  <c r="D2678" i="8"/>
  <c r="D2677" i="8"/>
  <c r="D2676" i="8"/>
  <c r="D2675" i="8"/>
  <c r="D2674" i="8"/>
  <c r="D2673" i="8"/>
  <c r="D2672" i="8"/>
  <c r="D2671" i="8"/>
  <c r="D2670" i="8"/>
  <c r="D2669" i="8"/>
  <c r="D2668" i="8"/>
  <c r="D2667" i="8"/>
  <c r="D2666" i="8"/>
  <c r="D2665" i="8"/>
  <c r="D2664" i="8"/>
  <c r="D2663" i="8"/>
  <c r="D2662" i="8"/>
  <c r="D2661" i="8"/>
  <c r="D2660" i="8"/>
  <c r="D2659" i="8"/>
  <c r="D2658" i="8"/>
  <c r="D2657" i="8"/>
  <c r="D2656" i="8"/>
  <c r="D2655" i="8"/>
  <c r="D2654" i="8"/>
  <c r="D2653" i="8"/>
  <c r="D2652" i="8"/>
  <c r="D2651" i="8"/>
  <c r="D2650" i="8"/>
  <c r="D2649" i="8"/>
  <c r="D2648" i="8"/>
  <c r="D2647" i="8"/>
  <c r="D2646" i="8"/>
  <c r="D2645" i="8"/>
  <c r="D2644" i="8"/>
  <c r="D2643" i="8"/>
  <c r="D2642" i="8"/>
  <c r="D2641" i="8"/>
  <c r="D2640" i="8"/>
  <c r="D2639" i="8"/>
  <c r="D2638" i="8"/>
  <c r="D2637" i="8"/>
  <c r="D2636" i="8"/>
  <c r="D2635" i="8"/>
  <c r="D2634" i="8"/>
  <c r="D2633" i="8"/>
  <c r="D2632" i="8"/>
  <c r="D2631" i="8"/>
  <c r="D2630" i="8"/>
  <c r="D2629" i="8"/>
  <c r="D2628" i="8"/>
  <c r="D2627" i="8"/>
  <c r="D2626" i="8"/>
  <c r="D2625" i="8"/>
  <c r="D2624" i="8"/>
  <c r="D2623" i="8"/>
  <c r="D2622" i="8"/>
  <c r="D2621" i="8"/>
  <c r="D2620" i="8"/>
  <c r="D2619" i="8"/>
  <c r="D2618" i="8"/>
  <c r="D2617" i="8"/>
  <c r="D2616" i="8"/>
  <c r="D2615" i="8"/>
  <c r="D2614" i="8"/>
  <c r="D2613" i="8"/>
  <c r="D2612" i="8"/>
  <c r="D2611" i="8"/>
  <c r="D2610" i="8"/>
  <c r="D2609" i="8"/>
  <c r="D2608" i="8"/>
  <c r="D2607" i="8"/>
  <c r="D2606" i="8"/>
  <c r="D2605" i="8"/>
  <c r="D2604" i="8"/>
  <c r="D2603" i="8"/>
  <c r="D2602" i="8"/>
  <c r="D2601" i="8"/>
  <c r="D2600" i="8"/>
  <c r="D2599" i="8"/>
  <c r="D2598" i="8"/>
  <c r="D2597" i="8"/>
  <c r="D2596" i="8"/>
  <c r="D2595" i="8"/>
  <c r="D2594" i="8"/>
  <c r="D2593" i="8"/>
  <c r="D2592" i="8"/>
  <c r="D2591" i="8"/>
  <c r="D2590" i="8"/>
  <c r="D2589" i="8"/>
  <c r="D2588" i="8"/>
  <c r="D2587" i="8"/>
  <c r="D2586" i="8"/>
  <c r="D2585" i="8"/>
  <c r="D2584" i="8"/>
  <c r="D2583" i="8"/>
  <c r="D2582" i="8"/>
  <c r="D2581" i="8"/>
  <c r="D2580" i="8"/>
  <c r="D2579" i="8"/>
  <c r="D2578" i="8"/>
  <c r="D2577" i="8"/>
  <c r="D2576" i="8"/>
  <c r="D2575" i="8"/>
  <c r="D2574" i="8"/>
  <c r="D2573" i="8"/>
  <c r="D2572" i="8"/>
  <c r="D2571" i="8"/>
  <c r="D2570" i="8"/>
  <c r="D2569" i="8"/>
  <c r="D2568" i="8"/>
  <c r="D2567" i="8"/>
  <c r="D2566" i="8"/>
  <c r="D2565" i="8"/>
  <c r="D2564" i="8"/>
  <c r="D2563" i="8"/>
  <c r="D2562" i="8"/>
  <c r="D2561" i="8"/>
  <c r="D2560" i="8"/>
  <c r="D2559" i="8"/>
  <c r="D2558" i="8"/>
  <c r="D2557" i="8"/>
  <c r="D2556" i="8"/>
  <c r="D2555" i="8"/>
  <c r="D2554" i="8"/>
  <c r="D2553" i="8"/>
  <c r="D2552" i="8"/>
  <c r="D2551" i="8"/>
  <c r="D2550" i="8"/>
  <c r="D2549" i="8"/>
  <c r="D2548" i="8"/>
  <c r="D2547" i="8"/>
  <c r="D2546" i="8"/>
  <c r="D2545" i="8"/>
  <c r="D2544" i="8"/>
  <c r="D2543" i="8"/>
  <c r="D2542" i="8"/>
  <c r="D2541" i="8"/>
  <c r="D2540" i="8"/>
  <c r="D2539" i="8"/>
  <c r="D2538" i="8"/>
  <c r="D2537" i="8"/>
  <c r="D2536" i="8"/>
  <c r="D2535" i="8"/>
  <c r="D2534" i="8"/>
  <c r="D2533" i="8"/>
  <c r="D2532" i="8"/>
  <c r="D2531" i="8"/>
  <c r="D2530" i="8"/>
  <c r="D2529" i="8"/>
  <c r="D2528" i="8"/>
  <c r="D2527" i="8"/>
  <c r="D2526" i="8"/>
  <c r="D2525" i="8"/>
  <c r="D2524" i="8"/>
  <c r="D2523" i="8"/>
  <c r="D2522" i="8"/>
  <c r="D2521" i="8"/>
  <c r="D2520" i="8"/>
  <c r="D2519" i="8"/>
  <c r="D2518" i="8"/>
  <c r="D2517" i="8"/>
  <c r="D2516" i="8"/>
  <c r="D2515" i="8"/>
  <c r="D2514" i="8"/>
  <c r="D2513" i="8"/>
  <c r="D2512" i="8"/>
  <c r="D2511" i="8"/>
  <c r="D2510" i="8"/>
  <c r="D2509" i="8"/>
  <c r="D2508" i="8"/>
  <c r="D2507" i="8"/>
  <c r="D2506" i="8"/>
  <c r="D2505" i="8"/>
  <c r="D2504" i="8"/>
  <c r="D2503" i="8"/>
  <c r="D2502" i="8"/>
  <c r="D2501" i="8"/>
  <c r="D2500" i="8"/>
  <c r="D2499" i="8"/>
  <c r="D2498" i="8"/>
  <c r="D2497" i="8"/>
  <c r="D2496" i="8"/>
  <c r="D2495" i="8"/>
  <c r="D2494" i="8"/>
  <c r="D2493" i="8"/>
  <c r="D2492" i="8"/>
  <c r="D2491" i="8"/>
  <c r="D2490" i="8"/>
  <c r="D2489" i="8"/>
  <c r="D2488" i="8"/>
  <c r="D2487" i="8"/>
  <c r="D2486" i="8"/>
  <c r="D2485" i="8"/>
  <c r="D2484" i="8"/>
  <c r="D2483" i="8"/>
  <c r="D2482" i="8"/>
  <c r="D2481" i="8"/>
  <c r="D2480" i="8"/>
  <c r="D2479" i="8"/>
  <c r="D2478" i="8"/>
  <c r="D2477" i="8"/>
  <c r="D2476" i="8"/>
  <c r="D2475" i="8"/>
  <c r="D2474" i="8"/>
  <c r="D2473" i="8"/>
  <c r="D2472" i="8"/>
  <c r="D2471" i="8"/>
  <c r="D2470" i="8"/>
  <c r="D2469" i="8"/>
  <c r="D2468" i="8"/>
  <c r="D2467" i="8"/>
  <c r="D2466" i="8"/>
  <c r="D2465" i="8"/>
  <c r="D2464" i="8"/>
  <c r="D2463" i="8"/>
  <c r="D2462" i="8"/>
  <c r="D2461" i="8"/>
  <c r="D2460" i="8"/>
  <c r="D2459" i="8"/>
  <c r="D2458" i="8"/>
  <c r="D2457" i="8"/>
  <c r="D2456" i="8"/>
  <c r="D2455" i="8"/>
  <c r="D2454" i="8"/>
  <c r="D2453" i="8"/>
  <c r="D2452" i="8"/>
  <c r="D2451" i="8"/>
  <c r="D2450" i="8"/>
  <c r="D2449" i="8"/>
  <c r="D2448" i="8"/>
  <c r="D2447" i="8"/>
  <c r="D2446" i="8"/>
  <c r="D2445" i="8"/>
  <c r="D2444" i="8"/>
  <c r="D2443" i="8"/>
  <c r="D2442" i="8"/>
  <c r="D2441" i="8"/>
  <c r="D2440" i="8"/>
  <c r="D2439" i="8"/>
  <c r="D2438" i="8"/>
  <c r="D2437" i="8"/>
  <c r="D2436" i="8"/>
  <c r="D2435" i="8"/>
  <c r="D2434" i="8"/>
  <c r="D2433" i="8"/>
  <c r="D2432" i="8"/>
  <c r="D2431" i="8"/>
  <c r="D2430" i="8"/>
  <c r="D2429" i="8"/>
  <c r="D2428" i="8"/>
  <c r="D2427" i="8"/>
  <c r="D2426" i="8"/>
  <c r="D2425" i="8"/>
  <c r="D2424" i="8"/>
  <c r="D2423" i="8"/>
  <c r="D2422" i="8"/>
  <c r="D2421" i="8"/>
  <c r="D2420" i="8"/>
  <c r="D2419" i="8"/>
  <c r="D2418" i="8"/>
  <c r="D2417" i="8"/>
  <c r="D2416" i="8"/>
  <c r="D2415" i="8"/>
  <c r="D2414" i="8"/>
  <c r="D2413" i="8"/>
  <c r="D2412" i="8"/>
  <c r="D2411" i="8"/>
  <c r="D2410" i="8"/>
  <c r="D2409" i="8"/>
  <c r="D2408" i="8"/>
  <c r="D2407" i="8"/>
  <c r="D2406" i="8"/>
  <c r="D2405" i="8"/>
  <c r="D2404" i="8"/>
  <c r="D2403" i="8"/>
  <c r="D2402" i="8"/>
  <c r="D2401" i="8"/>
  <c r="D2400" i="8"/>
  <c r="D2399" i="8"/>
  <c r="D2398" i="8"/>
  <c r="D2397" i="8"/>
  <c r="D2396" i="8"/>
  <c r="D2395" i="8"/>
  <c r="D2394" i="8"/>
  <c r="D2393" i="8"/>
  <c r="D2392" i="8"/>
  <c r="D2391" i="8"/>
  <c r="D2390" i="8"/>
  <c r="D2389" i="8"/>
  <c r="D2388" i="8"/>
  <c r="D2387" i="8"/>
  <c r="D2386" i="8"/>
  <c r="D2385" i="8"/>
  <c r="D2384" i="8"/>
  <c r="D2383" i="8"/>
  <c r="D2382" i="8"/>
  <c r="D2381" i="8"/>
  <c r="D2380" i="8"/>
  <c r="D2379" i="8"/>
  <c r="D2378" i="8"/>
  <c r="D2377" i="8"/>
  <c r="D2376" i="8"/>
  <c r="D2375" i="8"/>
  <c r="D2374" i="8"/>
  <c r="D2373" i="8"/>
  <c r="D2372" i="8"/>
  <c r="D2371" i="8"/>
  <c r="D2370" i="8"/>
  <c r="D2369" i="8"/>
  <c r="D2368" i="8"/>
  <c r="D2367" i="8"/>
  <c r="D2366" i="8"/>
  <c r="D2365" i="8"/>
  <c r="D2364" i="8"/>
  <c r="D2363" i="8"/>
  <c r="D2362" i="8"/>
  <c r="D2361" i="8"/>
  <c r="D2360" i="8"/>
  <c r="D2359" i="8"/>
  <c r="D2358" i="8"/>
  <c r="D2357" i="8"/>
  <c r="D2356" i="8"/>
  <c r="D2355" i="8"/>
  <c r="D2354" i="8"/>
  <c r="D2353" i="8"/>
  <c r="D2352" i="8"/>
  <c r="D2351" i="8"/>
  <c r="D2350" i="8"/>
  <c r="D2349" i="8"/>
  <c r="D2348" i="8"/>
  <c r="D2347" i="8"/>
  <c r="D2346" i="8"/>
  <c r="D2345" i="8"/>
  <c r="D2344" i="8"/>
  <c r="D2343" i="8"/>
  <c r="D2342" i="8"/>
  <c r="D2341" i="8"/>
  <c r="D2340" i="8"/>
  <c r="D2339" i="8"/>
  <c r="D2338" i="8"/>
  <c r="D2337" i="8"/>
  <c r="D2336" i="8"/>
  <c r="D2335" i="8"/>
  <c r="D2334" i="8"/>
  <c r="D2333" i="8"/>
  <c r="D2332" i="8"/>
  <c r="D2331" i="8"/>
  <c r="D2330" i="8"/>
  <c r="D2329" i="8"/>
  <c r="D2328" i="8"/>
  <c r="D2327" i="8"/>
  <c r="D2326" i="8"/>
  <c r="D2325" i="8"/>
  <c r="D2324" i="8"/>
  <c r="D2323" i="8"/>
  <c r="D2322" i="8"/>
  <c r="D2321" i="8"/>
  <c r="D2320" i="8"/>
  <c r="D2319" i="8"/>
  <c r="D2318" i="8"/>
  <c r="D2317" i="8"/>
  <c r="D2316" i="8"/>
  <c r="D2315" i="8"/>
  <c r="D2314" i="8"/>
  <c r="D2313" i="8"/>
  <c r="D2312" i="8"/>
  <c r="D2311" i="8"/>
  <c r="D2310" i="8"/>
  <c r="D2309" i="8"/>
  <c r="D2308" i="8"/>
  <c r="D2307" i="8"/>
  <c r="D2306" i="8"/>
  <c r="D2305" i="8"/>
  <c r="D2304" i="8"/>
  <c r="D2303" i="8"/>
  <c r="D2302" i="8"/>
  <c r="D2301" i="8"/>
  <c r="D2300" i="8"/>
  <c r="D2299" i="8"/>
  <c r="D2298" i="8"/>
  <c r="D2297" i="8"/>
  <c r="D2296" i="8"/>
  <c r="D2295" i="8"/>
  <c r="D2294" i="8"/>
  <c r="D2293" i="8"/>
  <c r="D2292" i="8"/>
  <c r="D2291" i="8"/>
  <c r="D2290" i="8"/>
  <c r="D2289" i="8"/>
  <c r="D2288" i="8"/>
  <c r="D2287" i="8"/>
  <c r="D2286" i="8"/>
  <c r="D2285" i="8"/>
  <c r="D2284" i="8"/>
  <c r="D2283" i="8"/>
  <c r="D2282" i="8"/>
  <c r="D2281" i="8"/>
  <c r="D2280" i="8"/>
  <c r="D2279" i="8"/>
  <c r="D2278" i="8"/>
  <c r="D2277" i="8"/>
  <c r="D2276" i="8"/>
  <c r="D2275" i="8"/>
  <c r="D2274" i="8"/>
  <c r="D2273" i="8"/>
  <c r="D2272" i="8"/>
  <c r="D2271" i="8"/>
  <c r="D2270" i="8"/>
  <c r="D2269" i="8"/>
  <c r="D2268" i="8"/>
  <c r="D2267" i="8"/>
  <c r="D2266" i="8"/>
  <c r="D2265" i="8"/>
  <c r="D2264" i="8"/>
  <c r="D2263" i="8"/>
  <c r="D2262" i="8"/>
  <c r="D2261" i="8"/>
  <c r="D2260" i="8"/>
  <c r="D2259" i="8"/>
  <c r="D2258" i="8"/>
  <c r="D2257" i="8"/>
  <c r="D2256" i="8"/>
  <c r="D2255" i="8"/>
  <c r="D2254" i="8"/>
  <c r="D2253" i="8"/>
  <c r="D2252" i="8"/>
  <c r="D2251" i="8"/>
  <c r="D2250" i="8"/>
  <c r="D2249" i="8"/>
  <c r="D2248" i="8"/>
  <c r="D2247" i="8"/>
  <c r="D2246" i="8"/>
  <c r="D2245" i="8"/>
  <c r="D2244" i="8"/>
  <c r="D2243" i="8"/>
  <c r="D2242" i="8"/>
  <c r="D2241" i="8"/>
  <c r="D2240" i="8"/>
  <c r="D2239" i="8"/>
  <c r="D2238" i="8"/>
  <c r="D2237" i="8"/>
  <c r="D2236" i="8"/>
  <c r="D2235" i="8"/>
  <c r="D2234" i="8"/>
  <c r="D2233" i="8"/>
  <c r="D2232" i="8"/>
  <c r="D2231" i="8"/>
  <c r="D2230" i="8"/>
  <c r="D2229" i="8"/>
  <c r="D2228" i="8"/>
  <c r="D2227" i="8"/>
  <c r="D2226" i="8"/>
  <c r="D2225" i="8"/>
  <c r="D2224" i="8"/>
  <c r="D2223" i="8"/>
  <c r="D2222" i="8"/>
  <c r="D2221" i="8"/>
  <c r="D2220" i="8"/>
  <c r="D2219" i="8"/>
  <c r="D2218" i="8"/>
  <c r="D2217" i="8"/>
  <c r="D2216" i="8"/>
  <c r="D2215" i="8"/>
  <c r="D2214" i="8"/>
  <c r="D2213" i="8"/>
  <c r="D2212" i="8"/>
  <c r="D2211" i="8"/>
  <c r="D2210" i="8"/>
  <c r="D2209" i="8"/>
  <c r="D2208" i="8"/>
  <c r="D2207" i="8"/>
  <c r="D2206" i="8"/>
  <c r="D2205" i="8"/>
  <c r="D2204" i="8"/>
  <c r="D2203" i="8"/>
  <c r="D2202" i="8"/>
  <c r="D2201" i="8"/>
  <c r="D2200" i="8"/>
  <c r="D2199" i="8"/>
  <c r="D2198" i="8"/>
  <c r="D2197" i="8"/>
  <c r="D2196" i="8"/>
  <c r="D2195" i="8"/>
  <c r="D2194" i="8"/>
  <c r="D2193" i="8"/>
  <c r="D2192" i="8"/>
  <c r="D2191" i="8"/>
  <c r="D2190" i="8"/>
  <c r="D2189" i="8"/>
  <c r="D2188" i="8"/>
  <c r="D2187" i="8"/>
  <c r="D2186" i="8"/>
  <c r="D2185" i="8"/>
  <c r="D2184" i="8"/>
  <c r="D2183" i="8"/>
  <c r="D2182" i="8"/>
  <c r="D2181" i="8"/>
  <c r="D2180" i="8"/>
  <c r="D2179" i="8"/>
  <c r="D2178" i="8"/>
  <c r="D2177" i="8"/>
  <c r="D2176" i="8"/>
  <c r="D2175" i="8"/>
  <c r="D2174" i="8"/>
  <c r="D2173" i="8"/>
  <c r="D2172" i="8"/>
  <c r="D2171" i="8"/>
  <c r="D2170" i="8"/>
  <c r="D2169" i="8"/>
  <c r="D2168" i="8"/>
  <c r="D2167" i="8"/>
  <c r="D2166" i="8"/>
  <c r="D2165" i="8"/>
  <c r="D2164" i="8"/>
  <c r="D2163" i="8"/>
  <c r="D2162" i="8"/>
  <c r="D2161" i="8"/>
  <c r="D2160" i="8"/>
  <c r="D2159" i="8"/>
  <c r="D2158" i="8"/>
  <c r="D2157" i="8"/>
  <c r="D2156" i="8"/>
  <c r="D2155" i="8"/>
  <c r="D2154" i="8"/>
  <c r="D2153" i="8"/>
  <c r="D2152" i="8"/>
  <c r="D2151" i="8"/>
  <c r="D2150" i="8"/>
  <c r="D2149" i="8"/>
  <c r="D2148" i="8"/>
  <c r="D2147" i="8"/>
  <c r="D2146" i="8"/>
  <c r="D2145" i="8"/>
  <c r="D2144" i="8"/>
  <c r="D2143" i="8"/>
  <c r="D2142" i="8"/>
  <c r="D2141" i="8"/>
  <c r="D2140" i="8"/>
  <c r="D2139" i="8"/>
  <c r="D2138" i="8"/>
  <c r="D2137" i="8"/>
  <c r="D2136" i="8"/>
  <c r="D2135" i="8"/>
  <c r="D2134" i="8"/>
  <c r="D2133" i="8"/>
  <c r="D2132" i="8"/>
  <c r="D2131" i="8"/>
  <c r="D2130" i="8"/>
  <c r="D2129" i="8"/>
  <c r="D2128" i="8"/>
  <c r="D2127" i="8"/>
  <c r="D2126" i="8"/>
  <c r="D2125" i="8"/>
  <c r="D2124" i="8"/>
  <c r="D2123" i="8"/>
  <c r="D2122" i="8"/>
  <c r="D2121" i="8"/>
  <c r="D2120" i="8"/>
  <c r="D2119" i="8"/>
  <c r="D2118" i="8"/>
  <c r="D2117" i="8"/>
  <c r="D2116" i="8"/>
  <c r="D2115" i="8"/>
  <c r="D2114" i="8"/>
  <c r="D2113" i="8"/>
  <c r="D2112" i="8"/>
  <c r="D2111" i="8"/>
  <c r="D2110" i="8"/>
  <c r="D2109" i="8"/>
  <c r="D2108" i="8"/>
  <c r="D2107" i="8"/>
  <c r="D2106" i="8"/>
  <c r="D2105" i="8"/>
  <c r="D2104" i="8"/>
  <c r="D2103" i="8"/>
  <c r="D2102" i="8"/>
  <c r="D2101" i="8"/>
  <c r="D2100" i="8"/>
  <c r="D2099" i="8"/>
  <c r="D2098" i="8"/>
  <c r="D2097" i="8"/>
  <c r="D2096" i="8"/>
  <c r="D2095" i="8"/>
  <c r="D2094" i="8"/>
  <c r="D2093" i="8"/>
  <c r="D2092" i="8"/>
  <c r="D2091" i="8"/>
  <c r="D2090" i="8"/>
  <c r="D2089" i="8"/>
  <c r="D2088" i="8"/>
  <c r="D2087" i="8"/>
  <c r="D2086" i="8"/>
  <c r="D2085" i="8"/>
  <c r="D2084" i="8"/>
  <c r="D2083" i="8"/>
  <c r="D2082" i="8"/>
  <c r="D2081" i="8"/>
  <c r="D2080" i="8"/>
  <c r="D2079" i="8"/>
  <c r="D2078" i="8"/>
  <c r="D2077" i="8"/>
  <c r="D2076" i="8"/>
  <c r="D2075" i="8"/>
  <c r="D2074" i="8"/>
  <c r="D2073" i="8"/>
  <c r="D2072" i="8"/>
  <c r="D2071" i="8"/>
  <c r="D2070" i="8"/>
  <c r="D2069" i="8"/>
  <c r="D2068" i="8"/>
  <c r="D2067" i="8"/>
  <c r="D2066" i="8"/>
  <c r="D2065" i="8"/>
  <c r="D2064" i="8"/>
  <c r="D2063" i="8"/>
  <c r="D2062" i="8"/>
  <c r="D2061" i="8"/>
  <c r="D2060" i="8"/>
  <c r="D2059" i="8"/>
  <c r="D2058" i="8"/>
  <c r="D2057" i="8"/>
  <c r="D2056" i="8"/>
  <c r="D2055" i="8"/>
  <c r="D2054" i="8"/>
  <c r="D2053" i="8"/>
  <c r="D2052" i="8"/>
  <c r="D2051" i="8"/>
  <c r="D2050" i="8"/>
  <c r="D2049" i="8"/>
  <c r="D2048" i="8"/>
  <c r="D2047" i="8"/>
  <c r="D2046" i="8"/>
  <c r="D2045" i="8"/>
  <c r="D2044" i="8"/>
  <c r="D2043" i="8"/>
  <c r="D2042" i="8"/>
  <c r="D2041" i="8"/>
  <c r="D2040" i="8"/>
  <c r="D2039" i="8"/>
  <c r="D2038" i="8"/>
  <c r="D2037" i="8"/>
  <c r="D2036" i="8"/>
  <c r="D2035" i="8"/>
  <c r="D2034" i="8"/>
  <c r="D2033" i="8"/>
  <c r="D2032" i="8"/>
  <c r="D2031" i="8"/>
  <c r="D2030" i="8"/>
  <c r="D2029" i="8"/>
  <c r="D2028" i="8"/>
  <c r="D2027" i="8"/>
  <c r="D2026" i="8"/>
  <c r="D2025" i="8"/>
  <c r="D2024" i="8"/>
  <c r="D2023" i="8"/>
  <c r="D2022" i="8"/>
  <c r="D2021" i="8"/>
  <c r="D2020" i="8"/>
  <c r="D2019" i="8"/>
  <c r="D2018" i="8"/>
  <c r="D2017" i="8"/>
  <c r="D2016" i="8"/>
  <c r="D2015" i="8"/>
  <c r="D2014" i="8"/>
  <c r="D2013" i="8"/>
  <c r="D2012" i="8"/>
  <c r="D2011" i="8"/>
  <c r="D2010" i="8"/>
  <c r="D2009" i="8"/>
  <c r="D2008" i="8"/>
  <c r="D2007" i="8"/>
  <c r="D2006" i="8"/>
  <c r="D2005" i="8"/>
  <c r="D2004" i="8"/>
  <c r="D2003" i="8"/>
  <c r="D2002" i="8"/>
  <c r="D2001" i="8"/>
  <c r="D2000" i="8"/>
  <c r="D1999" i="8"/>
  <c r="D1998" i="8"/>
  <c r="D1997" i="8"/>
  <c r="D1996" i="8"/>
  <c r="D1995" i="8"/>
  <c r="D1994" i="8"/>
  <c r="D1993" i="8"/>
  <c r="D1992" i="8"/>
  <c r="D1991" i="8"/>
  <c r="D1990" i="8"/>
  <c r="D1989" i="8"/>
  <c r="D1988" i="8"/>
  <c r="D1987" i="8"/>
  <c r="D1986" i="8"/>
  <c r="D1985" i="8"/>
  <c r="D1984" i="8"/>
  <c r="D1983" i="8"/>
  <c r="D1982" i="8"/>
  <c r="D1981" i="8"/>
  <c r="D1980" i="8"/>
  <c r="D1979" i="8"/>
  <c r="D1978" i="8"/>
  <c r="D1977" i="8"/>
  <c r="D1976" i="8"/>
  <c r="D1975" i="8"/>
  <c r="D1974" i="8"/>
  <c r="D1973" i="8"/>
  <c r="D1972" i="8"/>
  <c r="D1971" i="8"/>
  <c r="D1970" i="8"/>
  <c r="D1969" i="8"/>
  <c r="D1968" i="8"/>
  <c r="D1967" i="8"/>
  <c r="D1966" i="8"/>
  <c r="D1965" i="8"/>
  <c r="D1964" i="8"/>
  <c r="D1963" i="8"/>
  <c r="D1962" i="8"/>
  <c r="D1961" i="8"/>
  <c r="D1960" i="8"/>
  <c r="D1959" i="8"/>
  <c r="D1958" i="8"/>
  <c r="D1957" i="8"/>
  <c r="D1956" i="8"/>
  <c r="D1955" i="8"/>
  <c r="D1954" i="8"/>
  <c r="D1953" i="8"/>
  <c r="D1952" i="8"/>
  <c r="D1951" i="8"/>
  <c r="D1950" i="8"/>
  <c r="D1949" i="8"/>
  <c r="D1948" i="8"/>
  <c r="D1947" i="8"/>
  <c r="D1946" i="8"/>
  <c r="D1945" i="8"/>
  <c r="D1944" i="8"/>
  <c r="D1943" i="8"/>
  <c r="D1942" i="8"/>
  <c r="D1941" i="8"/>
  <c r="D1940" i="8"/>
  <c r="D1939" i="8"/>
  <c r="D1938" i="8"/>
  <c r="D1937" i="8"/>
  <c r="D1936" i="8"/>
  <c r="D1935" i="8"/>
  <c r="D1934" i="8"/>
  <c r="D1933" i="8"/>
  <c r="D1932" i="8"/>
  <c r="D1931" i="8"/>
  <c r="D1930" i="8"/>
  <c r="D1929" i="8"/>
  <c r="D1928" i="8"/>
  <c r="D1927" i="8"/>
  <c r="D1926" i="8"/>
  <c r="D1925" i="8"/>
  <c r="D1924" i="8"/>
  <c r="D1923" i="8"/>
  <c r="D1922" i="8"/>
  <c r="D1921" i="8"/>
  <c r="D1920" i="8"/>
  <c r="D1919" i="8"/>
  <c r="D1918" i="8"/>
  <c r="D1917" i="8"/>
  <c r="D1916" i="8"/>
  <c r="D1915" i="8"/>
  <c r="D1914" i="8"/>
  <c r="D1913" i="8"/>
  <c r="D1912" i="8"/>
  <c r="D1911" i="8"/>
  <c r="D1910" i="8"/>
  <c r="D1909" i="8"/>
  <c r="D1908" i="8"/>
  <c r="D1907" i="8"/>
  <c r="D1906" i="8"/>
  <c r="D1905" i="8"/>
  <c r="D1904" i="8"/>
  <c r="D1903" i="8"/>
  <c r="D1902" i="8"/>
  <c r="D1901" i="8"/>
  <c r="D1900" i="8"/>
  <c r="D1899" i="8"/>
  <c r="D1898" i="8"/>
  <c r="D1897" i="8"/>
  <c r="D1896" i="8"/>
  <c r="D1895" i="8"/>
  <c r="D1894" i="8"/>
  <c r="D1893" i="8"/>
  <c r="D1892" i="8"/>
  <c r="D1891" i="8"/>
  <c r="D1890" i="8"/>
  <c r="D1889" i="8"/>
  <c r="D1888" i="8"/>
  <c r="D1887" i="8"/>
  <c r="D1886" i="8"/>
  <c r="D1885" i="8"/>
  <c r="D1884" i="8"/>
  <c r="D1883" i="8"/>
  <c r="D1882" i="8"/>
  <c r="D1881" i="8"/>
  <c r="D1880" i="8"/>
  <c r="D1879" i="8"/>
  <c r="D1878" i="8"/>
  <c r="D1877" i="8"/>
  <c r="D1876" i="8"/>
  <c r="D1875" i="8"/>
  <c r="D1874" i="8"/>
  <c r="D1873" i="8"/>
  <c r="D1872" i="8"/>
  <c r="D1871" i="8"/>
  <c r="D1870" i="8"/>
  <c r="D1869" i="8"/>
  <c r="D1868" i="8"/>
  <c r="D1867" i="8"/>
  <c r="D1866" i="8"/>
  <c r="D1865" i="8"/>
  <c r="D1864" i="8"/>
  <c r="D1863" i="8"/>
  <c r="D1862" i="8"/>
  <c r="D1861" i="8"/>
  <c r="D1860" i="8"/>
  <c r="D1859" i="8"/>
  <c r="D1858" i="8"/>
  <c r="D1857" i="8"/>
  <c r="D1856" i="8"/>
  <c r="D1855" i="8"/>
  <c r="D1854" i="8"/>
  <c r="D1853" i="8"/>
  <c r="D1852" i="8"/>
  <c r="D1851" i="8"/>
  <c r="D1850" i="8"/>
  <c r="D1849" i="8"/>
  <c r="D1848" i="8"/>
  <c r="D1847" i="8"/>
  <c r="D1846" i="8"/>
  <c r="D1845" i="8"/>
  <c r="D1844" i="8"/>
  <c r="D1843" i="8"/>
  <c r="D1842" i="8"/>
  <c r="D1841" i="8"/>
  <c r="D1840" i="8"/>
  <c r="D1839" i="8"/>
  <c r="D1838" i="8"/>
  <c r="D1837" i="8"/>
  <c r="D1836" i="8"/>
  <c r="D1835" i="8"/>
  <c r="D1834" i="8"/>
  <c r="D1833" i="8"/>
  <c r="D1832" i="8"/>
  <c r="D1831" i="8"/>
  <c r="D1830" i="8"/>
  <c r="D1829" i="8"/>
  <c r="D1828" i="8"/>
  <c r="D1827" i="8"/>
  <c r="D1826" i="8"/>
  <c r="D1825" i="8"/>
  <c r="D1824" i="8"/>
  <c r="D1823" i="8"/>
  <c r="D1822" i="8"/>
  <c r="D1821" i="8"/>
  <c r="D1820" i="8"/>
  <c r="D1819" i="8"/>
  <c r="D1818" i="8"/>
  <c r="D1817" i="8"/>
  <c r="D1816" i="8"/>
  <c r="D1815" i="8"/>
  <c r="D1814" i="8"/>
  <c r="D1813" i="8"/>
  <c r="D1812" i="8"/>
  <c r="D1811" i="8"/>
  <c r="D1810" i="8"/>
  <c r="D1809" i="8"/>
  <c r="D1808" i="8"/>
  <c r="D1807" i="8"/>
  <c r="D1806" i="8"/>
  <c r="D1805" i="8"/>
  <c r="D1804" i="8"/>
  <c r="D1803" i="8"/>
  <c r="D1802" i="8"/>
  <c r="D1801" i="8"/>
  <c r="D1800" i="8"/>
  <c r="D1799" i="8"/>
  <c r="D1798" i="8"/>
  <c r="D1797" i="8"/>
  <c r="D1796" i="8"/>
  <c r="D1795" i="8"/>
  <c r="D1794" i="8"/>
  <c r="D1793" i="8"/>
  <c r="D1792" i="8"/>
  <c r="D1791" i="8"/>
  <c r="D1790" i="8"/>
  <c r="D1789" i="8"/>
  <c r="D1788" i="8"/>
  <c r="D1787" i="8"/>
  <c r="D1786" i="8"/>
  <c r="D1785" i="8"/>
  <c r="D1784" i="8"/>
  <c r="D1783" i="8"/>
  <c r="D1782" i="8"/>
  <c r="D1781" i="8"/>
  <c r="D1780" i="8"/>
  <c r="D1779" i="8"/>
  <c r="D1778" i="8"/>
  <c r="D1777" i="8"/>
  <c r="D1776" i="8"/>
  <c r="D1775" i="8"/>
  <c r="D1774" i="8"/>
  <c r="D1773" i="8"/>
  <c r="D1772" i="8"/>
  <c r="D1771" i="8"/>
  <c r="D1770" i="8"/>
  <c r="D1769" i="8"/>
  <c r="D1768" i="8"/>
  <c r="D1767" i="8"/>
  <c r="D1766" i="8"/>
  <c r="D1765" i="8"/>
  <c r="D1764" i="8"/>
  <c r="D1763" i="8"/>
  <c r="D1762" i="8"/>
  <c r="D1761" i="8"/>
  <c r="D1760" i="8"/>
  <c r="D1759" i="8"/>
  <c r="D1758" i="8"/>
  <c r="D1757" i="8"/>
  <c r="D1756" i="8"/>
  <c r="D1755" i="8"/>
  <c r="D1754" i="8"/>
  <c r="D1753" i="8"/>
  <c r="D1752" i="8"/>
  <c r="D1751" i="8"/>
  <c r="D1750" i="8"/>
  <c r="D1749" i="8"/>
  <c r="D1748" i="8"/>
  <c r="D1747" i="8"/>
  <c r="D1746" i="8"/>
  <c r="D1745" i="8"/>
  <c r="D1744" i="8"/>
  <c r="D1743" i="8"/>
  <c r="D1742" i="8"/>
  <c r="D1741" i="8"/>
  <c r="D1740" i="8"/>
  <c r="D1739" i="8"/>
  <c r="D1738" i="8"/>
  <c r="D1737" i="8"/>
  <c r="D1736" i="8"/>
  <c r="D1735" i="8"/>
  <c r="D1734" i="8"/>
  <c r="D1733" i="8"/>
  <c r="D1732" i="8"/>
  <c r="D1731" i="8"/>
  <c r="D1730" i="8"/>
  <c r="D1729" i="8"/>
  <c r="D1728" i="8"/>
  <c r="D1727" i="8"/>
  <c r="D1726" i="8"/>
  <c r="D1725" i="8"/>
  <c r="D1724" i="8"/>
  <c r="D1723" i="8"/>
  <c r="D1722" i="8"/>
  <c r="D1721" i="8"/>
  <c r="D1720" i="8"/>
  <c r="D1719" i="8"/>
  <c r="D1718" i="8"/>
  <c r="D1717" i="8"/>
  <c r="D1716" i="8"/>
  <c r="D1715" i="8"/>
  <c r="D1714" i="8"/>
  <c r="D1713" i="8"/>
  <c r="D1712" i="8"/>
  <c r="D1711" i="8"/>
  <c r="D1710" i="8"/>
  <c r="D1709" i="8"/>
  <c r="D1708" i="8"/>
  <c r="D1707" i="8"/>
  <c r="D1706" i="8"/>
  <c r="D1705" i="8"/>
  <c r="D1704" i="8"/>
  <c r="D1703" i="8"/>
  <c r="D1702" i="8"/>
  <c r="D1701" i="8"/>
  <c r="D1700" i="8"/>
  <c r="D1699" i="8"/>
  <c r="D1698" i="8"/>
  <c r="D1697" i="8"/>
  <c r="D1696" i="8"/>
  <c r="D1695" i="8"/>
  <c r="D1694" i="8"/>
  <c r="D1693" i="8"/>
  <c r="D1692" i="8"/>
  <c r="D1691" i="8"/>
  <c r="D1690" i="8"/>
  <c r="D1689" i="8"/>
  <c r="D1688" i="8"/>
  <c r="D1687" i="8"/>
  <c r="D1686" i="8"/>
  <c r="D1685" i="8"/>
  <c r="D1684" i="8"/>
  <c r="D1683" i="8"/>
  <c r="D1682" i="8"/>
  <c r="D1681" i="8"/>
  <c r="D1680" i="8"/>
  <c r="D1679" i="8"/>
  <c r="D1678" i="8"/>
  <c r="D1677" i="8"/>
  <c r="D1676" i="8"/>
  <c r="D1675" i="8"/>
  <c r="D1674" i="8"/>
  <c r="D1673" i="8"/>
  <c r="D1672" i="8"/>
  <c r="D1671" i="8"/>
  <c r="D1670" i="8"/>
  <c r="D1669" i="8"/>
  <c r="D1668" i="8"/>
  <c r="D1667" i="8"/>
  <c r="D1666" i="8"/>
  <c r="D1665" i="8"/>
  <c r="D1664" i="8"/>
  <c r="D1663" i="8"/>
  <c r="D1662" i="8"/>
  <c r="D1661" i="8"/>
  <c r="D1660" i="8"/>
  <c r="D1659" i="8"/>
  <c r="D1658" i="8"/>
  <c r="D1657" i="8"/>
  <c r="D1656" i="8"/>
  <c r="D1655" i="8"/>
  <c r="D1654" i="8"/>
  <c r="D1653" i="8"/>
  <c r="D1652" i="8"/>
  <c r="D1651" i="8"/>
  <c r="D1650" i="8"/>
  <c r="D1649" i="8"/>
  <c r="D1648" i="8"/>
  <c r="D1647" i="8"/>
  <c r="D1646" i="8"/>
  <c r="D1645" i="8"/>
  <c r="D1644" i="8"/>
  <c r="D1643" i="8"/>
  <c r="D1642" i="8"/>
  <c r="D1641" i="8"/>
  <c r="D1640" i="8"/>
  <c r="D1639" i="8"/>
  <c r="D1638" i="8"/>
  <c r="D1637" i="8"/>
  <c r="D1636" i="8"/>
  <c r="D1635" i="8"/>
  <c r="D1634" i="8"/>
  <c r="D1633" i="8"/>
  <c r="D1632" i="8"/>
  <c r="D1631" i="8"/>
  <c r="D1630" i="8"/>
  <c r="D1629" i="8"/>
  <c r="D1628" i="8"/>
  <c r="D1627" i="8"/>
  <c r="D1626" i="8"/>
  <c r="D1625" i="8"/>
  <c r="D1624" i="8"/>
  <c r="D1623" i="8"/>
  <c r="D1622" i="8"/>
  <c r="D1621" i="8"/>
  <c r="D1620" i="8"/>
  <c r="D1619" i="8"/>
  <c r="D1618" i="8"/>
  <c r="D1617" i="8"/>
  <c r="D1616" i="8"/>
  <c r="D1615" i="8"/>
  <c r="D1614" i="8"/>
  <c r="D1613" i="8"/>
  <c r="D1612" i="8"/>
  <c r="D1611" i="8"/>
  <c r="D1610" i="8"/>
  <c r="D1609" i="8"/>
  <c r="D1608" i="8"/>
  <c r="D1607" i="8"/>
  <c r="D1606" i="8"/>
  <c r="D1605" i="8"/>
  <c r="D1604" i="8"/>
  <c r="D1603" i="8"/>
  <c r="D1602" i="8"/>
  <c r="D1601" i="8"/>
  <c r="D1600" i="8"/>
  <c r="D1599" i="8"/>
  <c r="D1598" i="8"/>
  <c r="D1597" i="8"/>
  <c r="D1596" i="8"/>
  <c r="D1595" i="8"/>
  <c r="D1594" i="8"/>
  <c r="D1593" i="8"/>
  <c r="D1592" i="8"/>
  <c r="D1591" i="8"/>
  <c r="D1590" i="8"/>
  <c r="D1589" i="8"/>
  <c r="D1588" i="8"/>
  <c r="D1587" i="8"/>
  <c r="D1586" i="8"/>
  <c r="D1585" i="8"/>
  <c r="D1584" i="8"/>
  <c r="D1583" i="8"/>
  <c r="D1582" i="8"/>
  <c r="D1581" i="8"/>
  <c r="D1580" i="8"/>
  <c r="D1579" i="8"/>
  <c r="D1578" i="8"/>
  <c r="D1577" i="8"/>
  <c r="D1576" i="8"/>
  <c r="D1575" i="8"/>
  <c r="D1574" i="8"/>
  <c r="D1573" i="8"/>
  <c r="D1572" i="8"/>
  <c r="D1571" i="8"/>
  <c r="D1570" i="8"/>
  <c r="D1569" i="8"/>
  <c r="D1568" i="8"/>
  <c r="D1567" i="8"/>
  <c r="D1566" i="8"/>
  <c r="D1565" i="8"/>
  <c r="D1564" i="8"/>
  <c r="D1563" i="8"/>
  <c r="D1562" i="8"/>
  <c r="D1561" i="8"/>
  <c r="D1560" i="8"/>
  <c r="D1559" i="8"/>
  <c r="D1558" i="8"/>
  <c r="D1557" i="8"/>
  <c r="D1556" i="8"/>
  <c r="D1555" i="8"/>
  <c r="D1554" i="8"/>
  <c r="D1553" i="8"/>
  <c r="D1552" i="8"/>
  <c r="D1551" i="8"/>
  <c r="D1550" i="8"/>
  <c r="D1549" i="8"/>
  <c r="D1548" i="8"/>
  <c r="D1547" i="8"/>
  <c r="D1546" i="8"/>
  <c r="D1545" i="8"/>
  <c r="D1544" i="8"/>
  <c r="D1543" i="8"/>
  <c r="D1542" i="8"/>
  <c r="D1541" i="8"/>
  <c r="D1540" i="8"/>
  <c r="D1539" i="8"/>
  <c r="D1538" i="8"/>
  <c r="D1537" i="8"/>
  <c r="D1536" i="8"/>
  <c r="D1535" i="8"/>
  <c r="D1534" i="8"/>
  <c r="D1533" i="8"/>
  <c r="D1532" i="8"/>
  <c r="D1531" i="8"/>
  <c r="D1530" i="8"/>
  <c r="D1529" i="8"/>
  <c r="D1528" i="8"/>
  <c r="D1527" i="8"/>
  <c r="D1526" i="8"/>
  <c r="D1525" i="8"/>
  <c r="D1524" i="8"/>
  <c r="D1523" i="8"/>
  <c r="D1522" i="8"/>
  <c r="D1521" i="8"/>
  <c r="D1520" i="8"/>
  <c r="D1519" i="8"/>
  <c r="D1518" i="8"/>
  <c r="D1517" i="8"/>
  <c r="D1516" i="8"/>
  <c r="D1515" i="8"/>
  <c r="D1514" i="8"/>
  <c r="D1513" i="8"/>
  <c r="D1512" i="8"/>
  <c r="D1511" i="8"/>
  <c r="D1510" i="8"/>
  <c r="D1509" i="8"/>
  <c r="D1508" i="8"/>
  <c r="D1507" i="8"/>
  <c r="D1506" i="8"/>
  <c r="D1505" i="8"/>
  <c r="D1504" i="8"/>
  <c r="D1503" i="8"/>
  <c r="D1502" i="8"/>
  <c r="D1501" i="8"/>
  <c r="D1500" i="8"/>
  <c r="D1499" i="8"/>
  <c r="D1498" i="8"/>
  <c r="D1497" i="8"/>
  <c r="D1496" i="8"/>
  <c r="D1495" i="8"/>
  <c r="D1494" i="8"/>
  <c r="D1493" i="8"/>
  <c r="D1492" i="8"/>
  <c r="D1491" i="8"/>
  <c r="D1490" i="8"/>
  <c r="D1489" i="8"/>
  <c r="D1488" i="8"/>
  <c r="D1487" i="8"/>
  <c r="D1486" i="8"/>
  <c r="D1485" i="8"/>
  <c r="D1484" i="8"/>
  <c r="D1483" i="8"/>
  <c r="D1482" i="8"/>
  <c r="D1481" i="8"/>
  <c r="D1480" i="8"/>
  <c r="D1479" i="8"/>
  <c r="D1478" i="8"/>
  <c r="D1477" i="8"/>
  <c r="D1476" i="8"/>
  <c r="D1475" i="8"/>
  <c r="D1474" i="8"/>
  <c r="D1473" i="8"/>
  <c r="D1472" i="8"/>
  <c r="D1471" i="8"/>
  <c r="D1470" i="8"/>
  <c r="D1469" i="8"/>
  <c r="D1468" i="8"/>
  <c r="D1467" i="8"/>
  <c r="D1466" i="8"/>
  <c r="D1465" i="8"/>
  <c r="D1464" i="8"/>
  <c r="D1463" i="8"/>
  <c r="D1462" i="8"/>
  <c r="D1461" i="8"/>
  <c r="D1460" i="8"/>
  <c r="D1459" i="8"/>
  <c r="D1458" i="8"/>
  <c r="D1457" i="8"/>
  <c r="D1456" i="8"/>
  <c r="D1455" i="8"/>
  <c r="D1454" i="8"/>
  <c r="D1453" i="8"/>
  <c r="D1452" i="8"/>
  <c r="D1451" i="8"/>
  <c r="D1450" i="8"/>
  <c r="D1449" i="8"/>
  <c r="D1448" i="8"/>
  <c r="D1447" i="8"/>
  <c r="D1446" i="8"/>
  <c r="D1445" i="8"/>
  <c r="D1444" i="8"/>
  <c r="D1443" i="8"/>
  <c r="D1442" i="8"/>
  <c r="D1441" i="8"/>
  <c r="D1440" i="8"/>
  <c r="D1439" i="8"/>
  <c r="D1438" i="8"/>
  <c r="D1437" i="8"/>
  <c r="D1436" i="8"/>
  <c r="D1435" i="8"/>
  <c r="D1434" i="8"/>
  <c r="D1433" i="8"/>
  <c r="D1432" i="8"/>
  <c r="D1431" i="8"/>
  <c r="D1430" i="8"/>
  <c r="D1429" i="8"/>
  <c r="D1428" i="8"/>
  <c r="D1427" i="8"/>
  <c r="D1426" i="8"/>
  <c r="D1425" i="8"/>
  <c r="D1424" i="8"/>
  <c r="D1423" i="8"/>
  <c r="D1422" i="8"/>
  <c r="D1421" i="8"/>
  <c r="D1420" i="8"/>
  <c r="D1419" i="8"/>
  <c r="D1418" i="8"/>
  <c r="D1417" i="8"/>
  <c r="D1416" i="8"/>
  <c r="D1415" i="8"/>
  <c r="D1414" i="8"/>
  <c r="D1413" i="8"/>
  <c r="D1412" i="8"/>
  <c r="D1411" i="8"/>
  <c r="D1410" i="8"/>
  <c r="D1409" i="8"/>
  <c r="D1408" i="8"/>
  <c r="D1407" i="8"/>
  <c r="D1406" i="8"/>
  <c r="D1405" i="8"/>
  <c r="D1404" i="8"/>
  <c r="D1403" i="8"/>
  <c r="D1402" i="8"/>
  <c r="D1401" i="8"/>
  <c r="D1400" i="8"/>
  <c r="D1399" i="8"/>
  <c r="D1398" i="8"/>
  <c r="D1397" i="8"/>
  <c r="D1396" i="8"/>
  <c r="D1395" i="8"/>
  <c r="D1394" i="8"/>
  <c r="D1393" i="8"/>
  <c r="D1392" i="8"/>
  <c r="D1391" i="8"/>
  <c r="D1390" i="8"/>
  <c r="D1389" i="8"/>
  <c r="D1388" i="8"/>
  <c r="D1387" i="8"/>
  <c r="D1386" i="8"/>
  <c r="D1385" i="8"/>
  <c r="D1384" i="8"/>
  <c r="D1383" i="8"/>
  <c r="D1382" i="8"/>
  <c r="D1381" i="8"/>
  <c r="D1380" i="8"/>
  <c r="D1379" i="8"/>
  <c r="D1378" i="8"/>
  <c r="D1377" i="8"/>
  <c r="D1376" i="8"/>
  <c r="D1375" i="8"/>
  <c r="D1374" i="8"/>
  <c r="D1373" i="8"/>
  <c r="D1372" i="8"/>
  <c r="D1371" i="8"/>
  <c r="D1370" i="8"/>
  <c r="D1369" i="8"/>
  <c r="D1368" i="8"/>
  <c r="D1367" i="8"/>
  <c r="D1366" i="8"/>
  <c r="D1365" i="8"/>
  <c r="D1364" i="8"/>
  <c r="D1363" i="8"/>
  <c r="D1362" i="8"/>
  <c r="D1361" i="8"/>
  <c r="D1360" i="8"/>
  <c r="D1359" i="8"/>
  <c r="D1358" i="8"/>
  <c r="D1357" i="8"/>
  <c r="D1356" i="8"/>
  <c r="D1355" i="8"/>
  <c r="D1354" i="8"/>
  <c r="D1353" i="8"/>
  <c r="D1352" i="8"/>
  <c r="D1351" i="8"/>
  <c r="D1350" i="8"/>
  <c r="D1349" i="8"/>
  <c r="D1348" i="8"/>
  <c r="D1347" i="8"/>
  <c r="D1346" i="8"/>
  <c r="D1345" i="8"/>
  <c r="D1344" i="8"/>
  <c r="D1343" i="8"/>
  <c r="D1342" i="8"/>
  <c r="D1341" i="8"/>
  <c r="D1340" i="8"/>
  <c r="D1339" i="8"/>
  <c r="D1338" i="8"/>
  <c r="D1337" i="8"/>
  <c r="D1336" i="8"/>
  <c r="D1335" i="8"/>
  <c r="D1334" i="8"/>
  <c r="D1333" i="8"/>
  <c r="D1332" i="8"/>
  <c r="D1331" i="8"/>
  <c r="D1330" i="8"/>
  <c r="D1329" i="8"/>
  <c r="D1328" i="8"/>
  <c r="D1327" i="8"/>
  <c r="D1326" i="8"/>
  <c r="D1325" i="8"/>
  <c r="D1324" i="8"/>
  <c r="D1323" i="8"/>
  <c r="D1322" i="8"/>
  <c r="D1321" i="8"/>
  <c r="D1320" i="8"/>
  <c r="D1319" i="8"/>
  <c r="D1318" i="8"/>
  <c r="D1317" i="8"/>
  <c r="D1316" i="8"/>
  <c r="D1315" i="8"/>
  <c r="D1314" i="8"/>
  <c r="D1313" i="8"/>
  <c r="D1312" i="8"/>
  <c r="D1311" i="8"/>
  <c r="D1310" i="8"/>
  <c r="D1309" i="8"/>
  <c r="D1308" i="8"/>
  <c r="D1307" i="8"/>
  <c r="D1306" i="8"/>
  <c r="D1305" i="8"/>
  <c r="D1304" i="8"/>
  <c r="D1303" i="8"/>
  <c r="D1302" i="8"/>
  <c r="D1301" i="8"/>
  <c r="D1300" i="8"/>
  <c r="D1299" i="8"/>
  <c r="D1298" i="8"/>
  <c r="D1297" i="8"/>
  <c r="D1296" i="8"/>
  <c r="D1295" i="8"/>
  <c r="D1294" i="8"/>
  <c r="D1293" i="8"/>
  <c r="D1292" i="8"/>
  <c r="D1291" i="8"/>
  <c r="D1290" i="8"/>
  <c r="D1289" i="8"/>
  <c r="D1288" i="8"/>
  <c r="D1287" i="8"/>
  <c r="D1286" i="8"/>
  <c r="D1285" i="8"/>
  <c r="D1284" i="8"/>
  <c r="D1283" i="8"/>
  <c r="D1282" i="8"/>
  <c r="D1281" i="8"/>
  <c r="D1280" i="8"/>
  <c r="D1279" i="8"/>
  <c r="D1278" i="8"/>
  <c r="D1277" i="8"/>
  <c r="D1276" i="8"/>
  <c r="D1275" i="8"/>
  <c r="D1274" i="8"/>
  <c r="D1273" i="8"/>
  <c r="D1272" i="8"/>
  <c r="D1271" i="8"/>
  <c r="D1270" i="8"/>
  <c r="D1269" i="8"/>
  <c r="D1268" i="8"/>
  <c r="D1267" i="8"/>
  <c r="D1266" i="8"/>
  <c r="D1265" i="8"/>
  <c r="D1264" i="8"/>
  <c r="D1263" i="8"/>
  <c r="D1262" i="8"/>
  <c r="D1261" i="8"/>
  <c r="D1260" i="8"/>
  <c r="D1259" i="8"/>
  <c r="D1258" i="8"/>
  <c r="D1257" i="8"/>
  <c r="D1256" i="8"/>
  <c r="D1255" i="8"/>
  <c r="D1254" i="8"/>
  <c r="D1253" i="8"/>
  <c r="D1252" i="8"/>
  <c r="D1251" i="8"/>
  <c r="D1250" i="8"/>
  <c r="D1249" i="8"/>
  <c r="D1248" i="8"/>
  <c r="D1247" i="8"/>
  <c r="D1246" i="8"/>
  <c r="D1245" i="8"/>
  <c r="D1244" i="8"/>
  <c r="D1243" i="8"/>
  <c r="D1242" i="8"/>
  <c r="D1241" i="8"/>
  <c r="D1240" i="8"/>
  <c r="D1239" i="8"/>
  <c r="D1238" i="8"/>
  <c r="D1237" i="8"/>
  <c r="D1236" i="8"/>
  <c r="D1235" i="8"/>
  <c r="D1234" i="8"/>
  <c r="D1233" i="8"/>
  <c r="D1232" i="8"/>
  <c r="D1231" i="8"/>
  <c r="D1230" i="8"/>
  <c r="D1229" i="8"/>
  <c r="D1228" i="8"/>
  <c r="D1227" i="8"/>
  <c r="D1226" i="8"/>
  <c r="D1225" i="8"/>
  <c r="D1224" i="8"/>
  <c r="D1223" i="8"/>
  <c r="D1222" i="8"/>
  <c r="D1221" i="8"/>
  <c r="D1220" i="8"/>
  <c r="D1219" i="8"/>
  <c r="D1218" i="8"/>
  <c r="D1217" i="8"/>
  <c r="D1216" i="8"/>
  <c r="D1215" i="8"/>
  <c r="D1214" i="8"/>
  <c r="D1213" i="8"/>
  <c r="D1212" i="8"/>
  <c r="D1211" i="8"/>
  <c r="D1210" i="8"/>
  <c r="D1209" i="8"/>
  <c r="D1208" i="8"/>
  <c r="D1207" i="8"/>
  <c r="D1206" i="8"/>
  <c r="D1205" i="8"/>
  <c r="D1204" i="8"/>
  <c r="D1203" i="8"/>
  <c r="D1202" i="8"/>
  <c r="D1201" i="8"/>
  <c r="D1200" i="8"/>
  <c r="D1199" i="8"/>
  <c r="D1198" i="8"/>
  <c r="D1197" i="8"/>
  <c r="D1196" i="8"/>
  <c r="D1195" i="8"/>
  <c r="D1194" i="8"/>
  <c r="D1193" i="8"/>
  <c r="D1192" i="8"/>
  <c r="D1191" i="8"/>
  <c r="D1190" i="8"/>
  <c r="D1189" i="8"/>
  <c r="D1188" i="8"/>
  <c r="D1187" i="8"/>
  <c r="D1186" i="8"/>
  <c r="D1185" i="8"/>
  <c r="D1184" i="8"/>
  <c r="D1183" i="8"/>
  <c r="D1182" i="8"/>
  <c r="D1181" i="8"/>
  <c r="D1180" i="8"/>
  <c r="D1179" i="8"/>
  <c r="D1178" i="8"/>
  <c r="D1177" i="8"/>
  <c r="D1176" i="8"/>
  <c r="D1175" i="8"/>
  <c r="D1174" i="8"/>
  <c r="D1173" i="8"/>
  <c r="D1172" i="8"/>
  <c r="D1171" i="8"/>
  <c r="D1170" i="8"/>
  <c r="D1169" i="8"/>
  <c r="D1168" i="8"/>
  <c r="D1167" i="8"/>
  <c r="D1166" i="8"/>
  <c r="D1165" i="8"/>
  <c r="D1164" i="8"/>
  <c r="D1163" i="8"/>
  <c r="D1162" i="8"/>
  <c r="D1161" i="8"/>
  <c r="D1160" i="8"/>
  <c r="D1159" i="8"/>
  <c r="D1158" i="8"/>
  <c r="D1157" i="8"/>
  <c r="D1156" i="8"/>
  <c r="D1155" i="8"/>
  <c r="D1154" i="8"/>
  <c r="D1153" i="8"/>
  <c r="D1152" i="8"/>
  <c r="D1151" i="8"/>
  <c r="D1150" i="8"/>
  <c r="D1149" i="8"/>
  <c r="D1148" i="8"/>
  <c r="D1147" i="8"/>
  <c r="D1146" i="8"/>
  <c r="D1145" i="8"/>
  <c r="D1144" i="8"/>
  <c r="D1143" i="8"/>
  <c r="D1142" i="8"/>
  <c r="D1141" i="8"/>
  <c r="D1140" i="8"/>
  <c r="D1139" i="8"/>
  <c r="D1138" i="8"/>
  <c r="D1137" i="8"/>
  <c r="D1136" i="8"/>
  <c r="D1135" i="8"/>
  <c r="D1134" i="8"/>
  <c r="D1133" i="8"/>
  <c r="D1132" i="8"/>
  <c r="D1131" i="8"/>
  <c r="D1130" i="8"/>
  <c r="D1129" i="8"/>
  <c r="D1128" i="8"/>
  <c r="D1127" i="8"/>
  <c r="D1126" i="8"/>
  <c r="D1125" i="8"/>
  <c r="D1124" i="8"/>
  <c r="D1123" i="8"/>
  <c r="D1122" i="8"/>
  <c r="D1121" i="8"/>
  <c r="D1120" i="8"/>
  <c r="D1119" i="8"/>
  <c r="D1118" i="8"/>
  <c r="D1117" i="8"/>
  <c r="D1116" i="8"/>
  <c r="D1115" i="8"/>
  <c r="D1114" i="8"/>
  <c r="D1113" i="8"/>
  <c r="D1112" i="8"/>
  <c r="D1111" i="8"/>
  <c r="D1110" i="8"/>
  <c r="D1109" i="8"/>
  <c r="D1108" i="8"/>
  <c r="D1107" i="8"/>
  <c r="D1106" i="8"/>
  <c r="D1105" i="8"/>
  <c r="D1104" i="8"/>
  <c r="D1103" i="8"/>
  <c r="D1102" i="8"/>
  <c r="D1101" i="8"/>
  <c r="D1100" i="8"/>
  <c r="D1099" i="8"/>
  <c r="D1098" i="8"/>
  <c r="D1097" i="8"/>
  <c r="D1096" i="8"/>
  <c r="D1095" i="8"/>
  <c r="D1094" i="8"/>
  <c r="D1093" i="8"/>
  <c r="D1092" i="8"/>
  <c r="D1091" i="8"/>
  <c r="D1090" i="8"/>
  <c r="D1089" i="8"/>
  <c r="D1088" i="8"/>
  <c r="D1087" i="8"/>
  <c r="D1086" i="8"/>
  <c r="D1085" i="8"/>
  <c r="D1084" i="8"/>
  <c r="D1083" i="8"/>
  <c r="D1082" i="8"/>
  <c r="D1081" i="8"/>
  <c r="D1080" i="8"/>
  <c r="D1079" i="8"/>
  <c r="D1078" i="8"/>
  <c r="D1077" i="8"/>
  <c r="D1076" i="8"/>
  <c r="D1075" i="8"/>
  <c r="D1074" i="8"/>
  <c r="D1073" i="8"/>
  <c r="D1072" i="8"/>
  <c r="D1071" i="8"/>
  <c r="D1070" i="8"/>
  <c r="D1069" i="8"/>
  <c r="D1068" i="8"/>
  <c r="D1067" i="8"/>
  <c r="D1066" i="8"/>
  <c r="D1065" i="8"/>
  <c r="D1064" i="8"/>
  <c r="D1063" i="8"/>
  <c r="D1062" i="8"/>
  <c r="D1061" i="8"/>
  <c r="D1060" i="8"/>
  <c r="D1059" i="8"/>
  <c r="D1058" i="8"/>
  <c r="D1057" i="8"/>
  <c r="D1056" i="8"/>
  <c r="D1055" i="8"/>
  <c r="D1054" i="8"/>
  <c r="D1053" i="8"/>
  <c r="D1052" i="8"/>
  <c r="D1051" i="8"/>
  <c r="D1050" i="8"/>
  <c r="D1049" i="8"/>
  <c r="D1048" i="8"/>
  <c r="D1047" i="8"/>
  <c r="D1046" i="8"/>
  <c r="D1045" i="8"/>
  <c r="D1044" i="8"/>
  <c r="D1043" i="8"/>
  <c r="D1042" i="8"/>
  <c r="D1041" i="8"/>
  <c r="D1040" i="8"/>
  <c r="D1039" i="8"/>
  <c r="D1038" i="8"/>
  <c r="D1037" i="8"/>
  <c r="D1036" i="8"/>
  <c r="D1035" i="8"/>
  <c r="D1034" i="8"/>
  <c r="D1033" i="8"/>
  <c r="D1032" i="8"/>
  <c r="D1031" i="8"/>
  <c r="D1030" i="8"/>
  <c r="D1029" i="8"/>
  <c r="D1028" i="8"/>
  <c r="D1027" i="8"/>
  <c r="D1026" i="8"/>
  <c r="D1025" i="8"/>
  <c r="D1024" i="8"/>
  <c r="D1023" i="8"/>
  <c r="D1022" i="8"/>
  <c r="D1021" i="8"/>
  <c r="D1020" i="8"/>
  <c r="D1019" i="8"/>
  <c r="D1018" i="8"/>
  <c r="D1017" i="8"/>
  <c r="D1016" i="8"/>
  <c r="D1015" i="8"/>
  <c r="D1014" i="8"/>
  <c r="D1013" i="8"/>
  <c r="D1012" i="8"/>
  <c r="D1011" i="8"/>
  <c r="D1010" i="8"/>
  <c r="D1009" i="8"/>
  <c r="D1008" i="8"/>
  <c r="D1007" i="8"/>
  <c r="D1006" i="8"/>
  <c r="D1005" i="8"/>
  <c r="D1004" i="8"/>
  <c r="D1003" i="8"/>
  <c r="D1002" i="8"/>
  <c r="D1001" i="8"/>
  <c r="D1000" i="8"/>
  <c r="D999" i="8"/>
  <c r="D998" i="8"/>
  <c r="D997" i="8"/>
  <c r="D996" i="8"/>
  <c r="D995" i="8"/>
  <c r="D994" i="8"/>
  <c r="D993" i="8"/>
  <c r="D992" i="8"/>
  <c r="D991" i="8"/>
  <c r="D990" i="8"/>
  <c r="D989" i="8"/>
  <c r="D988" i="8"/>
  <c r="D987" i="8"/>
  <c r="D986" i="8"/>
  <c r="D985" i="8"/>
  <c r="D984" i="8"/>
  <c r="D983" i="8"/>
  <c r="D982" i="8"/>
  <c r="D981" i="8"/>
  <c r="D980" i="8"/>
  <c r="D979" i="8"/>
  <c r="D978" i="8"/>
  <c r="D977" i="8"/>
  <c r="D976" i="8"/>
  <c r="D975" i="8"/>
  <c r="D974" i="8"/>
  <c r="D973" i="8"/>
  <c r="D972" i="8"/>
  <c r="D971" i="8"/>
  <c r="D970" i="8"/>
  <c r="D969" i="8"/>
  <c r="D968" i="8"/>
  <c r="D967" i="8"/>
  <c r="D966" i="8"/>
  <c r="D965" i="8"/>
  <c r="D964" i="8"/>
  <c r="D963" i="8"/>
  <c r="D962" i="8"/>
  <c r="D961" i="8"/>
  <c r="D960" i="8"/>
  <c r="D959" i="8"/>
  <c r="D958" i="8"/>
  <c r="D957" i="8"/>
  <c r="D956" i="8"/>
  <c r="D955" i="8"/>
  <c r="D954" i="8"/>
  <c r="D953" i="8"/>
  <c r="D952" i="8"/>
  <c r="D951" i="8"/>
  <c r="D950" i="8"/>
  <c r="D949" i="8"/>
  <c r="D948" i="8"/>
  <c r="D947" i="8"/>
  <c r="D946" i="8"/>
  <c r="D945" i="8"/>
  <c r="D944" i="8"/>
  <c r="D943" i="8"/>
  <c r="D942" i="8"/>
  <c r="D941" i="8"/>
  <c r="D940" i="8"/>
  <c r="D939" i="8"/>
  <c r="D938" i="8"/>
  <c r="D937" i="8"/>
  <c r="D936" i="8"/>
  <c r="D935" i="8"/>
  <c r="D934" i="8"/>
  <c r="D933" i="8"/>
  <c r="D932" i="8"/>
  <c r="D931" i="8"/>
  <c r="D930" i="8"/>
  <c r="D929" i="8"/>
  <c r="D928" i="8"/>
  <c r="D927" i="8"/>
  <c r="D926" i="8"/>
  <c r="D925" i="8"/>
  <c r="D924" i="8"/>
  <c r="D923" i="8"/>
  <c r="D922" i="8"/>
  <c r="D921" i="8"/>
  <c r="D920" i="8"/>
  <c r="D919" i="8"/>
  <c r="D918" i="8"/>
  <c r="D917" i="8"/>
  <c r="D916" i="8"/>
  <c r="D915" i="8"/>
  <c r="D914" i="8"/>
  <c r="D913" i="8"/>
  <c r="D912" i="8"/>
  <c r="D911" i="8"/>
  <c r="D910" i="8"/>
  <c r="D909" i="8"/>
  <c r="D908" i="8"/>
  <c r="D907" i="8"/>
  <c r="D906" i="8"/>
  <c r="D905" i="8"/>
  <c r="D904" i="8"/>
  <c r="D903" i="8"/>
  <c r="D902" i="8"/>
  <c r="D901" i="8"/>
  <c r="D900" i="8"/>
  <c r="D899" i="8"/>
  <c r="D898" i="8"/>
  <c r="D897" i="8"/>
  <c r="D896" i="8"/>
  <c r="D895" i="8"/>
  <c r="D894" i="8"/>
  <c r="D893" i="8"/>
  <c r="D892" i="8"/>
  <c r="D891" i="8"/>
  <c r="D890" i="8"/>
  <c r="D889" i="8"/>
  <c r="D888" i="8"/>
  <c r="D887" i="8"/>
  <c r="D886" i="8"/>
  <c r="D885" i="8"/>
  <c r="D884" i="8"/>
  <c r="D883" i="8"/>
  <c r="D882" i="8"/>
  <c r="D881" i="8"/>
  <c r="D880" i="8"/>
  <c r="D879" i="8"/>
  <c r="D878" i="8"/>
  <c r="D877" i="8"/>
  <c r="D876" i="8"/>
  <c r="D875" i="8"/>
  <c r="D874" i="8"/>
  <c r="D873" i="8"/>
  <c r="D872" i="8"/>
  <c r="D871" i="8"/>
  <c r="D870" i="8"/>
  <c r="D869" i="8"/>
  <c r="D868" i="8"/>
  <c r="D867" i="8"/>
  <c r="D866" i="8"/>
  <c r="D865" i="8"/>
  <c r="D864" i="8"/>
  <c r="D863" i="8"/>
  <c r="D862" i="8"/>
  <c r="D861" i="8"/>
  <c r="D860" i="8"/>
  <c r="D859" i="8"/>
  <c r="D858" i="8"/>
  <c r="D857" i="8"/>
  <c r="D856" i="8"/>
  <c r="D855" i="8"/>
  <c r="D854" i="8"/>
  <c r="D853" i="8"/>
  <c r="D852" i="8"/>
  <c r="D851" i="8"/>
  <c r="D850" i="8"/>
  <c r="D849" i="8"/>
  <c r="D848" i="8"/>
  <c r="D847" i="8"/>
  <c r="D846" i="8"/>
  <c r="D845" i="8"/>
  <c r="D844" i="8"/>
  <c r="D843" i="8"/>
  <c r="D842" i="8"/>
  <c r="D841" i="8"/>
  <c r="D840" i="8"/>
  <c r="D839" i="8"/>
  <c r="D838" i="8"/>
  <c r="D837" i="8"/>
  <c r="D836" i="8"/>
  <c r="D835" i="8"/>
  <c r="D834" i="8"/>
  <c r="D833" i="8"/>
  <c r="D832" i="8"/>
  <c r="D831" i="8"/>
  <c r="D830" i="8"/>
  <c r="D829" i="8"/>
  <c r="D828" i="8"/>
  <c r="D827" i="8"/>
  <c r="D826" i="8"/>
  <c r="D825" i="8"/>
  <c r="D824" i="8"/>
  <c r="D823" i="8"/>
  <c r="D822" i="8"/>
  <c r="D821" i="8"/>
  <c r="D820" i="8"/>
  <c r="D819" i="8"/>
  <c r="D818" i="8"/>
  <c r="D817" i="8"/>
  <c r="D816" i="8"/>
  <c r="D815" i="8"/>
  <c r="D814" i="8"/>
  <c r="D813" i="8"/>
  <c r="D812" i="8"/>
  <c r="D811" i="8"/>
  <c r="D810" i="8"/>
  <c r="D809" i="8"/>
  <c r="D808" i="8"/>
  <c r="D807" i="8"/>
  <c r="D806" i="8"/>
  <c r="D805" i="8"/>
  <c r="D804" i="8"/>
  <c r="D803" i="8"/>
  <c r="D802" i="8"/>
  <c r="D801" i="8"/>
  <c r="D800" i="8"/>
  <c r="D799" i="8"/>
  <c r="D798" i="8"/>
  <c r="D797" i="8"/>
  <c r="D796" i="8"/>
  <c r="D795" i="8"/>
  <c r="D794" i="8"/>
  <c r="D793" i="8"/>
  <c r="D792" i="8"/>
  <c r="D791" i="8"/>
  <c r="D790" i="8"/>
  <c r="D789" i="8"/>
  <c r="D788" i="8"/>
  <c r="D787" i="8"/>
  <c r="D786" i="8"/>
  <c r="D785" i="8"/>
  <c r="D784" i="8"/>
  <c r="D783" i="8"/>
  <c r="D782" i="8"/>
  <c r="D781" i="8"/>
  <c r="D780" i="8"/>
  <c r="D779" i="8"/>
  <c r="D778" i="8"/>
  <c r="D777" i="8"/>
  <c r="D776" i="8"/>
  <c r="D775" i="8"/>
  <c r="D774" i="8"/>
  <c r="D773" i="8"/>
  <c r="D772" i="8"/>
  <c r="D771" i="8"/>
  <c r="D770" i="8"/>
  <c r="D769" i="8"/>
  <c r="D768" i="8"/>
  <c r="D767" i="8"/>
  <c r="D766" i="8"/>
  <c r="D765" i="8"/>
  <c r="D764" i="8"/>
  <c r="D763" i="8"/>
  <c r="D762" i="8"/>
  <c r="D761" i="8"/>
  <c r="D760" i="8"/>
  <c r="D759" i="8"/>
  <c r="D758" i="8"/>
  <c r="D757" i="8"/>
  <c r="D756" i="8"/>
  <c r="D755" i="8"/>
  <c r="D754" i="8"/>
  <c r="D753" i="8"/>
  <c r="D752" i="8"/>
  <c r="D751" i="8"/>
  <c r="D750" i="8"/>
  <c r="D749" i="8"/>
  <c r="D748" i="8"/>
  <c r="D747" i="8"/>
  <c r="D746" i="8"/>
  <c r="D745" i="8"/>
  <c r="D744" i="8"/>
  <c r="D743" i="8"/>
  <c r="D742" i="8"/>
  <c r="D741" i="8"/>
  <c r="D740" i="8"/>
  <c r="D739" i="8"/>
  <c r="D738" i="8"/>
  <c r="D737" i="8"/>
  <c r="D736" i="8"/>
  <c r="D735" i="8"/>
  <c r="D734" i="8"/>
  <c r="D733" i="8"/>
  <c r="D732" i="8"/>
  <c r="D731" i="8"/>
  <c r="D730" i="8"/>
  <c r="D729" i="8"/>
  <c r="D728" i="8"/>
  <c r="D727" i="8"/>
  <c r="D726" i="8"/>
  <c r="D725" i="8"/>
  <c r="D724" i="8"/>
  <c r="D723" i="8"/>
  <c r="D722" i="8"/>
  <c r="D721" i="8"/>
  <c r="D720" i="8"/>
  <c r="D719" i="8"/>
  <c r="D718" i="8"/>
  <c r="D717" i="8"/>
  <c r="D716" i="8"/>
  <c r="D715" i="8"/>
  <c r="D714" i="8"/>
  <c r="D713" i="8"/>
  <c r="D712" i="8"/>
  <c r="D711" i="8"/>
  <c r="D710" i="8"/>
  <c r="D709" i="8"/>
  <c r="D708" i="8"/>
  <c r="D707" i="8"/>
  <c r="D706" i="8"/>
  <c r="D705" i="8"/>
  <c r="D704" i="8"/>
  <c r="D703" i="8"/>
  <c r="D702" i="8"/>
  <c r="D701" i="8"/>
  <c r="D700" i="8"/>
  <c r="D699" i="8"/>
  <c r="D698" i="8"/>
  <c r="D697" i="8"/>
  <c r="D696" i="8"/>
  <c r="D695" i="8"/>
  <c r="D694" i="8"/>
  <c r="D693" i="8"/>
  <c r="D692" i="8"/>
  <c r="D691" i="8"/>
  <c r="D690" i="8"/>
  <c r="D689" i="8"/>
  <c r="D688" i="8"/>
  <c r="D687" i="8"/>
  <c r="D686" i="8"/>
  <c r="D685" i="8"/>
  <c r="D684" i="8"/>
  <c r="D683" i="8"/>
  <c r="D682" i="8"/>
  <c r="D681" i="8"/>
  <c r="D680" i="8"/>
  <c r="D679" i="8"/>
  <c r="D678" i="8"/>
  <c r="D677" i="8"/>
  <c r="D676" i="8"/>
  <c r="D675" i="8"/>
  <c r="D674" i="8"/>
  <c r="D673" i="8"/>
  <c r="D672" i="8"/>
  <c r="D671" i="8"/>
  <c r="D670" i="8"/>
  <c r="D669" i="8"/>
  <c r="D668" i="8"/>
  <c r="D667" i="8"/>
  <c r="D666" i="8"/>
  <c r="D665" i="8"/>
  <c r="D664" i="8"/>
  <c r="D663" i="8"/>
  <c r="D662" i="8"/>
  <c r="D661" i="8"/>
  <c r="D660" i="8"/>
  <c r="D659" i="8"/>
  <c r="D658" i="8"/>
  <c r="D657" i="8"/>
  <c r="D656" i="8"/>
  <c r="D655" i="8"/>
  <c r="D654" i="8"/>
  <c r="D653" i="8"/>
  <c r="D652" i="8"/>
  <c r="D651" i="8"/>
  <c r="D650" i="8"/>
  <c r="D649" i="8"/>
  <c r="D648" i="8"/>
  <c r="D647" i="8"/>
  <c r="D646" i="8"/>
  <c r="D645" i="8"/>
  <c r="D644" i="8"/>
  <c r="D643" i="8"/>
  <c r="D642" i="8"/>
  <c r="D641" i="8"/>
  <c r="D640" i="8"/>
  <c r="D639" i="8"/>
  <c r="D638" i="8"/>
  <c r="D637" i="8"/>
  <c r="D636" i="8"/>
  <c r="D635" i="8"/>
  <c r="D634" i="8"/>
  <c r="D633" i="8"/>
  <c r="D632" i="8"/>
  <c r="D631" i="8"/>
  <c r="D630" i="8"/>
  <c r="D629" i="8"/>
  <c r="D628" i="8"/>
  <c r="D627" i="8"/>
  <c r="D626" i="8"/>
  <c r="D625" i="8"/>
  <c r="D624" i="8"/>
  <c r="D623" i="8"/>
  <c r="D622" i="8"/>
  <c r="D621" i="8"/>
  <c r="D620" i="8"/>
  <c r="D619" i="8"/>
  <c r="D618" i="8"/>
  <c r="D617" i="8"/>
  <c r="D616" i="8"/>
  <c r="D615" i="8"/>
  <c r="D614" i="8"/>
  <c r="D613" i="8"/>
  <c r="D612" i="8"/>
  <c r="D611" i="8"/>
  <c r="D610" i="8"/>
  <c r="D609" i="8"/>
  <c r="D608" i="8"/>
  <c r="D607" i="8"/>
  <c r="D606" i="8"/>
  <c r="D605" i="8"/>
  <c r="D604" i="8"/>
  <c r="D603" i="8"/>
  <c r="D602" i="8"/>
  <c r="D601" i="8"/>
  <c r="D600" i="8"/>
  <c r="D599" i="8"/>
  <c r="D598" i="8"/>
  <c r="D597" i="8"/>
  <c r="D596" i="8"/>
  <c r="D595" i="8"/>
  <c r="D594" i="8"/>
  <c r="D593" i="8"/>
  <c r="D592" i="8"/>
  <c r="D591" i="8"/>
  <c r="D590" i="8"/>
  <c r="D589" i="8"/>
  <c r="D588" i="8"/>
  <c r="D587" i="8"/>
  <c r="D586" i="8"/>
  <c r="D585" i="8"/>
  <c r="D584" i="8"/>
  <c r="D583" i="8"/>
  <c r="D582" i="8"/>
  <c r="D581" i="8"/>
  <c r="D580" i="8"/>
  <c r="D579" i="8"/>
  <c r="D578" i="8"/>
  <c r="D577" i="8"/>
  <c r="D576" i="8"/>
  <c r="D575" i="8"/>
  <c r="D574" i="8"/>
  <c r="D573" i="8"/>
  <c r="D572" i="8"/>
  <c r="D571" i="8"/>
  <c r="D570" i="8"/>
  <c r="D569" i="8"/>
  <c r="D568" i="8"/>
  <c r="D567" i="8"/>
  <c r="D566" i="8"/>
  <c r="D565" i="8"/>
  <c r="D564" i="8"/>
  <c r="D563" i="8"/>
  <c r="D562" i="8"/>
  <c r="D561" i="8"/>
  <c r="D560" i="8"/>
  <c r="D559" i="8"/>
  <c r="D558" i="8"/>
  <c r="D557" i="8"/>
  <c r="D556" i="8"/>
  <c r="D555" i="8"/>
  <c r="D554" i="8"/>
  <c r="D553" i="8"/>
  <c r="D552" i="8"/>
  <c r="D551" i="8"/>
  <c r="D550" i="8"/>
  <c r="D549" i="8"/>
  <c r="D548" i="8"/>
  <c r="D547" i="8"/>
  <c r="D546" i="8"/>
  <c r="D545" i="8"/>
  <c r="D544" i="8"/>
  <c r="D543" i="8"/>
  <c r="D542" i="8"/>
  <c r="D541" i="8"/>
  <c r="D540" i="8"/>
  <c r="D539" i="8"/>
  <c r="D538" i="8"/>
  <c r="D537" i="8"/>
  <c r="D536" i="8"/>
  <c r="D535" i="8"/>
  <c r="D534" i="8"/>
  <c r="D533" i="8"/>
  <c r="D532" i="8"/>
  <c r="D531" i="8"/>
  <c r="D530" i="8"/>
  <c r="D529" i="8"/>
  <c r="D528" i="8"/>
  <c r="D527" i="8"/>
  <c r="D526" i="8"/>
  <c r="D525" i="8"/>
  <c r="D524" i="8"/>
  <c r="D523" i="8"/>
  <c r="D522" i="8"/>
  <c r="D521" i="8"/>
  <c r="D520" i="8"/>
  <c r="D519" i="8"/>
  <c r="D518" i="8"/>
  <c r="D517" i="8"/>
  <c r="D516" i="8"/>
  <c r="D515" i="8"/>
  <c r="D514" i="8"/>
  <c r="D513" i="8"/>
  <c r="D512" i="8"/>
  <c r="D511" i="8"/>
  <c r="D510" i="8"/>
  <c r="D509" i="8"/>
  <c r="D508" i="8"/>
  <c r="D507" i="8"/>
  <c r="D506" i="8"/>
  <c r="D505" i="8"/>
  <c r="D504" i="8"/>
  <c r="D503" i="8"/>
  <c r="D502" i="8"/>
  <c r="D501" i="8"/>
  <c r="D500" i="8"/>
  <c r="D499" i="8"/>
  <c r="D498" i="8"/>
  <c r="D497" i="8"/>
  <c r="D496" i="8"/>
  <c r="D495" i="8"/>
  <c r="D494" i="8"/>
  <c r="D493" i="8"/>
  <c r="D492" i="8"/>
  <c r="D491" i="8"/>
  <c r="D490" i="8"/>
  <c r="D489" i="8"/>
  <c r="D488" i="8"/>
  <c r="D487" i="8"/>
  <c r="D486" i="8"/>
  <c r="D485" i="8"/>
  <c r="D484" i="8"/>
  <c r="D483" i="8"/>
  <c r="D482" i="8"/>
  <c r="D481" i="8"/>
  <c r="D480" i="8"/>
  <c r="D479" i="8"/>
  <c r="D478" i="8"/>
  <c r="D477" i="8"/>
  <c r="D476" i="8"/>
  <c r="D475" i="8"/>
  <c r="D474" i="8"/>
  <c r="D473" i="8"/>
  <c r="D472" i="8"/>
  <c r="D471" i="8"/>
  <c r="D470" i="8"/>
  <c r="D469" i="8"/>
  <c r="D468" i="8"/>
  <c r="D467" i="8"/>
  <c r="D466" i="8"/>
  <c r="D465" i="8"/>
  <c r="D464" i="8"/>
  <c r="D463" i="8"/>
  <c r="D462" i="8"/>
  <c r="D461" i="8"/>
  <c r="D460" i="8"/>
  <c r="D459" i="8"/>
  <c r="D458" i="8"/>
  <c r="D457" i="8"/>
  <c r="D456" i="8"/>
  <c r="D455" i="8"/>
  <c r="D454" i="8"/>
  <c r="D453" i="8"/>
  <c r="D452" i="8"/>
  <c r="D451" i="8"/>
  <c r="D450" i="8"/>
  <c r="D449" i="8"/>
  <c r="D448" i="8"/>
  <c r="D447" i="8"/>
  <c r="D446" i="8"/>
  <c r="D445" i="8"/>
  <c r="D444" i="8"/>
  <c r="D443" i="8"/>
  <c r="D442" i="8"/>
  <c r="D441" i="8"/>
  <c r="D440" i="8"/>
  <c r="D439" i="8"/>
  <c r="D438" i="8"/>
  <c r="D437" i="8"/>
  <c r="D436" i="8"/>
  <c r="D435" i="8"/>
  <c r="D434" i="8"/>
  <c r="D433" i="8"/>
  <c r="D432" i="8"/>
  <c r="D431" i="8"/>
  <c r="D430" i="8"/>
  <c r="D429" i="8"/>
  <c r="D428" i="8"/>
  <c r="D427" i="8"/>
  <c r="D426" i="8"/>
  <c r="D425" i="8"/>
  <c r="D424" i="8"/>
  <c r="D423" i="8"/>
  <c r="D422" i="8"/>
  <c r="D421" i="8"/>
  <c r="D420" i="8"/>
  <c r="D419" i="8"/>
  <c r="D418" i="8"/>
  <c r="D417" i="8"/>
  <c r="D416" i="8"/>
  <c r="D415" i="8"/>
  <c r="D414" i="8"/>
  <c r="D413" i="8"/>
  <c r="D412" i="8"/>
  <c r="D411" i="8"/>
  <c r="D410" i="8"/>
  <c r="D409" i="8"/>
  <c r="D408" i="8"/>
  <c r="D407" i="8"/>
  <c r="D406" i="8"/>
  <c r="D405" i="8"/>
  <c r="D404" i="8"/>
  <c r="D403" i="8"/>
  <c r="D402" i="8"/>
  <c r="D401" i="8"/>
  <c r="D400" i="8"/>
  <c r="D399" i="8"/>
  <c r="D398" i="8"/>
  <c r="D397" i="8"/>
  <c r="D396" i="8"/>
  <c r="D395" i="8"/>
  <c r="D394" i="8"/>
  <c r="D393" i="8"/>
  <c r="D392" i="8"/>
  <c r="D391" i="8"/>
  <c r="D390" i="8"/>
  <c r="D389" i="8"/>
  <c r="D388" i="8"/>
  <c r="D387" i="8"/>
  <c r="D386" i="8"/>
  <c r="D385" i="8"/>
  <c r="D384" i="8"/>
  <c r="D383" i="8"/>
  <c r="D382" i="8"/>
  <c r="D381" i="8"/>
  <c r="D380" i="8"/>
  <c r="D379" i="8"/>
  <c r="D378" i="8"/>
  <c r="D377" i="8"/>
  <c r="D376" i="8"/>
  <c r="D375" i="8"/>
  <c r="D374" i="8"/>
  <c r="D373" i="8"/>
  <c r="D372" i="8"/>
  <c r="D371" i="8"/>
  <c r="D370" i="8"/>
  <c r="D369" i="8"/>
  <c r="D368" i="8"/>
  <c r="D367" i="8"/>
  <c r="D366" i="8"/>
  <c r="D365" i="8"/>
  <c r="D364" i="8"/>
  <c r="D363" i="8"/>
  <c r="D362" i="8"/>
  <c r="D361" i="8"/>
  <c r="D360" i="8"/>
  <c r="D359" i="8"/>
  <c r="D358" i="8"/>
  <c r="D357" i="8"/>
  <c r="D356" i="8"/>
  <c r="D355" i="8"/>
  <c r="D354" i="8"/>
  <c r="D353" i="8"/>
  <c r="D352" i="8"/>
  <c r="D351" i="8"/>
  <c r="D350" i="8"/>
  <c r="D349" i="8"/>
  <c r="D348" i="8"/>
  <c r="D347" i="8"/>
  <c r="D346" i="8"/>
  <c r="D345" i="8"/>
  <c r="D344" i="8"/>
  <c r="D343" i="8"/>
  <c r="D342" i="8"/>
  <c r="D341" i="8"/>
  <c r="D340" i="8"/>
  <c r="D339" i="8"/>
  <c r="D338" i="8"/>
  <c r="D337" i="8"/>
  <c r="D336" i="8"/>
  <c r="D335" i="8"/>
  <c r="D334" i="8"/>
  <c r="D333" i="8"/>
  <c r="D332" i="8"/>
  <c r="D331" i="8"/>
  <c r="D330" i="8"/>
  <c r="D329" i="8"/>
  <c r="D328" i="8"/>
  <c r="D327" i="8"/>
  <c r="D326" i="8"/>
  <c r="D325" i="8"/>
  <c r="D324" i="8"/>
  <c r="D323" i="8"/>
  <c r="D322" i="8"/>
  <c r="D321" i="8"/>
  <c r="D320" i="8"/>
  <c r="D319" i="8"/>
  <c r="D318" i="8"/>
  <c r="D317" i="8"/>
  <c r="D316" i="8"/>
  <c r="D315" i="8"/>
  <c r="D314" i="8"/>
  <c r="D313" i="8"/>
  <c r="D312" i="8"/>
  <c r="D311" i="8"/>
  <c r="D310" i="8"/>
  <c r="D309" i="8"/>
  <c r="D308" i="8"/>
  <c r="D307" i="8"/>
  <c r="D306" i="8"/>
  <c r="D305" i="8"/>
  <c r="D304" i="8"/>
  <c r="D303" i="8"/>
  <c r="D302" i="8"/>
  <c r="D301" i="8"/>
  <c r="D300" i="8"/>
  <c r="D299" i="8"/>
  <c r="D298" i="8"/>
  <c r="D297" i="8"/>
  <c r="D296" i="8"/>
  <c r="D295" i="8"/>
  <c r="D294" i="8"/>
  <c r="D293" i="8"/>
  <c r="D292" i="8"/>
  <c r="D291" i="8"/>
  <c r="D290" i="8"/>
  <c r="D289" i="8"/>
  <c r="D288" i="8"/>
  <c r="D287" i="8"/>
  <c r="D286" i="8"/>
  <c r="D285" i="8"/>
  <c r="D284" i="8"/>
  <c r="D283" i="8"/>
  <c r="D282" i="8"/>
  <c r="D281" i="8"/>
  <c r="D280" i="8"/>
  <c r="D279" i="8"/>
  <c r="D278" i="8"/>
  <c r="D277" i="8"/>
  <c r="D276" i="8"/>
  <c r="D275" i="8"/>
  <c r="D274" i="8"/>
  <c r="D273" i="8"/>
  <c r="D272" i="8"/>
  <c r="D271" i="8"/>
  <c r="D270" i="8"/>
  <c r="D269" i="8"/>
  <c r="D268" i="8"/>
  <c r="D267" i="8"/>
  <c r="D266" i="8"/>
  <c r="D265" i="8"/>
  <c r="D264" i="8"/>
  <c r="D263" i="8"/>
  <c r="D262" i="8"/>
  <c r="D261" i="8"/>
  <c r="D260" i="8"/>
  <c r="D259" i="8"/>
  <c r="D258" i="8"/>
  <c r="D257" i="8"/>
  <c r="D256" i="8"/>
  <c r="D255" i="8"/>
  <c r="D254" i="8"/>
  <c r="D253" i="8"/>
  <c r="D252" i="8"/>
  <c r="D251" i="8"/>
  <c r="D250" i="8"/>
  <c r="D249" i="8"/>
  <c r="D248" i="8"/>
  <c r="D247" i="8"/>
  <c r="D246" i="8"/>
  <c r="D245" i="8"/>
  <c r="D244" i="8"/>
  <c r="D243" i="8"/>
  <c r="D242" i="8"/>
  <c r="D241" i="8"/>
  <c r="D240" i="8"/>
  <c r="D239" i="8"/>
  <c r="D238" i="8"/>
  <c r="D237" i="8"/>
  <c r="D236" i="8"/>
  <c r="D235" i="8"/>
  <c r="D234" i="8"/>
  <c r="D233" i="8"/>
  <c r="D232" i="8"/>
  <c r="D231" i="8"/>
  <c r="D230" i="8"/>
  <c r="D229" i="8"/>
  <c r="D228" i="8"/>
  <c r="D227" i="8"/>
  <c r="D226" i="8"/>
  <c r="D225" i="8"/>
  <c r="D224" i="8"/>
  <c r="D223" i="8"/>
  <c r="D222" i="8"/>
  <c r="D221" i="8"/>
  <c r="D220" i="8"/>
  <c r="D219" i="8"/>
  <c r="D218" i="8"/>
  <c r="D217" i="8"/>
  <c r="D216" i="8"/>
  <c r="D215" i="8"/>
  <c r="D214" i="8"/>
  <c r="D213" i="8"/>
  <c r="D212" i="8"/>
  <c r="D211" i="8"/>
  <c r="D210" i="8"/>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59" i="8"/>
  <c r="E8" i="8" l="1"/>
  <c r="F8" i="8" s="1"/>
  <c r="AE87" i="12"/>
  <c r="AD87" i="12"/>
  <c r="AC87" i="12"/>
  <c r="AB87" i="12"/>
  <c r="AA87" i="12"/>
  <c r="Z87" i="12"/>
  <c r="Y87" i="12"/>
  <c r="X87" i="12"/>
  <c r="W87" i="12"/>
  <c r="V87" i="12"/>
  <c r="U87" i="12"/>
  <c r="T87" i="12"/>
  <c r="S87" i="12"/>
  <c r="R87" i="12"/>
  <c r="Q87" i="12"/>
  <c r="P87" i="12"/>
  <c r="O87" i="12"/>
  <c r="N87" i="12"/>
  <c r="M87" i="12"/>
  <c r="L87" i="12"/>
  <c r="K87" i="12"/>
  <c r="J87" i="12"/>
  <c r="I87" i="12"/>
  <c r="H87" i="12"/>
  <c r="G87" i="12"/>
  <c r="F87" i="12"/>
  <c r="E87" i="12"/>
  <c r="D87" i="12"/>
  <c r="C87" i="12"/>
  <c r="B87" i="12"/>
  <c r="A87" i="12"/>
  <c r="E6" i="12"/>
  <c r="B7" i="12"/>
  <c r="B6" i="12"/>
  <c r="E7" i="12" l="1"/>
  <c r="A49" i="12"/>
  <c r="A88" i="12" s="1"/>
  <c r="N98" i="12"/>
  <c r="O98" i="12" s="1"/>
  <c r="P98" i="12" s="1"/>
  <c r="Q98" i="12" s="1"/>
  <c r="R98" i="12" s="1"/>
  <c r="S98" i="12" s="1"/>
  <c r="T98" i="12" s="1"/>
  <c r="U98" i="12" s="1"/>
  <c r="V98" i="12" s="1"/>
  <c r="W98" i="12" s="1"/>
  <c r="X98" i="12" s="1"/>
  <c r="Y98" i="12" s="1"/>
  <c r="Z98" i="12" s="1"/>
  <c r="AA98" i="12" s="1"/>
  <c r="AB98" i="12" s="1"/>
  <c r="AC98" i="12" s="1"/>
  <c r="AD98" i="12" s="1"/>
  <c r="AE98" i="12" s="1"/>
  <c r="N16" i="12"/>
  <c r="O16" i="12" s="1"/>
  <c r="P16" i="12" s="1"/>
  <c r="Q16" i="12" s="1"/>
  <c r="R16" i="12" s="1"/>
  <c r="S16" i="12" s="1"/>
  <c r="T16" i="12" s="1"/>
  <c r="U16" i="12" s="1"/>
  <c r="V16" i="12" s="1"/>
  <c r="W16" i="12" s="1"/>
  <c r="X16" i="12" s="1"/>
  <c r="Y16" i="12" s="1"/>
  <c r="Z16" i="12" s="1"/>
  <c r="AA16" i="12" s="1"/>
  <c r="AB16" i="12" s="1"/>
  <c r="AC16" i="12" s="1"/>
  <c r="AD16" i="12" s="1"/>
  <c r="AE16" i="12" s="1"/>
  <c r="D5" i="10"/>
  <c r="A82" i="12" l="1"/>
  <c r="A83" i="12"/>
  <c r="A84" i="12"/>
  <c r="AD229" i="12"/>
  <c r="AD225" i="12"/>
  <c r="AD221" i="12"/>
  <c r="AD217" i="12"/>
  <c r="AD213" i="12"/>
  <c r="AD209" i="12"/>
  <c r="AD231" i="12"/>
  <c r="AD227" i="12"/>
  <c r="AD223" i="12"/>
  <c r="AD201" i="12"/>
  <c r="AD215" i="12"/>
  <c r="AD211" i="12"/>
  <c r="AD205" i="12"/>
  <c r="AD219" i="12"/>
  <c r="AD199" i="12"/>
  <c r="AD207" i="12"/>
  <c r="AD203" i="12"/>
  <c r="AD195" i="12"/>
  <c r="AD191" i="12"/>
  <c r="AD187" i="12"/>
  <c r="AD183" i="12"/>
  <c r="AD179" i="12"/>
  <c r="AD175" i="12"/>
  <c r="AD197" i="12"/>
  <c r="AD193" i="12"/>
  <c r="AD189" i="12"/>
  <c r="AD185" i="12"/>
  <c r="AD181" i="12"/>
  <c r="AD177" i="12"/>
  <c r="B48" i="12"/>
  <c r="B50" i="12"/>
  <c r="C51" i="12" s="1"/>
  <c r="D52" i="12" s="1"/>
  <c r="E53" i="12" s="1"/>
  <c r="F54" i="12" s="1"/>
  <c r="G55" i="12" s="1"/>
  <c r="H56" i="12" s="1"/>
  <c r="I57" i="12" s="1"/>
  <c r="J58" i="12" s="1"/>
  <c r="K59" i="12" s="1"/>
  <c r="L60" i="12" s="1"/>
  <c r="M61" i="12" s="1"/>
  <c r="N62" i="12" s="1"/>
  <c r="O63" i="12" s="1"/>
  <c r="P64" i="12" s="1"/>
  <c r="Q65" i="12" s="1"/>
  <c r="R66" i="12" s="1"/>
  <c r="S67" i="12" s="1"/>
  <c r="T68" i="12" s="1"/>
  <c r="U69" i="12" s="1"/>
  <c r="V70" i="12" s="1"/>
  <c r="W71" i="12" s="1"/>
  <c r="X72" i="12" s="1"/>
  <c r="Y73" i="12" s="1"/>
  <c r="Z74" i="12" s="1"/>
  <c r="AA75" i="12" s="1"/>
  <c r="AB76" i="12" s="1"/>
  <c r="AC77" i="12" s="1"/>
  <c r="AD78" i="12" s="1"/>
  <c r="AE79" i="12" s="1"/>
  <c r="E5" i="10"/>
  <c r="B88" i="12" l="1"/>
  <c r="AC204" i="12"/>
  <c r="B83" i="12"/>
  <c r="A85" i="12"/>
  <c r="AC208" i="12"/>
  <c r="B82" i="12"/>
  <c r="B85" i="12" s="1"/>
  <c r="AC178" i="12"/>
  <c r="AC194" i="12"/>
  <c r="AC224" i="12"/>
  <c r="AC200" i="12"/>
  <c r="AC220" i="12"/>
  <c r="AC184" i="12"/>
  <c r="AC206" i="12"/>
  <c r="AC186" i="12"/>
  <c r="AB187" i="12" s="1"/>
  <c r="AC216" i="12"/>
  <c r="AC182" i="12"/>
  <c r="AB183" i="12" s="1"/>
  <c r="AC198" i="12"/>
  <c r="AC188" i="12"/>
  <c r="AC212" i="12"/>
  <c r="AC228" i="12"/>
  <c r="AC218" i="12"/>
  <c r="AC222" i="12"/>
  <c r="AC176" i="12"/>
  <c r="AB177" i="12" s="1"/>
  <c r="AC192" i="12"/>
  <c r="C47" i="12"/>
  <c r="B84" i="12"/>
  <c r="C49" i="12"/>
  <c r="D50" i="12" s="1"/>
  <c r="E51" i="12" s="1"/>
  <c r="F52" i="12" s="1"/>
  <c r="G53" i="12" s="1"/>
  <c r="H54" i="12" s="1"/>
  <c r="I55" i="12" s="1"/>
  <c r="J56" i="12" s="1"/>
  <c r="K57" i="12" s="1"/>
  <c r="L58" i="12" s="1"/>
  <c r="M59" i="12" s="1"/>
  <c r="N60" i="12" s="1"/>
  <c r="O61" i="12" s="1"/>
  <c r="P62" i="12" s="1"/>
  <c r="Q63" i="12" s="1"/>
  <c r="R64" i="12" s="1"/>
  <c r="S65" i="12" s="1"/>
  <c r="T66" i="12" s="1"/>
  <c r="U67" i="12" s="1"/>
  <c r="V68" i="12" s="1"/>
  <c r="W69" i="12" s="1"/>
  <c r="X70" i="12" s="1"/>
  <c r="Y71" i="12" s="1"/>
  <c r="Z72" i="12" s="1"/>
  <c r="AA73" i="12" s="1"/>
  <c r="AB74" i="12" s="1"/>
  <c r="AC75" i="12" s="1"/>
  <c r="AD76" i="12" s="1"/>
  <c r="AE77" i="12" s="1"/>
  <c r="AC190" i="12"/>
  <c r="AC180" i="12"/>
  <c r="AC196" i="12"/>
  <c r="AC202" i="12"/>
  <c r="AB203" i="12" s="1"/>
  <c r="AC210" i="12"/>
  <c r="AC226" i="12"/>
  <c r="AC214" i="12"/>
  <c r="AC230" i="12"/>
  <c r="H1" i="10"/>
  <c r="E4" i="7"/>
  <c r="E5" i="7" s="1"/>
  <c r="F3" i="7"/>
  <c r="G3" i="7" s="1"/>
  <c r="I4" i="5"/>
  <c r="I13" i="5"/>
  <c r="I11" i="5"/>
  <c r="I6" i="5"/>
  <c r="I8" i="5"/>
  <c r="I10" i="5"/>
  <c r="I12" i="5"/>
  <c r="I9" i="5"/>
  <c r="I5" i="5"/>
  <c r="I7" i="5"/>
  <c r="AB191" i="12" l="1"/>
  <c r="C88" i="12"/>
  <c r="C83" i="12"/>
  <c r="AB211" i="12"/>
  <c r="AB193" i="12"/>
  <c r="AA192" i="12" s="1"/>
  <c r="AB223" i="12"/>
  <c r="AB207" i="12"/>
  <c r="C82" i="12"/>
  <c r="AB181" i="12"/>
  <c r="AA182" i="12" s="1"/>
  <c r="AB199" i="12"/>
  <c r="AB185" i="12"/>
  <c r="AA186" i="12" s="1"/>
  <c r="AB221" i="12"/>
  <c r="AB219" i="12"/>
  <c r="AB229" i="12"/>
  <c r="AB205" i="12"/>
  <c r="AB197" i="12"/>
  <c r="AB217" i="12"/>
  <c r="AB201" i="12"/>
  <c r="AA202" i="12" s="1"/>
  <c r="AB215" i="12"/>
  <c r="AB227" i="12"/>
  <c r="AB225" i="12"/>
  <c r="C84" i="12"/>
  <c r="D48" i="12"/>
  <c r="E49" i="12" s="1"/>
  <c r="F50" i="12" s="1"/>
  <c r="G51" i="12" s="1"/>
  <c r="H52" i="12" s="1"/>
  <c r="I53" i="12" s="1"/>
  <c r="J54" i="12" s="1"/>
  <c r="K55" i="12" s="1"/>
  <c r="L56" i="12" s="1"/>
  <c r="M57" i="12" s="1"/>
  <c r="N58" i="12" s="1"/>
  <c r="O59" i="12" s="1"/>
  <c r="P60" i="12" s="1"/>
  <c r="Q61" i="12" s="1"/>
  <c r="R62" i="12" s="1"/>
  <c r="S63" i="12" s="1"/>
  <c r="T64" i="12" s="1"/>
  <c r="U65" i="12" s="1"/>
  <c r="V66" i="12" s="1"/>
  <c r="W67" i="12" s="1"/>
  <c r="X68" i="12" s="1"/>
  <c r="Y69" i="12" s="1"/>
  <c r="Z70" i="12" s="1"/>
  <c r="AA71" i="12" s="1"/>
  <c r="AB72" i="12" s="1"/>
  <c r="AC73" i="12" s="1"/>
  <c r="AD74" i="12" s="1"/>
  <c r="AE75" i="12" s="1"/>
  <c r="D46" i="12"/>
  <c r="D88" i="12" s="1"/>
  <c r="AB213" i="12"/>
  <c r="AB179" i="12"/>
  <c r="AB209" i="12"/>
  <c r="AB195" i="12"/>
  <c r="AB189" i="12"/>
  <c r="AA190" i="12" s="1"/>
  <c r="D5" i="5"/>
  <c r="D9" i="5" s="1"/>
  <c r="D4" i="5"/>
  <c r="D8" i="5" s="1"/>
  <c r="E6" i="7"/>
  <c r="F5" i="7"/>
  <c r="G5" i="7" s="1"/>
  <c r="F4" i="7"/>
  <c r="G4" i="7" s="1"/>
  <c r="AA206" i="12" l="1"/>
  <c r="D83" i="12"/>
  <c r="C85" i="12"/>
  <c r="AA212" i="12"/>
  <c r="Z191" i="12"/>
  <c r="AA224" i="12"/>
  <c r="AA198" i="12"/>
  <c r="AA222" i="12"/>
  <c r="D82" i="12"/>
  <c r="AA180" i="12"/>
  <c r="Z181" i="12" s="1"/>
  <c r="AA184" i="12"/>
  <c r="Z183" i="12" s="1"/>
  <c r="AA228" i="12"/>
  <c r="AA196" i="12"/>
  <c r="AA216" i="12"/>
  <c r="AA204" i="12"/>
  <c r="Z205" i="12" s="1"/>
  <c r="AA220" i="12"/>
  <c r="Z221" i="12" s="1"/>
  <c r="AA178" i="12"/>
  <c r="AA226" i="12"/>
  <c r="AA218" i="12"/>
  <c r="AA214" i="12"/>
  <c r="AA200" i="12"/>
  <c r="Z201" i="12" s="1"/>
  <c r="AA194" i="12"/>
  <c r="AA210" i="12"/>
  <c r="Z211" i="12" s="1"/>
  <c r="AA208" i="12"/>
  <c r="AA188" i="12"/>
  <c r="Z189" i="12" s="1"/>
  <c r="D84" i="12"/>
  <c r="E47" i="12"/>
  <c r="F48" i="12" s="1"/>
  <c r="G49" i="12" s="1"/>
  <c r="H50" i="12" s="1"/>
  <c r="I51" i="12" s="1"/>
  <c r="J52" i="12" s="1"/>
  <c r="K53" i="12" s="1"/>
  <c r="L54" i="12" s="1"/>
  <c r="M55" i="12" s="1"/>
  <c r="N56" i="12" s="1"/>
  <c r="O57" i="12" s="1"/>
  <c r="P58" i="12" s="1"/>
  <c r="Q59" i="12" s="1"/>
  <c r="R60" i="12" s="1"/>
  <c r="S61" i="12" s="1"/>
  <c r="T62" i="12" s="1"/>
  <c r="U63" i="12" s="1"/>
  <c r="V64" i="12" s="1"/>
  <c r="W65" i="12" s="1"/>
  <c r="X66" i="12" s="1"/>
  <c r="Y67" i="12" s="1"/>
  <c r="Z68" i="12" s="1"/>
  <c r="AA69" i="12" s="1"/>
  <c r="AB70" i="12" s="1"/>
  <c r="AC71" i="12" s="1"/>
  <c r="AD72" i="12" s="1"/>
  <c r="AE73" i="12" s="1"/>
  <c r="E45" i="12"/>
  <c r="D6" i="5"/>
  <c r="D7" i="5"/>
  <c r="E7" i="7"/>
  <c r="F6" i="7"/>
  <c r="G6" i="7" s="1"/>
  <c r="D11" i="5"/>
  <c r="Y190" i="12" l="1"/>
  <c r="E88" i="12"/>
  <c r="D85" i="12"/>
  <c r="E82" i="12"/>
  <c r="E83" i="12"/>
  <c r="Z223" i="12"/>
  <c r="Y222" i="12" s="1"/>
  <c r="Z197" i="12"/>
  <c r="Y182" i="12"/>
  <c r="Z185" i="12"/>
  <c r="Z227" i="12"/>
  <c r="Z215" i="12"/>
  <c r="Z179" i="12"/>
  <c r="Y180" i="12" s="1"/>
  <c r="Z217" i="12"/>
  <c r="Z203" i="12"/>
  <c r="Y204" i="12" s="1"/>
  <c r="Z225" i="12"/>
  <c r="Z219" i="12"/>
  <c r="Y220" i="12" s="1"/>
  <c r="Z187" i="12"/>
  <c r="Y188" i="12" s="1"/>
  <c r="X189" i="12" s="1"/>
  <c r="Z199" i="12"/>
  <c r="Z213" i="12"/>
  <c r="Y184" i="12"/>
  <c r="E84" i="12"/>
  <c r="F46" i="12"/>
  <c r="G47" i="12" s="1"/>
  <c r="H48" i="12" s="1"/>
  <c r="I49" i="12" s="1"/>
  <c r="J50" i="12" s="1"/>
  <c r="K51" i="12" s="1"/>
  <c r="L52" i="12" s="1"/>
  <c r="M53" i="12" s="1"/>
  <c r="N54" i="12" s="1"/>
  <c r="O55" i="12" s="1"/>
  <c r="P56" i="12" s="1"/>
  <c r="Q57" i="12" s="1"/>
  <c r="R58" i="12" s="1"/>
  <c r="S59" i="12" s="1"/>
  <c r="T60" i="12" s="1"/>
  <c r="U61" i="12" s="1"/>
  <c r="V62" i="12" s="1"/>
  <c r="W63" i="12" s="1"/>
  <c r="X64" i="12" s="1"/>
  <c r="Y65" i="12" s="1"/>
  <c r="Z66" i="12" s="1"/>
  <c r="AA67" i="12" s="1"/>
  <c r="AB68" i="12" s="1"/>
  <c r="AC69" i="12" s="1"/>
  <c r="AD70" i="12" s="1"/>
  <c r="AE71" i="12" s="1"/>
  <c r="F44" i="12"/>
  <c r="F88" i="12" s="1"/>
  <c r="Z195" i="12"/>
  <c r="Z193" i="12"/>
  <c r="Z209" i="12"/>
  <c r="Y210" i="12" s="1"/>
  <c r="Z207" i="12"/>
  <c r="D12" i="5"/>
  <c r="D16" i="5" s="1"/>
  <c r="D10" i="5"/>
  <c r="F7" i="7"/>
  <c r="G7" i="7" s="1"/>
  <c r="E8" i="7"/>
  <c r="Y196" i="12" l="1"/>
  <c r="E85" i="12"/>
  <c r="F82" i="12"/>
  <c r="F83" i="12"/>
  <c r="Y226" i="12"/>
  <c r="X181" i="12"/>
  <c r="Y216" i="12"/>
  <c r="Y214" i="12"/>
  <c r="X215" i="12" s="1"/>
  <c r="Y202" i="12"/>
  <c r="X203" i="12" s="1"/>
  <c r="Y218" i="12"/>
  <c r="Y186" i="12"/>
  <c r="X187" i="12" s="1"/>
  <c r="W188" i="12" s="1"/>
  <c r="Y224" i="12"/>
  <c r="X221" i="12"/>
  <c r="Y200" i="12"/>
  <c r="Y198" i="12"/>
  <c r="Y212" i="12"/>
  <c r="X213" i="12" s="1"/>
  <c r="Y194" i="12"/>
  <c r="X195" i="12" s="1"/>
  <c r="Y192" i="12"/>
  <c r="X183" i="12"/>
  <c r="Y208" i="12"/>
  <c r="X209" i="12" s="1"/>
  <c r="Y206" i="12"/>
  <c r="G45" i="12"/>
  <c r="H46" i="12" s="1"/>
  <c r="I47" i="12" s="1"/>
  <c r="J48" i="12" s="1"/>
  <c r="K49" i="12" s="1"/>
  <c r="L50" i="12" s="1"/>
  <c r="M51" i="12" s="1"/>
  <c r="N52" i="12" s="1"/>
  <c r="O53" i="12" s="1"/>
  <c r="P54" i="12" s="1"/>
  <c r="Q55" i="12" s="1"/>
  <c r="R56" i="12" s="1"/>
  <c r="S57" i="12" s="1"/>
  <c r="T58" i="12" s="1"/>
  <c r="U59" i="12" s="1"/>
  <c r="V60" i="12" s="1"/>
  <c r="W61" i="12" s="1"/>
  <c r="X62" i="12" s="1"/>
  <c r="Y63" i="12" s="1"/>
  <c r="Z64" i="12" s="1"/>
  <c r="AA65" i="12" s="1"/>
  <c r="AB66" i="12" s="1"/>
  <c r="AC67" i="12" s="1"/>
  <c r="AD68" i="12" s="1"/>
  <c r="AE69" i="12" s="1"/>
  <c r="F84" i="12"/>
  <c r="G43" i="12"/>
  <c r="G88" i="12" s="1"/>
  <c r="E9" i="7"/>
  <c r="F8" i="7"/>
  <c r="G8" i="7" s="1"/>
  <c r="X225" i="12" l="1"/>
  <c r="F85" i="12"/>
  <c r="G83" i="12"/>
  <c r="X201" i="12"/>
  <c r="W202" i="12" s="1"/>
  <c r="G82" i="12"/>
  <c r="X185" i="12"/>
  <c r="W184" i="12" s="1"/>
  <c r="W214" i="12"/>
  <c r="X199" i="12"/>
  <c r="X223" i="12"/>
  <c r="W224" i="12" s="1"/>
  <c r="X219" i="12"/>
  <c r="W220" i="12" s="1"/>
  <c r="X217" i="12"/>
  <c r="X211" i="12"/>
  <c r="W210" i="12" s="1"/>
  <c r="X197" i="12"/>
  <c r="W182" i="12"/>
  <c r="G84" i="12"/>
  <c r="H44" i="12"/>
  <c r="I45" i="12" s="1"/>
  <c r="J46" i="12" s="1"/>
  <c r="K47" i="12" s="1"/>
  <c r="L48" i="12" s="1"/>
  <c r="M49" i="12" s="1"/>
  <c r="N50" i="12" s="1"/>
  <c r="O51" i="12" s="1"/>
  <c r="P52" i="12" s="1"/>
  <c r="Q53" i="12" s="1"/>
  <c r="R54" i="12" s="1"/>
  <c r="S55" i="12" s="1"/>
  <c r="T56" i="12" s="1"/>
  <c r="U57" i="12" s="1"/>
  <c r="V58" i="12" s="1"/>
  <c r="W59" i="12" s="1"/>
  <c r="X60" i="12" s="1"/>
  <c r="Y61" i="12" s="1"/>
  <c r="Z62" i="12" s="1"/>
  <c r="AA63" i="12" s="1"/>
  <c r="AB64" i="12" s="1"/>
  <c r="AC65" i="12" s="1"/>
  <c r="AD66" i="12" s="1"/>
  <c r="AE67" i="12" s="1"/>
  <c r="H42" i="12"/>
  <c r="X207" i="12"/>
  <c r="W208" i="12" s="1"/>
  <c r="X205" i="12"/>
  <c r="X193" i="12"/>
  <c r="W194" i="12" s="1"/>
  <c r="X191" i="12"/>
  <c r="E10" i="7"/>
  <c r="F9" i="7"/>
  <c r="G9" i="7" s="1"/>
  <c r="G85" i="12" l="1"/>
  <c r="H88" i="12"/>
  <c r="H82" i="12"/>
  <c r="H83" i="12"/>
  <c r="W200" i="12"/>
  <c r="V201" i="12" s="1"/>
  <c r="W186" i="12"/>
  <c r="V187" i="12" s="1"/>
  <c r="W198" i="12"/>
  <c r="W222" i="12"/>
  <c r="V223" i="12" s="1"/>
  <c r="W196" i="12"/>
  <c r="W218" i="12"/>
  <c r="V219" i="12" s="1"/>
  <c r="W216" i="12"/>
  <c r="V209" i="12"/>
  <c r="W212" i="12"/>
  <c r="V213" i="12" s="1"/>
  <c r="W206" i="12"/>
  <c r="V207" i="12" s="1"/>
  <c r="W204" i="12"/>
  <c r="V183" i="12"/>
  <c r="W192" i="12"/>
  <c r="V193" i="12" s="1"/>
  <c r="W190" i="12"/>
  <c r="H84" i="12"/>
  <c r="I43" i="12"/>
  <c r="J44" i="12" s="1"/>
  <c r="K45" i="12" s="1"/>
  <c r="L46" i="12" s="1"/>
  <c r="M47" i="12" s="1"/>
  <c r="N48" i="12" s="1"/>
  <c r="O49" i="12" s="1"/>
  <c r="P50" i="12" s="1"/>
  <c r="Q51" i="12" s="1"/>
  <c r="R52" i="12" s="1"/>
  <c r="S53" i="12" s="1"/>
  <c r="T54" i="12" s="1"/>
  <c r="U55" i="12" s="1"/>
  <c r="V56" i="12" s="1"/>
  <c r="W57" i="12" s="1"/>
  <c r="X58" i="12" s="1"/>
  <c r="Y59" i="12" s="1"/>
  <c r="Z60" i="12" s="1"/>
  <c r="AA61" i="12" s="1"/>
  <c r="AB62" i="12" s="1"/>
  <c r="AC63" i="12" s="1"/>
  <c r="AD64" i="12" s="1"/>
  <c r="AE65" i="12" s="1"/>
  <c r="I41" i="12"/>
  <c r="E11" i="7"/>
  <c r="F10" i="7"/>
  <c r="G10" i="7" s="1"/>
  <c r="I88" i="12" l="1"/>
  <c r="V199" i="12"/>
  <c r="H85" i="12"/>
  <c r="I83" i="12"/>
  <c r="I82" i="12"/>
  <c r="V185" i="12"/>
  <c r="V197" i="12"/>
  <c r="V221" i="12"/>
  <c r="V215" i="12"/>
  <c r="V217" i="12"/>
  <c r="V211" i="12"/>
  <c r="V195" i="12"/>
  <c r="I84" i="12"/>
  <c r="J42" i="12"/>
  <c r="K43" i="12" s="1"/>
  <c r="L44" i="12" s="1"/>
  <c r="M45" i="12" s="1"/>
  <c r="N46" i="12" s="1"/>
  <c r="O47" i="12" s="1"/>
  <c r="P48" i="12" s="1"/>
  <c r="Q49" i="12" s="1"/>
  <c r="R50" i="12" s="1"/>
  <c r="S51" i="12" s="1"/>
  <c r="T52" i="12" s="1"/>
  <c r="U53" i="12" s="1"/>
  <c r="V54" i="12" s="1"/>
  <c r="W55" i="12" s="1"/>
  <c r="X56" i="12" s="1"/>
  <c r="Y57" i="12" s="1"/>
  <c r="Z58" i="12" s="1"/>
  <c r="AA59" i="12" s="1"/>
  <c r="AB60" i="12" s="1"/>
  <c r="AC61" i="12" s="1"/>
  <c r="AD62" i="12" s="1"/>
  <c r="AE63" i="12" s="1"/>
  <c r="J40" i="12"/>
  <c r="J88" i="12" s="1"/>
  <c r="V205" i="12"/>
  <c r="V203" i="12"/>
  <c r="V191" i="12"/>
  <c r="V189" i="12"/>
  <c r="F11" i="7"/>
  <c r="G11" i="7" s="1"/>
  <c r="E12" i="7"/>
  <c r="I85" i="12" l="1"/>
  <c r="J83" i="12"/>
  <c r="J82" i="12"/>
  <c r="K39" i="12"/>
  <c r="J84" i="12"/>
  <c r="K41" i="12"/>
  <c r="L42" i="12" s="1"/>
  <c r="M43" i="12" s="1"/>
  <c r="N44" i="12" s="1"/>
  <c r="O45" i="12" s="1"/>
  <c r="P46" i="12" s="1"/>
  <c r="Q47" i="12" s="1"/>
  <c r="R48" i="12" s="1"/>
  <c r="S49" i="12" s="1"/>
  <c r="T50" i="12" s="1"/>
  <c r="U51" i="12" s="1"/>
  <c r="V52" i="12" s="1"/>
  <c r="W53" i="12" s="1"/>
  <c r="X54" i="12" s="1"/>
  <c r="Y55" i="12" s="1"/>
  <c r="Z56" i="12" s="1"/>
  <c r="AA57" i="12" s="1"/>
  <c r="AB58" i="12" s="1"/>
  <c r="AC59" i="12" s="1"/>
  <c r="AD60" i="12" s="1"/>
  <c r="AE61" i="12" s="1"/>
  <c r="E13" i="7"/>
  <c r="F12" i="7"/>
  <c r="G12" i="7" s="1"/>
  <c r="J85" i="12" l="1"/>
  <c r="K88" i="12"/>
  <c r="K82" i="12"/>
  <c r="K83" i="12"/>
  <c r="K84" i="12"/>
  <c r="L40" i="12"/>
  <c r="M41" i="12" s="1"/>
  <c r="N42" i="12" s="1"/>
  <c r="O43" i="12" s="1"/>
  <c r="P44" i="12" s="1"/>
  <c r="Q45" i="12" s="1"/>
  <c r="R46" i="12" s="1"/>
  <c r="S47" i="12" s="1"/>
  <c r="T48" i="12" s="1"/>
  <c r="U49" i="12" s="1"/>
  <c r="V50" i="12" s="1"/>
  <c r="W51" i="12" s="1"/>
  <c r="X52" i="12" s="1"/>
  <c r="Y53" i="12" s="1"/>
  <c r="Z54" i="12" s="1"/>
  <c r="AA55" i="12" s="1"/>
  <c r="AB56" i="12" s="1"/>
  <c r="AC57" i="12" s="1"/>
  <c r="AD58" i="12" s="1"/>
  <c r="AE59" i="12" s="1"/>
  <c r="L38" i="12"/>
  <c r="L88" i="12" s="1"/>
  <c r="E14" i="7"/>
  <c r="F13" i="7"/>
  <c r="G13" i="7" s="1"/>
  <c r="L83" i="12" l="1"/>
  <c r="K85" i="12"/>
  <c r="L82" i="12"/>
  <c r="L84" i="12"/>
  <c r="M39" i="12"/>
  <c r="N40" i="12" s="1"/>
  <c r="O41" i="12" s="1"/>
  <c r="P42" i="12" s="1"/>
  <c r="Q43" i="12" s="1"/>
  <c r="R44" i="12" s="1"/>
  <c r="S45" i="12" s="1"/>
  <c r="T46" i="12" s="1"/>
  <c r="U47" i="12" s="1"/>
  <c r="V48" i="12" s="1"/>
  <c r="W49" i="12" s="1"/>
  <c r="X50" i="12" s="1"/>
  <c r="Y51" i="12" s="1"/>
  <c r="Z52" i="12" s="1"/>
  <c r="AA53" i="12" s="1"/>
  <c r="AB54" i="12" s="1"/>
  <c r="AC55" i="12" s="1"/>
  <c r="AD56" i="12" s="1"/>
  <c r="AE57" i="12" s="1"/>
  <c r="M37" i="12"/>
  <c r="E15" i="7"/>
  <c r="F14" i="7"/>
  <c r="G14" i="7" s="1"/>
  <c r="M83" i="12" l="1"/>
  <c r="M88" i="12"/>
  <c r="L85" i="12"/>
  <c r="M82" i="12"/>
  <c r="M85" i="12" s="1"/>
  <c r="M84" i="12"/>
  <c r="N38" i="12"/>
  <c r="O39" i="12" s="1"/>
  <c r="P40" i="12" s="1"/>
  <c r="Q41" i="12" s="1"/>
  <c r="R42" i="12" s="1"/>
  <c r="S43" i="12" s="1"/>
  <c r="T44" i="12" s="1"/>
  <c r="U45" i="12" s="1"/>
  <c r="V46" i="12" s="1"/>
  <c r="W47" i="12" s="1"/>
  <c r="X48" i="12" s="1"/>
  <c r="Y49" i="12" s="1"/>
  <c r="Z50" i="12" s="1"/>
  <c r="AA51" i="12" s="1"/>
  <c r="AB52" i="12" s="1"/>
  <c r="AC53" i="12" s="1"/>
  <c r="AD54" i="12" s="1"/>
  <c r="AE55" i="12" s="1"/>
  <c r="N36" i="12"/>
  <c r="F15" i="7"/>
  <c r="G15" i="7" s="1"/>
  <c r="E16" i="7"/>
  <c r="N88" i="12" l="1"/>
  <c r="N83" i="12"/>
  <c r="N82" i="12"/>
  <c r="O37" i="12"/>
  <c r="P38" i="12" s="1"/>
  <c r="Q39" i="12" s="1"/>
  <c r="R40" i="12" s="1"/>
  <c r="S41" i="12" s="1"/>
  <c r="T42" i="12" s="1"/>
  <c r="U43" i="12" s="1"/>
  <c r="V44" i="12" s="1"/>
  <c r="W45" i="12" s="1"/>
  <c r="X46" i="12" s="1"/>
  <c r="Y47" i="12" s="1"/>
  <c r="Z48" i="12" s="1"/>
  <c r="AA49" i="12" s="1"/>
  <c r="AB50" i="12" s="1"/>
  <c r="AC51" i="12" s="1"/>
  <c r="AD52" i="12" s="1"/>
  <c r="AE53" i="12" s="1"/>
  <c r="N84" i="12"/>
  <c r="O35" i="12"/>
  <c r="O88" i="12" s="1"/>
  <c r="E17" i="7"/>
  <c r="F16" i="7"/>
  <c r="G16" i="7" s="1"/>
  <c r="N85" i="12" l="1"/>
  <c r="O83" i="12"/>
  <c r="O82" i="12"/>
  <c r="O84" i="12"/>
  <c r="P36" i="12"/>
  <c r="Q37" i="12" s="1"/>
  <c r="R38" i="12" s="1"/>
  <c r="S39" i="12" s="1"/>
  <c r="T40" i="12" s="1"/>
  <c r="U41" i="12" s="1"/>
  <c r="V42" i="12" s="1"/>
  <c r="W43" i="12" s="1"/>
  <c r="X44" i="12" s="1"/>
  <c r="Y45" i="12" s="1"/>
  <c r="Z46" i="12" s="1"/>
  <c r="AA47" i="12" s="1"/>
  <c r="AB48" i="12" s="1"/>
  <c r="AC49" i="12" s="1"/>
  <c r="AD50" i="12" s="1"/>
  <c r="AE51" i="12" s="1"/>
  <c r="P34" i="12"/>
  <c r="P88" i="12" s="1"/>
  <c r="E18" i="7"/>
  <c r="F17" i="7"/>
  <c r="G17" i="7" s="1"/>
  <c r="O85" i="12" l="1"/>
  <c r="P83" i="12"/>
  <c r="P82" i="12"/>
  <c r="P84" i="12"/>
  <c r="Q35" i="12"/>
  <c r="R36" i="12" s="1"/>
  <c r="S37" i="12" s="1"/>
  <c r="T38" i="12" s="1"/>
  <c r="U39" i="12" s="1"/>
  <c r="V40" i="12" s="1"/>
  <c r="W41" i="12" s="1"/>
  <c r="X42" i="12" s="1"/>
  <c r="Y43" i="12" s="1"/>
  <c r="Z44" i="12" s="1"/>
  <c r="AA45" i="12" s="1"/>
  <c r="AB46" i="12" s="1"/>
  <c r="AC47" i="12" s="1"/>
  <c r="AD48" i="12" s="1"/>
  <c r="AE49" i="12" s="1"/>
  <c r="Q33" i="12"/>
  <c r="Q88" i="12" s="1"/>
  <c r="E19" i="7"/>
  <c r="F18" i="7"/>
  <c r="G18" i="7" s="1"/>
  <c r="P85" i="12" l="1"/>
  <c r="Q83" i="12"/>
  <c r="Q82" i="12"/>
  <c r="Q84" i="12"/>
  <c r="R34" i="12"/>
  <c r="S35" i="12" s="1"/>
  <c r="T36" i="12" s="1"/>
  <c r="U37" i="12" s="1"/>
  <c r="V38" i="12" s="1"/>
  <c r="W39" i="12" s="1"/>
  <c r="X40" i="12" s="1"/>
  <c r="Y41" i="12" s="1"/>
  <c r="Z42" i="12" s="1"/>
  <c r="AA43" i="12" s="1"/>
  <c r="AB44" i="12" s="1"/>
  <c r="AC45" i="12" s="1"/>
  <c r="AD46" i="12" s="1"/>
  <c r="AE47" i="12" s="1"/>
  <c r="R32" i="12"/>
  <c r="R88" i="12" s="1"/>
  <c r="F19" i="7"/>
  <c r="G19" i="7" s="1"/>
  <c r="E20" i="7"/>
  <c r="Q85" i="12" l="1"/>
  <c r="R83" i="12"/>
  <c r="R82" i="12"/>
  <c r="R84" i="12"/>
  <c r="S31" i="12"/>
  <c r="S33" i="12"/>
  <c r="T34" i="12" s="1"/>
  <c r="U35" i="12" s="1"/>
  <c r="V36" i="12" s="1"/>
  <c r="W37" i="12" s="1"/>
  <c r="X38" i="12" s="1"/>
  <c r="Y39" i="12" s="1"/>
  <c r="Z40" i="12" s="1"/>
  <c r="AA41" i="12" s="1"/>
  <c r="AB42" i="12" s="1"/>
  <c r="AC43" i="12" s="1"/>
  <c r="AD44" i="12" s="1"/>
  <c r="AE45" i="12" s="1"/>
  <c r="E21" i="7"/>
  <c r="F20" i="7"/>
  <c r="G20" i="7" s="1"/>
  <c r="S88" i="12" l="1"/>
  <c r="R85" i="12"/>
  <c r="S83" i="12"/>
  <c r="S82" i="12"/>
  <c r="S84" i="12"/>
  <c r="T32" i="12"/>
  <c r="U33" i="12" s="1"/>
  <c r="V34" i="12" s="1"/>
  <c r="W35" i="12" s="1"/>
  <c r="X36" i="12" s="1"/>
  <c r="Y37" i="12" s="1"/>
  <c r="Z38" i="12" s="1"/>
  <c r="AA39" i="12" s="1"/>
  <c r="AB40" i="12" s="1"/>
  <c r="AC41" i="12" s="1"/>
  <c r="AD42" i="12" s="1"/>
  <c r="AE43" i="12" s="1"/>
  <c r="T30" i="12"/>
  <c r="T88" i="12" s="1"/>
  <c r="E22" i="7"/>
  <c r="F21" i="7"/>
  <c r="G21" i="7" s="1"/>
  <c r="S85" i="12" l="1"/>
  <c r="T83" i="12"/>
  <c r="T82" i="12"/>
  <c r="T85" i="12" s="1"/>
  <c r="T84" i="12"/>
  <c r="U29" i="12"/>
  <c r="U31" i="12"/>
  <c r="V32" i="12" s="1"/>
  <c r="W33" i="12" s="1"/>
  <c r="X34" i="12" s="1"/>
  <c r="Y35" i="12" s="1"/>
  <c r="Z36" i="12" s="1"/>
  <c r="AA37" i="12" s="1"/>
  <c r="AB38" i="12" s="1"/>
  <c r="AC39" i="12" s="1"/>
  <c r="AD40" i="12" s="1"/>
  <c r="AE41" i="12" s="1"/>
  <c r="E23" i="7"/>
  <c r="F22" i="7"/>
  <c r="G22" i="7" s="1"/>
  <c r="U88" i="12" l="1"/>
  <c r="U83" i="12"/>
  <c r="U82" i="12"/>
  <c r="U84" i="12"/>
  <c r="V30" i="12"/>
  <c r="W31" i="12" s="1"/>
  <c r="X32" i="12" s="1"/>
  <c r="Y33" i="12" s="1"/>
  <c r="Z34" i="12" s="1"/>
  <c r="AA35" i="12" s="1"/>
  <c r="AB36" i="12" s="1"/>
  <c r="AC37" i="12" s="1"/>
  <c r="AD38" i="12" s="1"/>
  <c r="AE39" i="12" s="1"/>
  <c r="V28" i="12"/>
  <c r="F23" i="7"/>
  <c r="G23" i="7" s="1"/>
  <c r="E24" i="7"/>
  <c r="V88" i="12" l="1"/>
  <c r="U85" i="12"/>
  <c r="V82" i="12"/>
  <c r="V83" i="12"/>
  <c r="V84" i="12"/>
  <c r="W29" i="12"/>
  <c r="X30" i="12" s="1"/>
  <c r="Y31" i="12" s="1"/>
  <c r="Z32" i="12" s="1"/>
  <c r="AA33" i="12" s="1"/>
  <c r="AB34" i="12" s="1"/>
  <c r="AC35" i="12" s="1"/>
  <c r="AD36" i="12" s="1"/>
  <c r="AE37" i="12" s="1"/>
  <c r="W27" i="12"/>
  <c r="E25" i="7"/>
  <c r="F24" i="7"/>
  <c r="G24" i="7" s="1"/>
  <c r="W88" i="12" l="1"/>
  <c r="V85" i="12"/>
  <c r="W82" i="12"/>
  <c r="W83" i="12"/>
  <c r="W84" i="12"/>
  <c r="X28" i="12"/>
  <c r="Y29" i="12" s="1"/>
  <c r="Z30" i="12" s="1"/>
  <c r="AA31" i="12" s="1"/>
  <c r="AB32" i="12" s="1"/>
  <c r="AC33" i="12" s="1"/>
  <c r="AD34" i="12" s="1"/>
  <c r="AE35" i="12" s="1"/>
  <c r="X26" i="12"/>
  <c r="X88" i="12" s="1"/>
  <c r="E26" i="7"/>
  <c r="F25" i="7"/>
  <c r="G25" i="7" s="1"/>
  <c r="W85" i="12" l="1"/>
  <c r="X82" i="12"/>
  <c r="X83" i="12"/>
  <c r="X84" i="12"/>
  <c r="Y25" i="12"/>
  <c r="Y27" i="12"/>
  <c r="Z28" i="12" s="1"/>
  <c r="AA29" i="12" s="1"/>
  <c r="AB30" i="12" s="1"/>
  <c r="AC31" i="12" s="1"/>
  <c r="AD32" i="12" s="1"/>
  <c r="AE33" i="12" s="1"/>
  <c r="E27" i="7"/>
  <c r="F26" i="7"/>
  <c r="G26" i="7" s="1"/>
  <c r="Y88" i="12" l="1"/>
  <c r="X85" i="12"/>
  <c r="Y83" i="12"/>
  <c r="Y82" i="12"/>
  <c r="Y84" i="12"/>
  <c r="Z26" i="12"/>
  <c r="AA27" i="12" s="1"/>
  <c r="AB28" i="12" s="1"/>
  <c r="AC29" i="12" s="1"/>
  <c r="AD30" i="12" s="1"/>
  <c r="AE31" i="12" s="1"/>
  <c r="Z24" i="12"/>
  <c r="F27" i="7"/>
  <c r="G27" i="7" s="1"/>
  <c r="E28" i="7"/>
  <c r="Z83" i="12" l="1"/>
  <c r="Z88" i="12"/>
  <c r="Y85" i="12"/>
  <c r="Z82" i="12"/>
  <c r="Z84" i="12"/>
  <c r="AA23" i="12"/>
  <c r="AA25" i="12"/>
  <c r="AB26" i="12" s="1"/>
  <c r="AC27" i="12" s="1"/>
  <c r="AD28" i="12" s="1"/>
  <c r="AE29" i="12" s="1"/>
  <c r="E29" i="7"/>
  <c r="F28" i="7"/>
  <c r="G28" i="7" s="1"/>
  <c r="AA83" i="12" l="1"/>
  <c r="AA88" i="12"/>
  <c r="Z85" i="12"/>
  <c r="AA82" i="12"/>
  <c r="AA84" i="12"/>
  <c r="AB24" i="12"/>
  <c r="AC25" i="12" s="1"/>
  <c r="AD26" i="12" s="1"/>
  <c r="AE27" i="12" s="1"/>
  <c r="AB22" i="12"/>
  <c r="AB88" i="12" s="1"/>
  <c r="E30" i="7"/>
  <c r="F29" i="7"/>
  <c r="G29" i="7" s="1"/>
  <c r="AA85" i="12" l="1"/>
  <c r="AB82" i="12"/>
  <c r="AB83" i="12"/>
  <c r="AB84" i="12"/>
  <c r="AC21" i="12"/>
  <c r="AC23" i="12"/>
  <c r="AD24" i="12" s="1"/>
  <c r="AE25" i="12" s="1"/>
  <c r="E31" i="7"/>
  <c r="F30" i="7"/>
  <c r="G30" i="7" s="1"/>
  <c r="AC88" i="12" l="1"/>
  <c r="AB85" i="12"/>
  <c r="AC83" i="12"/>
  <c r="AC82" i="12"/>
  <c r="AC84" i="12"/>
  <c r="AD22" i="12"/>
  <c r="AE23" i="12" s="1"/>
  <c r="AD20" i="12"/>
  <c r="AD88" i="12" s="1"/>
  <c r="F31" i="7"/>
  <c r="G31" i="7" s="1"/>
  <c r="E32" i="7"/>
  <c r="AC85" i="12" l="1"/>
  <c r="AD83" i="12"/>
  <c r="AD82" i="12"/>
  <c r="AD84" i="12"/>
  <c r="AE19" i="12"/>
  <c r="AE21" i="12"/>
  <c r="E33" i="7"/>
  <c r="F32" i="7"/>
  <c r="G32" i="7" s="1"/>
  <c r="AE88" i="12" l="1"/>
  <c r="AD85" i="12"/>
  <c r="AE83" i="12"/>
  <c r="AE82" i="12"/>
  <c r="AE84" i="12"/>
  <c r="E34" i="7"/>
  <c r="F33" i="7"/>
  <c r="G33" i="7" s="1"/>
  <c r="AE85" i="12" l="1"/>
  <c r="B86" i="12"/>
  <c r="F86" i="12"/>
  <c r="J86" i="12"/>
  <c r="N86" i="12"/>
  <c r="R86" i="12"/>
  <c r="V86" i="12"/>
  <c r="Z86" i="12"/>
  <c r="AD86" i="12"/>
  <c r="E86" i="12"/>
  <c r="I86" i="12"/>
  <c r="U86" i="12"/>
  <c r="C86" i="12"/>
  <c r="G86" i="12"/>
  <c r="K86" i="12"/>
  <c r="O86" i="12"/>
  <c r="S86" i="12"/>
  <c r="W86" i="12"/>
  <c r="AA86" i="12"/>
  <c r="AE86" i="12"/>
  <c r="A86" i="12"/>
  <c r="Q86" i="12"/>
  <c r="AC86" i="12"/>
  <c r="D86" i="12"/>
  <c r="H86" i="12"/>
  <c r="L86" i="12"/>
  <c r="P86" i="12"/>
  <c r="T86" i="12"/>
  <c r="X86" i="12"/>
  <c r="AB86" i="12"/>
  <c r="M86" i="12"/>
  <c r="Y86" i="12"/>
  <c r="AE104" i="12"/>
  <c r="AE102" i="12"/>
  <c r="AE173" i="12"/>
  <c r="AE162" i="12"/>
  <c r="AE233" i="12"/>
  <c r="AE231" i="12"/>
  <c r="AE160" i="12"/>
  <c r="AE229" i="12"/>
  <c r="AE158" i="12"/>
  <c r="AE227" i="12"/>
  <c r="AE156" i="12"/>
  <c r="AE154" i="12"/>
  <c r="AE225" i="12"/>
  <c r="AE223" i="12"/>
  <c r="AE152" i="12"/>
  <c r="AE221" i="12"/>
  <c r="AE150" i="12"/>
  <c r="AE219" i="12"/>
  <c r="AE148" i="12"/>
  <c r="AE146" i="12"/>
  <c r="AE217" i="12"/>
  <c r="AE215" i="12"/>
  <c r="AE144" i="12"/>
  <c r="AE213" i="12"/>
  <c r="AE142" i="12"/>
  <c r="AE211" i="12"/>
  <c r="AE140" i="12"/>
  <c r="AE209" i="12"/>
  <c r="AE138" i="12"/>
  <c r="AE207" i="12"/>
  <c r="AE136" i="12"/>
  <c r="AE205" i="12"/>
  <c r="AE134" i="12"/>
  <c r="AE203" i="12"/>
  <c r="AE132" i="12"/>
  <c r="AE201" i="12"/>
  <c r="AE130" i="12"/>
  <c r="AE199" i="12"/>
  <c r="AE128" i="12"/>
  <c r="AE126" i="12"/>
  <c r="AE197" i="12"/>
  <c r="AE195" i="12"/>
  <c r="AE124" i="12"/>
  <c r="AE193" i="12"/>
  <c r="AE122" i="12"/>
  <c r="AE191" i="12"/>
  <c r="AE120" i="12"/>
  <c r="AE189" i="12"/>
  <c r="AE118" i="12"/>
  <c r="AE187" i="12"/>
  <c r="AE116" i="12"/>
  <c r="AE185" i="12"/>
  <c r="AE114" i="12"/>
  <c r="AE112" i="12"/>
  <c r="AE183" i="12"/>
  <c r="AE110" i="12"/>
  <c r="AE181" i="12"/>
  <c r="AE179" i="12"/>
  <c r="AE108" i="12"/>
  <c r="AE106" i="12"/>
  <c r="AE177" i="12"/>
  <c r="AE175" i="12"/>
  <c r="E35" i="7"/>
  <c r="F34" i="7"/>
  <c r="G34" i="7" s="1"/>
  <c r="AD102" i="12" l="1"/>
  <c r="AD116" i="12"/>
  <c r="AD128" i="12"/>
  <c r="AD132" i="12"/>
  <c r="AD136" i="12"/>
  <c r="AD140" i="12"/>
  <c r="AD148" i="12"/>
  <c r="AD120" i="12"/>
  <c r="AD156" i="12"/>
  <c r="AD112" i="12"/>
  <c r="AD108" i="12"/>
  <c r="AD124" i="12"/>
  <c r="AD152" i="12"/>
  <c r="AD160" i="12"/>
  <c r="AD144" i="12"/>
  <c r="AD173" i="12"/>
  <c r="AD118" i="12"/>
  <c r="AD122" i="12"/>
  <c r="AD130" i="12"/>
  <c r="AD134" i="12"/>
  <c r="AD138" i="12"/>
  <c r="AD142" i="12"/>
  <c r="AD150" i="12"/>
  <c r="AD158" i="12"/>
  <c r="AD114" i="12"/>
  <c r="AD106" i="12"/>
  <c r="AD110" i="12"/>
  <c r="AD126" i="12"/>
  <c r="AD146" i="12"/>
  <c r="AD154" i="12"/>
  <c r="AD104" i="12"/>
  <c r="AD182" i="12"/>
  <c r="AD218" i="12"/>
  <c r="AD226" i="12"/>
  <c r="AD184" i="12"/>
  <c r="AD176" i="12"/>
  <c r="AD180" i="12"/>
  <c r="AD188" i="12"/>
  <c r="AD192" i="12"/>
  <c r="AD196" i="12"/>
  <c r="AD200" i="12"/>
  <c r="AD204" i="12"/>
  <c r="AD208" i="12"/>
  <c r="AD212" i="12"/>
  <c r="AD216" i="12"/>
  <c r="AD220" i="12"/>
  <c r="AD224" i="12"/>
  <c r="AD228" i="12"/>
  <c r="AD119" i="12"/>
  <c r="AD198" i="12"/>
  <c r="AD135" i="12"/>
  <c r="AD109" i="12"/>
  <c r="AD117" i="12"/>
  <c r="AD121" i="12"/>
  <c r="AD125" i="12"/>
  <c r="AD129" i="12"/>
  <c r="AD133" i="12"/>
  <c r="AD137" i="12"/>
  <c r="AD141" i="12"/>
  <c r="AD145" i="12"/>
  <c r="AD149" i="12"/>
  <c r="AD153" i="12"/>
  <c r="AD157" i="12"/>
  <c r="AD161" i="12"/>
  <c r="AD174" i="12"/>
  <c r="AD232" i="12"/>
  <c r="AE101" i="12"/>
  <c r="AD103" i="12"/>
  <c r="AD113" i="12"/>
  <c r="AD178" i="12"/>
  <c r="AD115" i="12"/>
  <c r="AD123" i="12"/>
  <c r="AD131" i="12"/>
  <c r="AC131" i="12" s="1"/>
  <c r="AD139" i="12"/>
  <c r="AD143" i="12"/>
  <c r="AD151" i="12"/>
  <c r="AD159" i="12"/>
  <c r="AD107" i="12"/>
  <c r="AD111" i="12"/>
  <c r="AD186" i="12"/>
  <c r="AD190" i="12"/>
  <c r="AD194" i="12"/>
  <c r="AD127" i="12"/>
  <c r="AD202" i="12"/>
  <c r="AD206" i="12"/>
  <c r="AD210" i="12"/>
  <c r="AD214" i="12"/>
  <c r="AD147" i="12"/>
  <c r="AD222" i="12"/>
  <c r="AD155" i="12"/>
  <c r="AD230" i="12"/>
  <c r="AD105" i="12"/>
  <c r="F35" i="7"/>
  <c r="G35" i="7" s="1"/>
  <c r="E36" i="7"/>
  <c r="AC117" i="12" l="1"/>
  <c r="AC127" i="12"/>
  <c r="AC155" i="12"/>
  <c r="AC174" i="12"/>
  <c r="AC159" i="12"/>
  <c r="AC147" i="12"/>
  <c r="AC217" i="12"/>
  <c r="AC225" i="12"/>
  <c r="AC111" i="12"/>
  <c r="AC143" i="12"/>
  <c r="AC115" i="12"/>
  <c r="AC157" i="12"/>
  <c r="AC135" i="12"/>
  <c r="AC211" i="12"/>
  <c r="AC195" i="12"/>
  <c r="AC107" i="12"/>
  <c r="AC121" i="12"/>
  <c r="AC125" i="12"/>
  <c r="AC153" i="12"/>
  <c r="AC139" i="12"/>
  <c r="AC137" i="12"/>
  <c r="AC113" i="12"/>
  <c r="AC149" i="12"/>
  <c r="AC133" i="12"/>
  <c r="AC119" i="12"/>
  <c r="AC141" i="12"/>
  <c r="AC105" i="12"/>
  <c r="AC151" i="12"/>
  <c r="AC123" i="12"/>
  <c r="AC103" i="12"/>
  <c r="AC145" i="12"/>
  <c r="AC129" i="12"/>
  <c r="AC109" i="12"/>
  <c r="AC219" i="12"/>
  <c r="AC223" i="12"/>
  <c r="AC183" i="12"/>
  <c r="AC181" i="12"/>
  <c r="AC227" i="12"/>
  <c r="AC179" i="12"/>
  <c r="AC231" i="12"/>
  <c r="AC215" i="12"/>
  <c r="AC199" i="12"/>
  <c r="AC193" i="12"/>
  <c r="AC203" i="12"/>
  <c r="AC191" i="12"/>
  <c r="AC207" i="12"/>
  <c r="AC187" i="12"/>
  <c r="AC156" i="12"/>
  <c r="AC128" i="12"/>
  <c r="AC132" i="12"/>
  <c r="AC116" i="12"/>
  <c r="AC114" i="12"/>
  <c r="AC209" i="12"/>
  <c r="AC175" i="12"/>
  <c r="AC158" i="12"/>
  <c r="AC150" i="12"/>
  <c r="AC126" i="12"/>
  <c r="AB126" i="12" s="1"/>
  <c r="AC118" i="12"/>
  <c r="AC144" i="12"/>
  <c r="AD101" i="12"/>
  <c r="AC221" i="12"/>
  <c r="AC205" i="12"/>
  <c r="AC138" i="12"/>
  <c r="AC130" i="12"/>
  <c r="AC122" i="12"/>
  <c r="AC185" i="12"/>
  <c r="AC136" i="12"/>
  <c r="AC106" i="12"/>
  <c r="AC112" i="12"/>
  <c r="AC152" i="12"/>
  <c r="AC124" i="12"/>
  <c r="AC177" i="12"/>
  <c r="AC189" i="12"/>
  <c r="AC154" i="12"/>
  <c r="AC146" i="12"/>
  <c r="AC110" i="12"/>
  <c r="AC197" i="12"/>
  <c r="AC148" i="12"/>
  <c r="AC108" i="12"/>
  <c r="AC160" i="12"/>
  <c r="AC140" i="12"/>
  <c r="AC201" i="12"/>
  <c r="AC104" i="12"/>
  <c r="AC229" i="12"/>
  <c r="AC213" i="12"/>
  <c r="AC142" i="12"/>
  <c r="AC134" i="12"/>
  <c r="AC120" i="12"/>
  <c r="E37" i="7"/>
  <c r="F36" i="7"/>
  <c r="G36" i="7" s="1"/>
  <c r="AB210" i="12" l="1"/>
  <c r="AB134" i="12"/>
  <c r="AB194" i="12"/>
  <c r="AB136" i="12"/>
  <c r="AB146" i="12"/>
  <c r="AB218" i="12"/>
  <c r="AB216" i="12"/>
  <c r="AB224" i="12"/>
  <c r="AB112" i="12"/>
  <c r="AB226" i="12"/>
  <c r="AB140" i="12"/>
  <c r="AB122" i="12"/>
  <c r="AB128" i="12"/>
  <c r="AB142" i="12"/>
  <c r="AB178" i="12"/>
  <c r="AB106" i="12"/>
  <c r="AB130" i="12"/>
  <c r="AB150" i="12"/>
  <c r="AB114" i="12"/>
  <c r="AB156" i="12"/>
  <c r="AB192" i="12"/>
  <c r="AA193" i="12" s="1"/>
  <c r="AB110" i="12"/>
  <c r="AB108" i="12"/>
  <c r="AB124" i="12"/>
  <c r="AB138" i="12"/>
  <c r="AB144" i="12"/>
  <c r="AB158" i="12"/>
  <c r="AB116" i="12"/>
  <c r="AB120" i="12"/>
  <c r="AB104" i="12"/>
  <c r="AB148" i="12"/>
  <c r="AB154" i="12"/>
  <c r="AB152" i="12"/>
  <c r="AB118" i="12"/>
  <c r="AB175" i="12"/>
  <c r="AB132" i="12"/>
  <c r="AB214" i="12"/>
  <c r="AB202" i="12"/>
  <c r="AB204" i="12"/>
  <c r="AB198" i="12"/>
  <c r="AB182" i="12"/>
  <c r="AB180" i="12"/>
  <c r="AB206" i="12"/>
  <c r="AB190" i="12"/>
  <c r="AB196" i="12"/>
  <c r="AA195" i="12" s="1"/>
  <c r="AB208" i="12"/>
  <c r="AB147" i="12"/>
  <c r="AB107" i="12"/>
  <c r="AB139" i="12"/>
  <c r="AB127" i="12"/>
  <c r="AB159" i="12"/>
  <c r="AB133" i="12"/>
  <c r="AB135" i="12"/>
  <c r="AB111" i="12"/>
  <c r="AB153" i="12"/>
  <c r="AB176" i="12"/>
  <c r="AB115" i="12"/>
  <c r="AB230" i="12"/>
  <c r="AB228" i="12"/>
  <c r="AB123" i="12"/>
  <c r="AC101" i="12"/>
  <c r="AB141" i="12"/>
  <c r="AB109" i="12"/>
  <c r="AB149" i="12"/>
  <c r="AB155" i="12"/>
  <c r="AB212" i="12"/>
  <c r="AB137" i="12"/>
  <c r="AB131" i="12"/>
  <c r="AA131" i="12" s="1"/>
  <c r="AB145" i="12"/>
  <c r="AB119" i="12"/>
  <c r="AB151" i="12"/>
  <c r="AA151" i="12" s="1"/>
  <c r="AB188" i="12"/>
  <c r="AB200" i="12"/>
  <c r="AB143" i="12"/>
  <c r="AB121" i="12"/>
  <c r="AB105" i="12"/>
  <c r="AB125" i="12"/>
  <c r="AB113" i="12"/>
  <c r="AB186" i="12"/>
  <c r="AB184" i="12"/>
  <c r="AB222" i="12"/>
  <c r="AB220" i="12"/>
  <c r="AB117" i="12"/>
  <c r="AB129" i="12"/>
  <c r="AB157" i="12"/>
  <c r="E38" i="7"/>
  <c r="F37" i="7"/>
  <c r="G37" i="7" s="1"/>
  <c r="AA209" i="12" l="1"/>
  <c r="AA223" i="12"/>
  <c r="AA215" i="12"/>
  <c r="AA225" i="12"/>
  <c r="AA105" i="12"/>
  <c r="AA217" i="12"/>
  <c r="AA191" i="12"/>
  <c r="Z192" i="12" s="1"/>
  <c r="AA149" i="12"/>
  <c r="AA125" i="12"/>
  <c r="AA179" i="12"/>
  <c r="AA117" i="12"/>
  <c r="AA109" i="12"/>
  <c r="AA176" i="12"/>
  <c r="AA137" i="12"/>
  <c r="AA123" i="12"/>
  <c r="AA133" i="12"/>
  <c r="AA113" i="12"/>
  <c r="AA143" i="12"/>
  <c r="AA205" i="12"/>
  <c r="AA107" i="12"/>
  <c r="AA153" i="12"/>
  <c r="AA157" i="12"/>
  <c r="AA119" i="12"/>
  <c r="AA213" i="12"/>
  <c r="Z214" i="12" s="1"/>
  <c r="AA141" i="12"/>
  <c r="AA111" i="12"/>
  <c r="AA127" i="12"/>
  <c r="AA121" i="12"/>
  <c r="AA147" i="12"/>
  <c r="AA129" i="12"/>
  <c r="AA201" i="12"/>
  <c r="AA145" i="12"/>
  <c r="AA155" i="12"/>
  <c r="AA115" i="12"/>
  <c r="AA135" i="12"/>
  <c r="AA139" i="12"/>
  <c r="Z216" i="12"/>
  <c r="AA203" i="12"/>
  <c r="Z224" i="12"/>
  <c r="AA197" i="12"/>
  <c r="Z196" i="12" s="1"/>
  <c r="AA181" i="12"/>
  <c r="AA189" i="12"/>
  <c r="AA199" i="12"/>
  <c r="AA211" i="12"/>
  <c r="AA187" i="12"/>
  <c r="AA207" i="12"/>
  <c r="Z194" i="12"/>
  <c r="AA118" i="12"/>
  <c r="AA158" i="12"/>
  <c r="AA221" i="12"/>
  <c r="Z222" i="12" s="1"/>
  <c r="AA219" i="12"/>
  <c r="AA106" i="12"/>
  <c r="AA144" i="12"/>
  <c r="AA120" i="12"/>
  <c r="AA132" i="12"/>
  <c r="AA142" i="12"/>
  <c r="AA229" i="12"/>
  <c r="AA227" i="12"/>
  <c r="AA116" i="12"/>
  <c r="AA136" i="12"/>
  <c r="AA114" i="12"/>
  <c r="AA152" i="12"/>
  <c r="AA146" i="12"/>
  <c r="AA177" i="12"/>
  <c r="AA140" i="12"/>
  <c r="AA185" i="12"/>
  <c r="AA183" i="12"/>
  <c r="AA122" i="12"/>
  <c r="AA156" i="12"/>
  <c r="AA110" i="12"/>
  <c r="AA112" i="12"/>
  <c r="AA148" i="12"/>
  <c r="AA130" i="12"/>
  <c r="AA126" i="12"/>
  <c r="AB101" i="12"/>
  <c r="AA138" i="12"/>
  <c r="AA150" i="12"/>
  <c r="AA124" i="12"/>
  <c r="AA154" i="12"/>
  <c r="AA134" i="12"/>
  <c r="AA128" i="12"/>
  <c r="Z128" i="12" s="1"/>
  <c r="AA108" i="12"/>
  <c r="E39" i="7"/>
  <c r="F38" i="7"/>
  <c r="G38" i="7" s="1"/>
  <c r="Z208" i="12" l="1"/>
  <c r="Z108" i="12"/>
  <c r="Z190" i="12"/>
  <c r="Z200" i="12"/>
  <c r="Z156" i="12"/>
  <c r="Z134" i="12"/>
  <c r="Z124" i="12"/>
  <c r="Z180" i="12"/>
  <c r="Z177" i="12"/>
  <c r="Z142" i="12"/>
  <c r="Y215" i="12"/>
  <c r="Y223" i="12"/>
  <c r="Z140" i="12"/>
  <c r="Z130" i="12"/>
  <c r="Z114" i="12"/>
  <c r="Z138" i="12"/>
  <c r="Z122" i="12"/>
  <c r="Z198" i="12"/>
  <c r="Z202" i="12"/>
  <c r="Z150" i="12"/>
  <c r="Z154" i="12"/>
  <c r="Z112" i="12"/>
  <c r="Z146" i="12"/>
  <c r="Z118" i="12"/>
  <c r="Z212" i="12"/>
  <c r="Y213" i="12" s="1"/>
  <c r="Z126" i="12"/>
  <c r="Z110" i="12"/>
  <c r="Z152" i="12"/>
  <c r="Z116" i="12"/>
  <c r="Z132" i="12"/>
  <c r="Z204" i="12"/>
  <c r="Z120" i="12"/>
  <c r="Z148" i="12"/>
  <c r="Z144" i="12"/>
  <c r="Z136" i="12"/>
  <c r="Z106" i="12"/>
  <c r="Z188" i="12"/>
  <c r="Y189" i="12" s="1"/>
  <c r="Y195" i="12"/>
  <c r="Y191" i="12"/>
  <c r="Z186" i="12"/>
  <c r="Z210" i="12"/>
  <c r="Z206" i="12"/>
  <c r="Y193" i="12"/>
  <c r="Z151" i="12"/>
  <c r="Z125" i="12"/>
  <c r="Z157" i="12"/>
  <c r="Z123" i="12"/>
  <c r="Z141" i="12"/>
  <c r="Z117" i="12"/>
  <c r="Z133" i="12"/>
  <c r="Z145" i="12"/>
  <c r="Z129" i="12"/>
  <c r="Z109" i="12"/>
  <c r="Z135" i="12"/>
  <c r="Z139" i="12"/>
  <c r="Z127" i="12"/>
  <c r="Z131" i="12"/>
  <c r="Z113" i="12"/>
  <c r="Z147" i="12"/>
  <c r="Z143" i="12"/>
  <c r="Z121" i="12"/>
  <c r="Z220" i="12"/>
  <c r="Y221" i="12" s="1"/>
  <c r="Z218" i="12"/>
  <c r="Z149" i="12"/>
  <c r="Z184" i="12"/>
  <c r="Z182" i="12"/>
  <c r="Z153" i="12"/>
  <c r="Z137" i="12"/>
  <c r="Z228" i="12"/>
  <c r="Z226" i="12"/>
  <c r="AA101" i="12"/>
  <c r="Z155" i="12"/>
  <c r="Z111" i="12"/>
  <c r="Z178" i="12"/>
  <c r="Z115" i="12"/>
  <c r="Z107" i="12"/>
  <c r="Z119" i="12"/>
  <c r="F39" i="7"/>
  <c r="G39" i="7" s="1"/>
  <c r="E40" i="7"/>
  <c r="Y207" i="12" l="1"/>
  <c r="Y201" i="12"/>
  <c r="Y199" i="12"/>
  <c r="Y203" i="12"/>
  <c r="Y127" i="12"/>
  <c r="Y178" i="12"/>
  <c r="Y111" i="12"/>
  <c r="Y155" i="12"/>
  <c r="Y131" i="12"/>
  <c r="X222" i="12"/>
  <c r="Y115" i="12"/>
  <c r="Y153" i="12"/>
  <c r="Y119" i="12"/>
  <c r="X200" i="12"/>
  <c r="Y197" i="12"/>
  <c r="X214" i="12"/>
  <c r="Y137" i="12"/>
  <c r="Y149" i="12"/>
  <c r="Y143" i="12"/>
  <c r="Y109" i="12"/>
  <c r="Y125" i="12"/>
  <c r="Y205" i="12"/>
  <c r="X206" i="12" s="1"/>
  <c r="Y117" i="12"/>
  <c r="Y121" i="12"/>
  <c r="Y147" i="12"/>
  <c r="Y141" i="12"/>
  <c r="Y139" i="12"/>
  <c r="Y145" i="12"/>
  <c r="Y123" i="12"/>
  <c r="X194" i="12"/>
  <c r="Y129" i="12"/>
  <c r="Y151" i="12"/>
  <c r="Y107" i="12"/>
  <c r="Y113" i="12"/>
  <c r="Y135" i="12"/>
  <c r="Y133" i="12"/>
  <c r="Y187" i="12"/>
  <c r="X188" i="12" s="1"/>
  <c r="X202" i="12"/>
  <c r="W201" i="12" s="1"/>
  <c r="X190" i="12"/>
  <c r="Y185" i="12"/>
  <c r="Y211" i="12"/>
  <c r="X212" i="12" s="1"/>
  <c r="Y209" i="12"/>
  <c r="Z101" i="12"/>
  <c r="X192" i="12"/>
  <c r="Y179" i="12"/>
  <c r="Y227" i="12"/>
  <c r="Y225" i="12"/>
  <c r="Y128" i="12"/>
  <c r="Y130" i="12"/>
  <c r="Y146" i="12"/>
  <c r="Y118" i="12"/>
  <c r="Y124" i="12"/>
  <c r="Y120" i="12"/>
  <c r="Y116" i="12"/>
  <c r="Y154" i="12"/>
  <c r="Y150" i="12"/>
  <c r="Y122" i="12"/>
  <c r="Y114" i="12"/>
  <c r="Y136" i="12"/>
  <c r="Y134" i="12"/>
  <c r="Y126" i="12"/>
  <c r="Y138" i="12"/>
  <c r="Y183" i="12"/>
  <c r="Y181" i="12"/>
  <c r="Y219" i="12"/>
  <c r="X220" i="12" s="1"/>
  <c r="Y217" i="12"/>
  <c r="Y148" i="12"/>
  <c r="Y132" i="12"/>
  <c r="X132" i="12" s="1"/>
  <c r="Y110" i="12"/>
  <c r="Y142" i="12"/>
  <c r="Y108" i="12"/>
  <c r="Y112" i="12"/>
  <c r="Y156" i="12"/>
  <c r="Y144" i="12"/>
  <c r="Y140" i="12"/>
  <c r="Y152" i="12"/>
  <c r="E41" i="7"/>
  <c r="F40" i="7"/>
  <c r="G40" i="7" s="1"/>
  <c r="W213" i="12" l="1"/>
  <c r="X114" i="12"/>
  <c r="W221" i="12"/>
  <c r="X186" i="12"/>
  <c r="W187" i="12" s="1"/>
  <c r="X138" i="12"/>
  <c r="X110" i="12"/>
  <c r="X126" i="12"/>
  <c r="X122" i="12"/>
  <c r="X148" i="12"/>
  <c r="X152" i="12"/>
  <c r="X204" i="12"/>
  <c r="W205" i="12" s="1"/>
  <c r="X116" i="12"/>
  <c r="X198" i="12"/>
  <c r="W199" i="12" s="1"/>
  <c r="V200" i="12" s="1"/>
  <c r="X196" i="12"/>
  <c r="X146" i="12"/>
  <c r="X120" i="12"/>
  <c r="X130" i="12"/>
  <c r="X140" i="12"/>
  <c r="X134" i="12"/>
  <c r="X112" i="12"/>
  <c r="W189" i="12"/>
  <c r="V188" i="12" s="1"/>
  <c r="X108" i="12"/>
  <c r="X150" i="12"/>
  <c r="X124" i="12"/>
  <c r="X128" i="12"/>
  <c r="X144" i="12"/>
  <c r="X142" i="12"/>
  <c r="X184" i="12"/>
  <c r="W185" i="12" s="1"/>
  <c r="V186" i="12" s="1"/>
  <c r="X136" i="12"/>
  <c r="X154" i="12"/>
  <c r="X118" i="12"/>
  <c r="X179" i="12"/>
  <c r="X210" i="12"/>
  <c r="W211" i="12" s="1"/>
  <c r="V212" i="12" s="1"/>
  <c r="X208" i="12"/>
  <c r="W193" i="12"/>
  <c r="W191" i="12"/>
  <c r="X182" i="12"/>
  <c r="W183" i="12" s="1"/>
  <c r="V184" i="12" s="1"/>
  <c r="X143" i="12"/>
  <c r="X151" i="12"/>
  <c r="X113" i="12"/>
  <c r="X133" i="12"/>
  <c r="X218" i="12"/>
  <c r="W219" i="12" s="1"/>
  <c r="V220" i="12" s="1"/>
  <c r="X216" i="12"/>
  <c r="X141" i="12"/>
  <c r="X145" i="12"/>
  <c r="Y101" i="12"/>
  <c r="X139" i="12"/>
  <c r="X135" i="12"/>
  <c r="X115" i="12"/>
  <c r="X117" i="12"/>
  <c r="X125" i="12"/>
  <c r="X147" i="12"/>
  <c r="X129" i="12"/>
  <c r="X123" i="12"/>
  <c r="X131" i="12"/>
  <c r="X226" i="12"/>
  <c r="X224" i="12"/>
  <c r="X180" i="12"/>
  <c r="X109" i="12"/>
  <c r="X153" i="12"/>
  <c r="X111" i="12"/>
  <c r="X149" i="12"/>
  <c r="X127" i="12"/>
  <c r="X137" i="12"/>
  <c r="X155" i="12"/>
  <c r="X121" i="12"/>
  <c r="X119" i="12"/>
  <c r="E42" i="7"/>
  <c r="F41" i="7"/>
  <c r="G41" i="7" s="1"/>
  <c r="W121" i="12" l="1"/>
  <c r="W141" i="12"/>
  <c r="W119" i="12"/>
  <c r="W139" i="12"/>
  <c r="W203" i="12"/>
  <c r="V202" i="12" s="1"/>
  <c r="W180" i="12"/>
  <c r="W137" i="12"/>
  <c r="W147" i="12"/>
  <c r="W111" i="12"/>
  <c r="W197" i="12"/>
  <c r="V198" i="12" s="1"/>
  <c r="W195" i="12"/>
  <c r="W153" i="12"/>
  <c r="W135" i="12"/>
  <c r="W127" i="12"/>
  <c r="W109" i="12"/>
  <c r="W131" i="12"/>
  <c r="U184" i="12"/>
  <c r="W133" i="12"/>
  <c r="W151" i="12"/>
  <c r="W123" i="12"/>
  <c r="W117" i="12"/>
  <c r="W113" i="12"/>
  <c r="W143" i="12"/>
  <c r="U186" i="12"/>
  <c r="W125" i="12"/>
  <c r="W145" i="12"/>
  <c r="W149" i="12"/>
  <c r="W129" i="12"/>
  <c r="W115" i="12"/>
  <c r="U185" i="12"/>
  <c r="U187" i="12"/>
  <c r="W209" i="12"/>
  <c r="V210" i="12" s="1"/>
  <c r="U210" i="12" s="1"/>
  <c r="W207" i="12"/>
  <c r="V192" i="12"/>
  <c r="V190" i="12"/>
  <c r="U188" i="12" s="1"/>
  <c r="W181" i="12"/>
  <c r="V181" i="12" s="1"/>
  <c r="W132" i="12"/>
  <c r="W122" i="12"/>
  <c r="W138" i="12"/>
  <c r="W112" i="12"/>
  <c r="W110" i="12"/>
  <c r="W124" i="12"/>
  <c r="W148" i="12"/>
  <c r="W118" i="12"/>
  <c r="W116" i="12"/>
  <c r="W140" i="12"/>
  <c r="W142" i="12"/>
  <c r="W134" i="12"/>
  <c r="W152" i="12"/>
  <c r="W150" i="12"/>
  <c r="W154" i="12"/>
  <c r="W225" i="12"/>
  <c r="W223" i="12"/>
  <c r="W146" i="12"/>
  <c r="W217" i="12"/>
  <c r="V218" i="12" s="1"/>
  <c r="U218" i="12" s="1"/>
  <c r="W215" i="12"/>
  <c r="W144" i="12"/>
  <c r="X101" i="12"/>
  <c r="W120" i="12"/>
  <c r="W128" i="12"/>
  <c r="W130" i="12"/>
  <c r="W126" i="12"/>
  <c r="W136" i="12"/>
  <c r="W114" i="12"/>
  <c r="E43" i="7"/>
  <c r="F42" i="7"/>
  <c r="G42" i="7" s="1"/>
  <c r="V204" i="12" l="1"/>
  <c r="U198" i="12"/>
  <c r="U199" i="12"/>
  <c r="V196" i="12"/>
  <c r="V194" i="12"/>
  <c r="U193" i="12" s="1"/>
  <c r="V114" i="12"/>
  <c r="V130" i="12"/>
  <c r="V144" i="12"/>
  <c r="V148" i="12"/>
  <c r="V138" i="12"/>
  <c r="V136" i="12"/>
  <c r="V120" i="12"/>
  <c r="V152" i="12"/>
  <c r="V116" i="12"/>
  <c r="V110" i="12"/>
  <c r="T185" i="12"/>
  <c r="V146" i="12"/>
  <c r="V126" i="12"/>
  <c r="V128" i="12"/>
  <c r="U202" i="12"/>
  <c r="V150" i="12"/>
  <c r="V140" i="12"/>
  <c r="V124" i="12"/>
  <c r="V122" i="12"/>
  <c r="U190" i="12"/>
  <c r="T186" i="12"/>
  <c r="V132" i="12"/>
  <c r="V134" i="12"/>
  <c r="V118" i="12"/>
  <c r="V112" i="12"/>
  <c r="V142" i="12"/>
  <c r="U200" i="12"/>
  <c r="U211" i="12"/>
  <c r="V208" i="12"/>
  <c r="U208" i="12" s="1"/>
  <c r="V206" i="12"/>
  <c r="U191" i="12"/>
  <c r="U189" i="12"/>
  <c r="U203" i="12"/>
  <c r="U201" i="12"/>
  <c r="V153" i="12"/>
  <c r="V117" i="12"/>
  <c r="V125" i="12"/>
  <c r="V182" i="12"/>
  <c r="U182" i="12" s="1"/>
  <c r="V137" i="12"/>
  <c r="V129" i="12"/>
  <c r="V147" i="12"/>
  <c r="V143" i="12"/>
  <c r="V149" i="12"/>
  <c r="V113" i="12"/>
  <c r="V123" i="12"/>
  <c r="U123" i="12" s="1"/>
  <c r="V216" i="12"/>
  <c r="U216" i="12" s="1"/>
  <c r="V214" i="12"/>
  <c r="V141" i="12"/>
  <c r="W101" i="12"/>
  <c r="V127" i="12"/>
  <c r="V115" i="12"/>
  <c r="V131" i="12"/>
  <c r="V145" i="12"/>
  <c r="V224" i="12"/>
  <c r="V222" i="12"/>
  <c r="V121" i="12"/>
  <c r="U219" i="12"/>
  <c r="V151" i="12"/>
  <c r="V135" i="12"/>
  <c r="V119" i="12"/>
  <c r="V111" i="12"/>
  <c r="V139" i="12"/>
  <c r="V133" i="12"/>
  <c r="F43" i="7"/>
  <c r="G43" i="7" s="1"/>
  <c r="E44" i="7"/>
  <c r="U119" i="12" l="1"/>
  <c r="U133" i="12"/>
  <c r="U127" i="12"/>
  <c r="U115" i="12"/>
  <c r="U111" i="12"/>
  <c r="U192" i="12"/>
  <c r="U135" i="12"/>
  <c r="U141" i="12"/>
  <c r="U194" i="12"/>
  <c r="U195" i="12"/>
  <c r="T193" i="12" s="1"/>
  <c r="U151" i="12"/>
  <c r="U196" i="12"/>
  <c r="U197" i="12"/>
  <c r="T201" i="12"/>
  <c r="U206" i="12"/>
  <c r="U113" i="12"/>
  <c r="U121" i="12"/>
  <c r="U145" i="12"/>
  <c r="U149" i="12"/>
  <c r="U129" i="12"/>
  <c r="U117" i="12"/>
  <c r="T189" i="12"/>
  <c r="U137" i="12"/>
  <c r="T192" i="12"/>
  <c r="T191" i="12"/>
  <c r="U204" i="12"/>
  <c r="U143" i="12"/>
  <c r="T199" i="12"/>
  <c r="U131" i="12"/>
  <c r="U139" i="12"/>
  <c r="U222" i="12"/>
  <c r="U220" i="12"/>
  <c r="U214" i="12"/>
  <c r="U212" i="12"/>
  <c r="U147" i="12"/>
  <c r="U125" i="12"/>
  <c r="T187" i="12"/>
  <c r="U209" i="12"/>
  <c r="T209" i="12" s="1"/>
  <c r="U207" i="12"/>
  <c r="U205" i="12"/>
  <c r="T190" i="12"/>
  <c r="T188" i="12"/>
  <c r="S186" i="12" s="1"/>
  <c r="U130" i="12"/>
  <c r="U215" i="12"/>
  <c r="U213" i="12"/>
  <c r="U124" i="12"/>
  <c r="U223" i="12"/>
  <c r="U221" i="12"/>
  <c r="U128" i="12"/>
  <c r="U150" i="12"/>
  <c r="U148" i="12"/>
  <c r="U183" i="12"/>
  <c r="T183" i="12" s="1"/>
  <c r="U118" i="12"/>
  <c r="T202" i="12"/>
  <c r="T200" i="12"/>
  <c r="U112" i="12"/>
  <c r="U152" i="12"/>
  <c r="U146" i="12"/>
  <c r="U132" i="12"/>
  <c r="U217" i="12"/>
  <c r="T217" i="12" s="1"/>
  <c r="U142" i="12"/>
  <c r="U140" i="12"/>
  <c r="U136" i="12"/>
  <c r="U134" i="12"/>
  <c r="V101" i="12"/>
  <c r="U120" i="12"/>
  <c r="U122" i="12"/>
  <c r="U116" i="12"/>
  <c r="U114" i="12"/>
  <c r="U144" i="12"/>
  <c r="U138" i="12"/>
  <c r="U126" i="12"/>
  <c r="E45" i="7"/>
  <c r="F44" i="7"/>
  <c r="G44" i="7" s="1"/>
  <c r="T126" i="12" l="1"/>
  <c r="T116" i="12"/>
  <c r="T194" i="12"/>
  <c r="S192" i="12"/>
  <c r="T207" i="12"/>
  <c r="T146" i="12"/>
  <c r="S193" i="12"/>
  <c r="T213" i="12"/>
  <c r="T197" i="12"/>
  <c r="T198" i="12"/>
  <c r="S198" i="12" s="1"/>
  <c r="T120" i="12"/>
  <c r="T114" i="12"/>
  <c r="T150" i="12"/>
  <c r="T124" i="12"/>
  <c r="T196" i="12"/>
  <c r="T195" i="12"/>
  <c r="T144" i="12"/>
  <c r="T140" i="12"/>
  <c r="T132" i="12"/>
  <c r="S200" i="12"/>
  <c r="T148" i="12"/>
  <c r="S191" i="12"/>
  <c r="S190" i="12"/>
  <c r="T204" i="12"/>
  <c r="S202" i="12" s="1"/>
  <c r="T205" i="12"/>
  <c r="T203" i="12"/>
  <c r="T130" i="12"/>
  <c r="T134" i="12"/>
  <c r="T142" i="12"/>
  <c r="T118" i="12"/>
  <c r="T128" i="12"/>
  <c r="T138" i="12"/>
  <c r="T122" i="12"/>
  <c r="T136" i="12"/>
  <c r="T112" i="12"/>
  <c r="T221" i="12"/>
  <c r="T215" i="12"/>
  <c r="S188" i="12"/>
  <c r="T211" i="12"/>
  <c r="T219" i="12"/>
  <c r="T210" i="12"/>
  <c r="T206" i="12"/>
  <c r="T220" i="12"/>
  <c r="T208" i="12"/>
  <c r="S187" i="12"/>
  <c r="S189" i="12"/>
  <c r="T145" i="12"/>
  <c r="T117" i="12"/>
  <c r="T121" i="12"/>
  <c r="T133" i="12"/>
  <c r="S201" i="12"/>
  <c r="T119" i="12"/>
  <c r="T149" i="12"/>
  <c r="T129" i="12"/>
  <c r="T214" i="12"/>
  <c r="T212" i="12"/>
  <c r="T139" i="12"/>
  <c r="S199" i="12"/>
  <c r="T127" i="12"/>
  <c r="U101" i="12"/>
  <c r="T184" i="12"/>
  <c r="S184" i="12" s="1"/>
  <c r="T222" i="12"/>
  <c r="T131" i="12"/>
  <c r="T137" i="12"/>
  <c r="T115" i="12"/>
  <c r="T123" i="12"/>
  <c r="T135" i="12"/>
  <c r="T141" i="12"/>
  <c r="T143" i="12"/>
  <c r="T218" i="12"/>
  <c r="T147" i="12"/>
  <c r="T113" i="12"/>
  <c r="T151" i="12"/>
  <c r="T125" i="12"/>
  <c r="T216" i="12"/>
  <c r="E46" i="7"/>
  <c r="F45" i="7"/>
  <c r="G45" i="7" s="1"/>
  <c r="S115" i="12" l="1"/>
  <c r="S135" i="12"/>
  <c r="S216" i="12"/>
  <c r="S147" i="12"/>
  <c r="S205" i="12"/>
  <c r="S137" i="12"/>
  <c r="S119" i="12"/>
  <c r="S208" i="12"/>
  <c r="R191" i="12"/>
  <c r="S203" i="12"/>
  <c r="R201" i="12" s="1"/>
  <c r="R199" i="12"/>
  <c r="S125" i="12"/>
  <c r="S218" i="12"/>
  <c r="S131" i="12"/>
  <c r="S196" i="12"/>
  <c r="S197" i="12"/>
  <c r="S194" i="12"/>
  <c r="S195" i="12"/>
  <c r="S143" i="12"/>
  <c r="R189" i="12"/>
  <c r="S206" i="12"/>
  <c r="S113" i="12"/>
  <c r="R192" i="12"/>
  <c r="S127" i="12"/>
  <c r="S212" i="12"/>
  <c r="S123" i="12"/>
  <c r="S121" i="12"/>
  <c r="R187" i="12"/>
  <c r="S210" i="12"/>
  <c r="S204" i="12"/>
  <c r="S141" i="12"/>
  <c r="S214" i="12"/>
  <c r="S117" i="12"/>
  <c r="S139" i="12"/>
  <c r="S129" i="12"/>
  <c r="S145" i="12"/>
  <c r="S220" i="12"/>
  <c r="S149" i="12"/>
  <c r="S133" i="12"/>
  <c r="R197" i="12"/>
  <c r="S221" i="12"/>
  <c r="S207" i="12"/>
  <c r="S209" i="12"/>
  <c r="R190" i="12"/>
  <c r="R188" i="12"/>
  <c r="S132" i="12"/>
  <c r="S185" i="12"/>
  <c r="R185" i="12" s="1"/>
  <c r="S128" i="12"/>
  <c r="S213" i="12"/>
  <c r="S211" i="12"/>
  <c r="S148" i="12"/>
  <c r="S144" i="12"/>
  <c r="S142" i="12"/>
  <c r="S116" i="12"/>
  <c r="S130" i="12"/>
  <c r="S120" i="12"/>
  <c r="S134" i="12"/>
  <c r="S118" i="12"/>
  <c r="S136" i="12"/>
  <c r="S215" i="12"/>
  <c r="R202" i="12"/>
  <c r="S146" i="12"/>
  <c r="S217" i="12"/>
  <c r="T101" i="12"/>
  <c r="S126" i="12"/>
  <c r="S114" i="12"/>
  <c r="S219" i="12"/>
  <c r="S124" i="12"/>
  <c r="S138" i="12"/>
  <c r="R200" i="12"/>
  <c r="S140" i="12"/>
  <c r="R198" i="12"/>
  <c r="S150" i="12"/>
  <c r="S122" i="12"/>
  <c r="E47" i="7"/>
  <c r="F46" i="7"/>
  <c r="G46" i="7" s="1"/>
  <c r="R140" i="12" l="1"/>
  <c r="R219" i="12"/>
  <c r="R126" i="12"/>
  <c r="R206" i="12"/>
  <c r="R204" i="12"/>
  <c r="Q202" i="12" s="1"/>
  <c r="R203" i="12"/>
  <c r="R124" i="12"/>
  <c r="R207" i="12"/>
  <c r="R193" i="12"/>
  <c r="R195" i="12"/>
  <c r="R196" i="12"/>
  <c r="Q197" i="12" s="1"/>
  <c r="R194" i="12"/>
  <c r="R118" i="12"/>
  <c r="R130" i="12"/>
  <c r="R144" i="12"/>
  <c r="R208" i="12"/>
  <c r="Q188" i="12"/>
  <c r="R205" i="12"/>
  <c r="R215" i="12"/>
  <c r="R134" i="12"/>
  <c r="R211" i="12"/>
  <c r="R116" i="12"/>
  <c r="R148" i="12"/>
  <c r="R128" i="12"/>
  <c r="Q191" i="12"/>
  <c r="Q190" i="12"/>
  <c r="Q200" i="12"/>
  <c r="R217" i="12"/>
  <c r="R209" i="12"/>
  <c r="Q198" i="12"/>
  <c r="R122" i="12"/>
  <c r="R138" i="12"/>
  <c r="R114" i="12"/>
  <c r="R146" i="12"/>
  <c r="R136" i="12"/>
  <c r="R120" i="12"/>
  <c r="R142" i="12"/>
  <c r="R213" i="12"/>
  <c r="R132" i="12"/>
  <c r="Q189" i="12"/>
  <c r="R141" i="12"/>
  <c r="R119" i="12"/>
  <c r="R131" i="12"/>
  <c r="R117" i="12"/>
  <c r="R149" i="12"/>
  <c r="R129" i="12"/>
  <c r="R139" i="12"/>
  <c r="R115" i="12"/>
  <c r="Q115" i="12" s="1"/>
  <c r="R143" i="12"/>
  <c r="R214" i="12"/>
  <c r="R133" i="12"/>
  <c r="R147" i="12"/>
  <c r="Q203" i="12"/>
  <c r="R137" i="12"/>
  <c r="R121" i="12"/>
  <c r="R125" i="12"/>
  <c r="R220" i="12"/>
  <c r="R218" i="12"/>
  <c r="R135" i="12"/>
  <c r="R145" i="12"/>
  <c r="R212" i="12"/>
  <c r="Q212" i="12" s="1"/>
  <c r="R210" i="12"/>
  <c r="S101" i="12"/>
  <c r="R123" i="12"/>
  <c r="Q199" i="12"/>
  <c r="Q201" i="12"/>
  <c r="R127" i="12"/>
  <c r="R216" i="12"/>
  <c r="R186" i="12"/>
  <c r="Q186" i="12" s="1"/>
  <c r="F47" i="7"/>
  <c r="G47" i="7" s="1"/>
  <c r="E48" i="7"/>
  <c r="Q137" i="12" l="1"/>
  <c r="Q207" i="12"/>
  <c r="Q205" i="12"/>
  <c r="Q204" i="12"/>
  <c r="Q121" i="12"/>
  <c r="Q196" i="12"/>
  <c r="Q206" i="12"/>
  <c r="Q127" i="12"/>
  <c r="P201" i="12"/>
  <c r="Q210" i="12"/>
  <c r="Q218" i="12"/>
  <c r="Q135" i="12"/>
  <c r="Q117" i="12"/>
  <c r="P189" i="12"/>
  <c r="Q194" i="12"/>
  <c r="Q195" i="12"/>
  <c r="P196" i="12" s="1"/>
  <c r="Q193" i="12"/>
  <c r="P191" i="12" s="1"/>
  <c r="Q192" i="12"/>
  <c r="Q216" i="12"/>
  <c r="Q129" i="12"/>
  <c r="Q145" i="12"/>
  <c r="Q141" i="12"/>
  <c r="Q125" i="12"/>
  <c r="Q147" i="12"/>
  <c r="Q143" i="12"/>
  <c r="P198" i="12"/>
  <c r="P199" i="12"/>
  <c r="Q133" i="12"/>
  <c r="Q139" i="12"/>
  <c r="Q131" i="12"/>
  <c r="P197" i="12"/>
  <c r="Q123" i="12"/>
  <c r="P203" i="12"/>
  <c r="Q214" i="12"/>
  <c r="Q119" i="12"/>
  <c r="Q208" i="12"/>
  <c r="Q209" i="12"/>
  <c r="P190" i="12"/>
  <c r="Q132" i="12"/>
  <c r="Q142" i="12"/>
  <c r="Q124" i="12"/>
  <c r="Q213" i="12"/>
  <c r="Q136" i="12"/>
  <c r="Q122" i="12"/>
  <c r="P204" i="12"/>
  <c r="Q148" i="12"/>
  <c r="Q215" i="12"/>
  <c r="Q140" i="12"/>
  <c r="P140" i="12" s="1"/>
  <c r="Q217" i="12"/>
  <c r="P202" i="12"/>
  <c r="Q134" i="12"/>
  <c r="P134" i="12" s="1"/>
  <c r="Q116" i="12"/>
  <c r="Q130" i="12"/>
  <c r="Q120" i="12"/>
  <c r="Q187" i="12"/>
  <c r="P187" i="12" s="1"/>
  <c r="Q128" i="12"/>
  <c r="P200" i="12"/>
  <c r="Q211" i="12"/>
  <c r="Q146" i="12"/>
  <c r="Q219" i="12"/>
  <c r="Q126" i="12"/>
  <c r="Q138" i="12"/>
  <c r="Q144" i="12"/>
  <c r="R101" i="12"/>
  <c r="Q118" i="12"/>
  <c r="E49" i="7"/>
  <c r="F48" i="7"/>
  <c r="G48" i="7" s="1"/>
  <c r="P206" i="12" l="1"/>
  <c r="O200" i="12"/>
  <c r="P207" i="12"/>
  <c r="P205" i="12"/>
  <c r="P144" i="12"/>
  <c r="O196" i="12"/>
  <c r="P128" i="12"/>
  <c r="P146" i="12"/>
  <c r="P195" i="12"/>
  <c r="P130" i="12"/>
  <c r="P213" i="12"/>
  <c r="P120" i="12"/>
  <c r="P193" i="12"/>
  <c r="P192" i="12"/>
  <c r="P194" i="12"/>
  <c r="O202" i="12"/>
  <c r="P138" i="12"/>
  <c r="O197" i="12"/>
  <c r="P122" i="12"/>
  <c r="P118" i="12"/>
  <c r="P126" i="12"/>
  <c r="P208" i="12"/>
  <c r="O206" i="12" s="1"/>
  <c r="P132" i="12"/>
  <c r="O204" i="12"/>
  <c r="P124" i="12"/>
  <c r="P209" i="12"/>
  <c r="P210" i="12"/>
  <c r="P211" i="12"/>
  <c r="P116" i="12"/>
  <c r="P217" i="12"/>
  <c r="P215" i="12"/>
  <c r="P136" i="12"/>
  <c r="P142" i="12"/>
  <c r="O198" i="12"/>
  <c r="P119" i="12"/>
  <c r="P139" i="12"/>
  <c r="P145" i="12"/>
  <c r="P127" i="12"/>
  <c r="P147" i="12"/>
  <c r="P129" i="12"/>
  <c r="P121" i="12"/>
  <c r="P117" i="12"/>
  <c r="P218" i="12"/>
  <c r="P141" i="12"/>
  <c r="P123" i="12"/>
  <c r="P214" i="12"/>
  <c r="P133" i="12"/>
  <c r="P188" i="12"/>
  <c r="O188" i="12" s="1"/>
  <c r="P212" i="12"/>
  <c r="O201" i="12"/>
  <c r="P135" i="12"/>
  <c r="O203" i="12"/>
  <c r="O205" i="12"/>
  <c r="P131" i="12"/>
  <c r="Q101" i="12"/>
  <c r="P216" i="12"/>
  <c r="P137" i="12"/>
  <c r="P125" i="12"/>
  <c r="P143" i="12"/>
  <c r="O199" i="12"/>
  <c r="E50" i="7"/>
  <c r="F49" i="7"/>
  <c r="G49" i="7" s="1"/>
  <c r="O137" i="12" l="1"/>
  <c r="O117" i="12"/>
  <c r="O216" i="12"/>
  <c r="O212" i="12"/>
  <c r="O143" i="12"/>
  <c r="O125" i="12"/>
  <c r="O131" i="12"/>
  <c r="O207" i="12"/>
  <c r="N205" i="12" s="1"/>
  <c r="O209" i="12"/>
  <c r="O192" i="12"/>
  <c r="O193" i="12"/>
  <c r="O133" i="12"/>
  <c r="O191" i="12"/>
  <c r="O121" i="12"/>
  <c r="O194" i="12"/>
  <c r="O195" i="12"/>
  <c r="N196" i="12" s="1"/>
  <c r="O190" i="12"/>
  <c r="O145" i="12"/>
  <c r="N201" i="12"/>
  <c r="O123" i="12"/>
  <c r="O119" i="12"/>
  <c r="O141" i="12"/>
  <c r="O127" i="12"/>
  <c r="O210" i="12"/>
  <c r="O129" i="12"/>
  <c r="N198" i="12"/>
  <c r="N199" i="12"/>
  <c r="N203" i="12"/>
  <c r="O135" i="12"/>
  <c r="O214" i="12"/>
  <c r="O139" i="12"/>
  <c r="N197" i="12"/>
  <c r="O208" i="12"/>
  <c r="O144" i="12"/>
  <c r="O138" i="12"/>
  <c r="O136" i="12"/>
  <c r="O213" i="12"/>
  <c r="P101" i="12"/>
  <c r="O211" i="12"/>
  <c r="O217" i="12"/>
  <c r="O132" i="12"/>
  <c r="O124" i="12"/>
  <c r="O118" i="12"/>
  <c r="O128" i="12"/>
  <c r="O140" i="12"/>
  <c r="O126" i="12"/>
  <c r="N204" i="12"/>
  <c r="N202" i="12"/>
  <c r="O189" i="12"/>
  <c r="O146" i="12"/>
  <c r="N200" i="12"/>
  <c r="O134" i="12"/>
  <c r="O215" i="12"/>
  <c r="O142" i="12"/>
  <c r="O122" i="12"/>
  <c r="O130" i="12"/>
  <c r="O120" i="12"/>
  <c r="E51" i="7"/>
  <c r="F50" i="7"/>
  <c r="G50" i="7" s="1"/>
  <c r="N210" i="12" l="1"/>
  <c r="N136" i="12"/>
  <c r="N206" i="12"/>
  <c r="M204" i="12" s="1"/>
  <c r="N207" i="12"/>
  <c r="N189" i="12"/>
  <c r="M197" i="12"/>
  <c r="N122" i="12"/>
  <c r="M200" i="12"/>
  <c r="N195" i="12"/>
  <c r="M202" i="12"/>
  <c r="N208" i="12"/>
  <c r="M208" i="12" s="1"/>
  <c r="N130" i="12"/>
  <c r="N191" i="12"/>
  <c r="N192" i="12"/>
  <c r="N193" i="12"/>
  <c r="N194" i="12"/>
  <c r="N142" i="12"/>
  <c r="N128" i="12"/>
  <c r="N120" i="12"/>
  <c r="N211" i="12"/>
  <c r="N138" i="12"/>
  <c r="N209" i="12"/>
  <c r="M198" i="12"/>
  <c r="N215" i="12"/>
  <c r="N134" i="12"/>
  <c r="N126" i="12"/>
  <c r="N118" i="12"/>
  <c r="N144" i="12"/>
  <c r="M196" i="12"/>
  <c r="N140" i="12"/>
  <c r="N124" i="12"/>
  <c r="N132" i="12"/>
  <c r="N213" i="12"/>
  <c r="M203" i="12"/>
  <c r="N129" i="12"/>
  <c r="N133" i="12"/>
  <c r="N212" i="12"/>
  <c r="N137" i="12"/>
  <c r="N145" i="12"/>
  <c r="N131" i="12"/>
  <c r="N143" i="12"/>
  <c r="N135" i="12"/>
  <c r="M135" i="12" s="1"/>
  <c r="M201" i="12"/>
  <c r="M209" i="12"/>
  <c r="N127" i="12"/>
  <c r="O101" i="12"/>
  <c r="N121" i="12"/>
  <c r="N190" i="12"/>
  <c r="N141" i="12"/>
  <c r="M141" i="12" s="1"/>
  <c r="N119" i="12"/>
  <c r="N216" i="12"/>
  <c r="N123" i="12"/>
  <c r="N125" i="12"/>
  <c r="N214" i="12"/>
  <c r="N139" i="12"/>
  <c r="M139" i="12" s="1"/>
  <c r="M199" i="12"/>
  <c r="F51" i="7"/>
  <c r="G51" i="7" s="1"/>
  <c r="E52" i="7"/>
  <c r="M205" i="12" l="1"/>
  <c r="M207" i="12"/>
  <c r="M206" i="12"/>
  <c r="M214" i="12"/>
  <c r="M131" i="12"/>
  <c r="L207" i="12"/>
  <c r="M125" i="12"/>
  <c r="L201" i="12"/>
  <c r="L205" i="12"/>
  <c r="M123" i="12"/>
  <c r="M190" i="12"/>
  <c r="M194" i="12"/>
  <c r="M195" i="12"/>
  <c r="M192" i="12"/>
  <c r="M193" i="12"/>
  <c r="M119" i="12"/>
  <c r="M127" i="12"/>
  <c r="L198" i="12"/>
  <c r="L199" i="12"/>
  <c r="M121" i="12"/>
  <c r="M133" i="12"/>
  <c r="M129" i="12"/>
  <c r="M137" i="12"/>
  <c r="L203" i="12"/>
  <c r="M143" i="12"/>
  <c r="M212" i="12"/>
  <c r="M210" i="12"/>
  <c r="L197" i="12"/>
  <c r="M124" i="12"/>
  <c r="N101" i="12"/>
  <c r="M191" i="12"/>
  <c r="M132" i="12"/>
  <c r="M134" i="12"/>
  <c r="M130" i="12"/>
  <c r="M140" i="12"/>
  <c r="M126" i="12"/>
  <c r="L206" i="12"/>
  <c r="M142" i="12"/>
  <c r="M122" i="12"/>
  <c r="M136" i="12"/>
  <c r="M138" i="12"/>
  <c r="L208" i="12"/>
  <c r="M128" i="12"/>
  <c r="L200" i="12"/>
  <c r="M215" i="12"/>
  <c r="M120" i="12"/>
  <c r="L202" i="12"/>
  <c r="M144" i="12"/>
  <c r="M213" i="12"/>
  <c r="M211" i="12"/>
  <c r="L209" i="12" s="1"/>
  <c r="L204" i="12"/>
  <c r="E53" i="7"/>
  <c r="F52" i="7"/>
  <c r="G52" i="7" s="1"/>
  <c r="L213" i="12" l="1"/>
  <c r="L128" i="12"/>
  <c r="L120" i="12"/>
  <c r="L126" i="12"/>
  <c r="K202" i="12"/>
  <c r="L138" i="12"/>
  <c r="L193" i="12"/>
  <c r="L194" i="12"/>
  <c r="L136" i="12"/>
  <c r="K204" i="12"/>
  <c r="L122" i="12"/>
  <c r="L195" i="12"/>
  <c r="L196" i="12"/>
  <c r="L191" i="12"/>
  <c r="L132" i="12"/>
  <c r="L142" i="12"/>
  <c r="L130" i="12"/>
  <c r="K200" i="12"/>
  <c r="K206" i="12"/>
  <c r="L134" i="12"/>
  <c r="L124" i="12"/>
  <c r="L210" i="12"/>
  <c r="L211" i="12"/>
  <c r="L140" i="12"/>
  <c r="K198" i="12"/>
  <c r="M101" i="12"/>
  <c r="L129" i="12"/>
  <c r="L127" i="12"/>
  <c r="L143" i="12"/>
  <c r="L212" i="12"/>
  <c r="L121" i="12"/>
  <c r="K207" i="12"/>
  <c r="K203" i="12"/>
  <c r="K201" i="12"/>
  <c r="K199" i="12"/>
  <c r="L137" i="12"/>
  <c r="L123" i="12"/>
  <c r="L141" i="12"/>
  <c r="L135" i="12"/>
  <c r="K205" i="12"/>
  <c r="L214" i="12"/>
  <c r="L139" i="12"/>
  <c r="L131" i="12"/>
  <c r="L133" i="12"/>
  <c r="L192" i="12"/>
  <c r="L125" i="12"/>
  <c r="E54" i="7"/>
  <c r="F53" i="7"/>
  <c r="G53" i="7" s="1"/>
  <c r="K139" i="12" l="1"/>
  <c r="J201" i="12"/>
  <c r="K125" i="12"/>
  <c r="K192" i="12"/>
  <c r="K197" i="12"/>
  <c r="J197" i="12" s="1"/>
  <c r="K196" i="12"/>
  <c r="K194" i="12"/>
  <c r="K195" i="12"/>
  <c r="K210" i="12"/>
  <c r="K131" i="12"/>
  <c r="K135" i="12"/>
  <c r="K209" i="12"/>
  <c r="J207" i="12" s="1"/>
  <c r="K121" i="12"/>
  <c r="K127" i="12"/>
  <c r="K123" i="12"/>
  <c r="K212" i="12"/>
  <c r="K129" i="12"/>
  <c r="K141" i="12"/>
  <c r="J199" i="12"/>
  <c r="K133" i="12"/>
  <c r="J205" i="12"/>
  <c r="K137" i="12"/>
  <c r="J203" i="12"/>
  <c r="K208" i="12"/>
  <c r="K142" i="12"/>
  <c r="K138" i="12"/>
  <c r="K213" i="12"/>
  <c r="K211" i="12"/>
  <c r="K126" i="12"/>
  <c r="K134" i="12"/>
  <c r="J202" i="12"/>
  <c r="K132" i="12"/>
  <c r="J206" i="12"/>
  <c r="K124" i="12"/>
  <c r="J204" i="12"/>
  <c r="L101" i="12"/>
  <c r="K193" i="12"/>
  <c r="K140" i="12"/>
  <c r="K136" i="12"/>
  <c r="J200" i="12"/>
  <c r="K122" i="12"/>
  <c r="K128" i="12"/>
  <c r="K130" i="12"/>
  <c r="E55" i="7"/>
  <c r="F54" i="7"/>
  <c r="G54" i="7" s="1"/>
  <c r="J208" i="12" l="1"/>
  <c r="I207" i="12" s="1"/>
  <c r="J193" i="12"/>
  <c r="J136" i="12"/>
  <c r="I204" i="12"/>
  <c r="J198" i="12"/>
  <c r="I198" i="12" s="1"/>
  <c r="J130" i="12"/>
  <c r="J140" i="12"/>
  <c r="J124" i="12"/>
  <c r="J195" i="12"/>
  <c r="J196" i="12"/>
  <c r="I200" i="12"/>
  <c r="J132" i="12"/>
  <c r="J122" i="12"/>
  <c r="J134" i="12"/>
  <c r="J126" i="12"/>
  <c r="J138" i="12"/>
  <c r="J210" i="12"/>
  <c r="I209" i="12" s="1"/>
  <c r="J211" i="12"/>
  <c r="J128" i="12"/>
  <c r="I202" i="12"/>
  <c r="J209" i="12"/>
  <c r="J131" i="12"/>
  <c r="I201" i="12"/>
  <c r="J194" i="12"/>
  <c r="J125" i="12"/>
  <c r="J127" i="12"/>
  <c r="J129" i="12"/>
  <c r="K101" i="12"/>
  <c r="J141" i="12"/>
  <c r="J133" i="12"/>
  <c r="J212" i="12"/>
  <c r="J123" i="12"/>
  <c r="J135" i="12"/>
  <c r="J137" i="12"/>
  <c r="I205" i="12"/>
  <c r="I203" i="12"/>
  <c r="J139" i="12"/>
  <c r="F55" i="7"/>
  <c r="G55" i="7" s="1"/>
  <c r="E56" i="7"/>
  <c r="I206" i="12" l="1"/>
  <c r="I199" i="12"/>
  <c r="H200" i="12" s="1"/>
  <c r="I123" i="12"/>
  <c r="I194" i="12"/>
  <c r="I125" i="12"/>
  <c r="I129" i="12"/>
  <c r="H205" i="12"/>
  <c r="I196" i="12"/>
  <c r="I197" i="12"/>
  <c r="I139" i="12"/>
  <c r="H207" i="12"/>
  <c r="H203" i="12"/>
  <c r="I135" i="12"/>
  <c r="I133" i="12"/>
  <c r="I127" i="12"/>
  <c r="I131" i="12"/>
  <c r="I210" i="12"/>
  <c r="I208" i="12"/>
  <c r="I137" i="12"/>
  <c r="H201" i="12"/>
  <c r="I211" i="12"/>
  <c r="H209" i="12" s="1"/>
  <c r="I136" i="12"/>
  <c r="J101" i="12"/>
  <c r="I128" i="12"/>
  <c r="I140" i="12"/>
  <c r="H208" i="12"/>
  <c r="I138" i="12"/>
  <c r="I134" i="12"/>
  <c r="I195" i="12"/>
  <c r="I130" i="12"/>
  <c r="I132" i="12"/>
  <c r="H206" i="12"/>
  <c r="H204" i="12"/>
  <c r="I124" i="12"/>
  <c r="I126" i="12"/>
  <c r="H202" i="12"/>
  <c r="E57" i="7"/>
  <c r="F56" i="7"/>
  <c r="G56" i="7" s="1"/>
  <c r="H197" i="12" l="1"/>
  <c r="H198" i="12"/>
  <c r="G199" i="12" s="1"/>
  <c r="H199" i="12"/>
  <c r="H195" i="12"/>
  <c r="H134" i="12"/>
  <c r="H138" i="12"/>
  <c r="H132" i="12"/>
  <c r="G204" i="12"/>
  <c r="H124" i="12"/>
  <c r="G200" i="12"/>
  <c r="G202" i="12"/>
  <c r="H210" i="12"/>
  <c r="G208" i="12" s="1"/>
  <c r="H130" i="12"/>
  <c r="H128" i="12"/>
  <c r="H126" i="12"/>
  <c r="G206" i="12"/>
  <c r="H136" i="12"/>
  <c r="H131" i="12"/>
  <c r="H196" i="12"/>
  <c r="H129" i="12"/>
  <c r="H127" i="12"/>
  <c r="H139" i="12"/>
  <c r="G207" i="12"/>
  <c r="I101" i="12"/>
  <c r="G201" i="12"/>
  <c r="H133" i="12"/>
  <c r="G205" i="12"/>
  <c r="G203" i="12"/>
  <c r="H125" i="12"/>
  <c r="H135" i="12"/>
  <c r="H137" i="12"/>
  <c r="E58" i="7"/>
  <c r="F57" i="7"/>
  <c r="G57" i="7" s="1"/>
  <c r="G198" i="12" l="1"/>
  <c r="G196" i="12"/>
  <c r="G209" i="12"/>
  <c r="G129" i="12"/>
  <c r="G137" i="12"/>
  <c r="G125" i="12"/>
  <c r="F203" i="12"/>
  <c r="F201" i="12"/>
  <c r="F205" i="12"/>
  <c r="G127" i="12"/>
  <c r="G135" i="12"/>
  <c r="F199" i="12"/>
  <c r="F207" i="12"/>
  <c r="G133" i="12"/>
  <c r="G131" i="12"/>
  <c r="G126" i="12"/>
  <c r="G197" i="12"/>
  <c r="F197" i="12" s="1"/>
  <c r="G134" i="12"/>
  <c r="F204" i="12"/>
  <c r="F202" i="12"/>
  <c r="G128" i="12"/>
  <c r="G138" i="12"/>
  <c r="G136" i="12"/>
  <c r="F200" i="12"/>
  <c r="E200" i="12" s="1"/>
  <c r="G132" i="12"/>
  <c r="F206" i="12"/>
  <c r="F208" i="12"/>
  <c r="H101" i="12"/>
  <c r="G130" i="12"/>
  <c r="E59" i="7"/>
  <c r="F58" i="7"/>
  <c r="G58" i="7" s="1"/>
  <c r="F130" i="12" l="1"/>
  <c r="F132" i="12"/>
  <c r="F136" i="12"/>
  <c r="E204" i="12"/>
  <c r="F126" i="12"/>
  <c r="E202" i="12"/>
  <c r="E206" i="12"/>
  <c r="F134" i="12"/>
  <c r="F128" i="12"/>
  <c r="F133" i="12"/>
  <c r="F137" i="12"/>
  <c r="E205" i="12"/>
  <c r="F198" i="12"/>
  <c r="E198" i="12" s="1"/>
  <c r="F131" i="12"/>
  <c r="G101" i="12"/>
  <c r="F129" i="12"/>
  <c r="E203" i="12"/>
  <c r="E207" i="12"/>
  <c r="E201" i="12"/>
  <c r="F135" i="12"/>
  <c r="F127" i="12"/>
  <c r="F59" i="7"/>
  <c r="G59" i="7" s="1"/>
  <c r="E60" i="7"/>
  <c r="E131" i="12" l="1"/>
  <c r="E127" i="12"/>
  <c r="D203" i="12"/>
  <c r="E129" i="12"/>
  <c r="E135" i="12"/>
  <c r="D205" i="12"/>
  <c r="D201" i="12"/>
  <c r="E133" i="12"/>
  <c r="E128" i="12"/>
  <c r="E199" i="12"/>
  <c r="D199" i="12" s="1"/>
  <c r="E136" i="12"/>
  <c r="F101" i="12"/>
  <c r="D202" i="12"/>
  <c r="D204" i="12"/>
  <c r="E132" i="12"/>
  <c r="E134" i="12"/>
  <c r="E130" i="12"/>
  <c r="D206" i="12"/>
  <c r="E61" i="7"/>
  <c r="F60" i="7"/>
  <c r="G60" i="7" s="1"/>
  <c r="D130" i="12" l="1"/>
  <c r="D134" i="12"/>
  <c r="D128" i="12"/>
  <c r="C202" i="12"/>
  <c r="C204" i="12"/>
  <c r="D132" i="12"/>
  <c r="D200" i="12"/>
  <c r="C200" i="12" s="1"/>
  <c r="C205" i="12"/>
  <c r="E101" i="12"/>
  <c r="D135" i="12"/>
  <c r="D131" i="12"/>
  <c r="D133" i="12"/>
  <c r="C203" i="12"/>
  <c r="D129" i="12"/>
  <c r="E62" i="7"/>
  <c r="F61" i="7"/>
  <c r="G61" i="7" s="1"/>
  <c r="C131" i="12" l="1"/>
  <c r="B203" i="12"/>
  <c r="C129" i="12"/>
  <c r="C133" i="12"/>
  <c r="D101" i="12"/>
  <c r="C130" i="12"/>
  <c r="C134" i="12"/>
  <c r="C201" i="12"/>
  <c r="B201" i="12" s="1"/>
  <c r="B204" i="12"/>
  <c r="C132" i="12"/>
  <c r="E63" i="7"/>
  <c r="F62" i="7"/>
  <c r="G62" i="7" s="1"/>
  <c r="B132" i="12" l="1"/>
  <c r="B130" i="12"/>
  <c r="C101" i="12"/>
  <c r="B133" i="12"/>
  <c r="B202" i="12"/>
  <c r="A202" i="12" s="1"/>
  <c r="B131" i="12"/>
  <c r="F63" i="7"/>
  <c r="G63" i="7" s="1"/>
  <c r="E64" i="7"/>
  <c r="A131" i="12" l="1"/>
  <c r="A132" i="12"/>
  <c r="H5" i="12" s="1"/>
  <c r="B101" i="12"/>
  <c r="A203" i="12"/>
  <c r="E65" i="7"/>
  <c r="F64" i="7"/>
  <c r="G64" i="7" s="1"/>
  <c r="A101" i="12" l="1"/>
  <c r="E66" i="7"/>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1D4C12-C908-48D8-9911-8B0B34EB4426}" keepAlive="1" name="Requête - GetValue" description="Connexion à la requête « GetValue » dans le classeur." type="5" refreshedVersion="0" background="1">
    <dbPr connection="Provider=Microsoft.Mashup.OleDb.1;Data Source=$Workbook$;Location=GetValue;Extended Properties=&quot;&quot;" command="SELECT * FROM [GetValue]"/>
  </connection>
  <connection id="2" xr16:uid="{412F4E2D-F173-4042-947C-B82692F1BEA0}" keepAlive="1" name="Requête - trading_date" description="Connexion à la requête « trading_date » dans le classeur." type="5" refreshedVersion="7" background="1" saveData="1">
    <dbPr connection="Provider=Microsoft.Mashup.OleDb.1;Data Source=$Workbook$;Location=trading_date;Extended Properties=&quot;&quot;" command="SELECT * FROM [trading_date]"/>
  </connection>
  <connection id="3"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<sst xmlns="http://schemas.openxmlformats.org/spreadsheetml/2006/main" count="129" uniqueCount="110">
  <si>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</si>
  <si>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</si>
  <si>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</si>
  <si>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</si>
  <si>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</si>
  <si>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</si>
  <si>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</si>
  <si>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</si>
  <si>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</si>
  <si>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</si>
  <si>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</si>
  <si>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</si>
  <si>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</si>
  <si>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</si>
  <si>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</si>
  <si>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</si>
  <si>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</si>
  <si>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Stock Expected Return</t>
  </si>
  <si>
    <t>Dividend Rate</t>
  </si>
  <si>
    <t>Number of  Periods (Binomial Model)</t>
  </si>
  <si>
    <t>Parameters calculation</t>
  </si>
  <si>
    <t>Option Price</t>
  </si>
  <si>
    <t>Up-Factor (per step)</t>
  </si>
  <si>
    <t>Down-Factor (per step)</t>
  </si>
  <si>
    <t>Risk-neutral probability</t>
  </si>
  <si>
    <t>Share Price Evolution in Time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</si>
  <si>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</si>
  <si>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</si>
  <si>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</si>
  <si>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</si>
  <si>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</si>
  <si>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</si>
  <si>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</si>
  <si>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</si>
  <si>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</si>
  <si>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</si>
  <si>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</si>
  <si>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</si>
  <si>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</si>
  <si>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</si>
  <si>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</si>
  <si>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</si>
  <si>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</si>
  <si>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</si>
  <si>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</si>
  <si>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</si>
  <si>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Hedge Ratio</t>
  </si>
  <si>
    <t>PRICES</t>
  </si>
  <si>
    <t>dividend payment</t>
  </si>
  <si>
    <t>annual dividend yield</t>
  </si>
  <si>
    <t>average dividend yield</t>
  </si>
  <si>
    <t>AIR.PA History     Daily     16-Sep-2009 - 18-Oct-2021</t>
  </si>
  <si>
    <t>Exchange Date</t>
  </si>
  <si>
    <t>AIRBUS - Market Data</t>
  </si>
  <si>
    <t>DIVIDEND</t>
  </si>
  <si>
    <t>continous dividend yield</t>
  </si>
  <si>
    <t>Daily return</t>
  </si>
  <si>
    <t>For detailed explanations and analysis of both our models, please access the following Github link created by our team :</t>
  </si>
  <si>
    <t>Ticker</t>
  </si>
  <si>
    <t>Date</t>
  </si>
  <si>
    <t>Close Price</t>
  </si>
  <si>
    <t>Pct Change</t>
  </si>
  <si>
    <t>Current Volatility</t>
  </si>
  <si>
    <t>Choose your ticker</t>
  </si>
  <si>
    <t>Trading Date</t>
  </si>
  <si>
    <t>Average Price</t>
  </si>
  <si>
    <t>Option Category</t>
  </si>
  <si>
    <t>Asian</t>
  </si>
  <si>
    <t>options</t>
  </si>
  <si>
    <t>American</t>
  </si>
  <si>
    <t>Last Trading Price</t>
  </si>
  <si>
    <t>Option Maturity (number of days)</t>
  </si>
  <si>
    <t>ASIAN OPTION - BINOMIAL MODEL</t>
  </si>
  <si>
    <t>Parameters</t>
  </si>
  <si>
    <t>Rf rate discount factor(per Step)</t>
  </si>
  <si>
    <t>Recap</t>
  </si>
  <si>
    <t>Strike</t>
  </si>
  <si>
    <t>mu</t>
  </si>
  <si>
    <t>sigma</t>
  </si>
  <si>
    <t>T</t>
  </si>
  <si>
    <t>delta_T</t>
  </si>
  <si>
    <t>NbSimu</t>
  </si>
  <si>
    <t xml:space="preserve">Simulated Price of the Put Option : </t>
  </si>
  <si>
    <t>American Option Pricing</t>
  </si>
  <si>
    <t>Simulation</t>
  </si>
  <si>
    <t>Price at maturity</t>
  </si>
  <si>
    <t>Simulated Discounted Premium of the put option</t>
  </si>
  <si>
    <t>Stock Price</t>
  </si>
  <si>
    <t>Average Stock Price</t>
  </si>
  <si>
    <t>Strike Price</t>
  </si>
  <si>
    <t>daily volitality</t>
  </si>
  <si>
    <t>Dividend</t>
  </si>
  <si>
    <t xml:space="preserve">annual volitality </t>
  </si>
  <si>
    <t>Max Price</t>
  </si>
  <si>
    <t>Min Price</t>
  </si>
  <si>
    <t>(assignment 2)</t>
  </si>
  <si>
    <t>AIR.PA</t>
  </si>
  <si>
    <t xml:space="preserve">                                                      This worksheet aims at applying the pricing of American options in Excel and VBA using the Monte Carlo simulations</t>
  </si>
  <si>
    <t>https://github.com/jardieljr/derivatives/tree/main/assignment_2</t>
  </si>
  <si>
    <r>
      <t xml:space="preserve">                                                                                                                       </t>
    </r>
    <r>
      <rPr>
        <b/>
        <u/>
        <sz val="12"/>
        <color theme="1"/>
        <rFont val="Arial"/>
        <family val="2"/>
      </rPr>
      <t>OUTLINE</t>
    </r>
  </si>
  <si>
    <t xml:space="preserve"> The data and answers of the first part and second part of the assignment are shown in the "Inputs", "BinomialModel", "MC", "Airbus-Market Data", "Current Market Data" and "Aux" sheets respectively.</t>
  </si>
  <si>
    <r>
      <t xml:space="preserve">For the "Binomial Model" sheet following the parameters given from </t>
    </r>
    <r>
      <rPr>
        <i/>
        <sz val="11"/>
        <color theme="1"/>
        <rFont val="Arial"/>
        <family val="2"/>
      </rPr>
      <t>Figure 2</t>
    </r>
    <r>
      <rPr>
        <sz val="11"/>
        <color theme="1"/>
        <rFont val="Arial"/>
        <family val="2"/>
      </rPr>
      <t>, which shows the Asian option, you can observe that the payoff profile and the strike price of the asian option is plotted as shown below:</t>
    </r>
  </si>
  <si>
    <t xml:space="preserve">The hedge ratio evolution is shown along the Binomial tree. The user has the the possibility to calculate the Hedge ratio manually by pressing at each node on the button shown below: </t>
  </si>
  <si>
    <r>
      <t>For the Monte Carlo simulations (shown on the sheet "MC"), relative to the inputs of</t>
    </r>
    <r>
      <rPr>
        <i/>
        <sz val="11"/>
        <color theme="1"/>
        <rFont val="Arial"/>
        <family val="2"/>
      </rPr>
      <t xml:space="preserve"> Figure 2 (checking on the option category), "American" , </t>
    </r>
    <r>
      <rPr>
        <sz val="11"/>
        <color theme="1"/>
        <rFont val="Arial"/>
        <family val="2"/>
      </rPr>
      <t>while clicking on the sheet, you are directed on the sheet, following which you will click on the button below:</t>
    </r>
  </si>
  <si>
    <t>Following that, you will be asked to choose the input of h, which stipulates on the number of days per period of simulation</t>
  </si>
  <si>
    <t>Thus, depending on whether it is a put or a call, the price of the option is calculated and a Monte Carlo histogram is plotted.</t>
  </si>
  <si>
    <t>In the "Run Binomial Model VBA" button, one can see the evolution through the Binomial tree in a downward slope order.</t>
  </si>
  <si>
    <t>After pressing on the "Ok" button, you will be ask to input the value of NbSimu which stands for the number of simulations that must be performed (we advise the user to use between 100 and 1000 simulations max, or the file can crash).</t>
  </si>
  <si>
    <t>In order to optimize the simulation we strongly advise the user to run the app as mentioned in the MC sheet !</t>
  </si>
  <si>
    <t>(assignment_2)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</si>
</sst>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409]* #,##0.00_ ;_-[$$-409]* \-#,##0.00\ ;_-[$$-409]* &quot;-&quot;??_ ;_-@_ "/>
    <numFmt numFmtId="165" formatCode="0.000%"/>
    <numFmt numFmtId="166" formatCode="_-[$$-409]* #,##0.0000_ ;_-[$$-409]* \-#,##0.0000\ ;_-[$$-409]* &quot;-&quot;????_ ;_-@_ "/>
    <numFmt numFmtId="167" formatCode="0.0000"/>
    <numFmt numFmtId="168" formatCode="0.000"/>
    <numFmt numFmtId="169" formatCode="#,##0.0000;\-#,##0.0000;#,##0.0000;&quot;--&quot;"/>
    <numFmt numFmtId="170" formatCode="#,##0;\-#,##0;#,##0;&quot;--&quot;"/>
    <numFmt numFmtId="171" formatCode="_ [$€-2]\ * #,##0.00_ ;_ [$€-2]\ * \-#,##0.00_ ;_ [$€-2]\ * &quot;-&quot;??_ ;_ @_ "/>
    <numFmt numFmtId="172" formatCode="#,##0.00;\-#,##0.00;#,##0.00;&quot;--&quot;"/>
    <numFmt numFmtId="173" formatCode="#,##0.000;\-#,##0.000;#,##0.000;&quot;--&quot;"/>
  </numFmts>
  <fonts count="47">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
      <sz val="10"/>
      <color theme="1"/>
      <name val="Calibri"/>
      <family val="2"/>
    </font>
    <font>
      <sz val="12"/>
      <color theme="1"/>
      <name val="Arial"/>
      <family val="2"/>
    </font>
    <font>
      <sz val="14"/>
      <color theme="1"/>
      <name val="Arial"/>
      <family val="2"/>
    </font>
    <font>
      <b/>
      <sz val="11"/>
      <color theme="0"/>
      <name val="Calibri"/>
      <family val="2"/>
    </font>
    <font>
      <b/>
      <sz val="10"/>
      <color theme="1"/>
      <name val="Arial"/>
      <family val="2"/>
    </font>
    <font>
      <b/>
      <i/>
      <u/>
      <sz val="22"/>
      <color theme="1"/>
      <name val="Calibri"/>
      <family val="2"/>
      <scheme val="major"/>
    </font>
    <font>
      <b/>
      <u/>
      <sz val="12"/>
      <color theme="1"/>
      <name val="Arial"/>
      <family val="2"/>
    </font>
    <font>
      <sz val="14"/>
      <color theme="1"/>
      <name val="Calibri"/>
      <family val="2"/>
      <scheme val="major"/>
    </font>
    <font>
      <b/>
      <sz val="15"/>
      <color theme="1"/>
      <name val="Arial"/>
      <family val="2"/>
    </font>
    <font>
      <b/>
      <sz val="15"/>
      <color rgb="FFFF0000"/>
      <name val="Arial"/>
      <family val="2"/>
    </font>
  </fonts>
  <fills count="19">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FFFF00"/>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39997558519241921"/>
        <bgColor indexed="64"/>
      </patternFill>
    </fill>
    <fill>
      <patternFill patternType="solid">
        <fgColor theme="5" tint="0.39997558519241921"/>
        <bgColor indexed="64"/>
      </patternFill>
    </fill>
  </fills>
  <borders count="52">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27" fillId="0" borderId="20">
      <alignment vertical="center"/>
    </xf>
    <xf numFmtId="9" fontId="27" fillId="0" borderId="20" applyFont="0" applyFill="0" applyBorder="0" applyAlignment="0" applyProtection="0"/>
    <xf numFmtId="9" fontId="30" fillId="0" borderId="0" applyFont="0" applyFill="0" applyBorder="0" applyAlignment="0" applyProtection="0"/>
    <xf numFmtId="0" fontId="4" fillId="0" borderId="0" applyNumberFormat="0" applyFill="0" applyBorder="0" applyAlignment="0" applyProtection="0"/>
    <xf numFmtId="0" fontId="21" fillId="0" borderId="20"/>
    <xf numFmtId="9" fontId="21" fillId="0" borderId="20" applyFont="0" applyFill="0" applyBorder="0" applyAlignment="0" applyProtection="0"/>
    <xf numFmtId="0" fontId="4" fillId="0" borderId="20" applyNumberFormat="0" applyFill="0" applyBorder="0" applyAlignment="0" applyProtection="0"/>
  </cellStyleXfs>
  <cellXfs count="200">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9" fillId="6" borderId="12" xfId="0" applyFont="1" applyFill="1" applyBorder="1"/>
    <xf numFmtId="0" fontId="9" fillId="0" borderId="12" xfId="0" applyFont="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0" fontId="0" fillId="0" borderId="0" xfId="0" applyFont="1" applyAlignment="1"/>
    <xf numFmtId="0" fontId="0" fillId="0" borderId="0" xfId="0" applyFont="1" applyAlignment="1"/>
    <xf numFmtId="0" fontId="27" fillId="0" borderId="20" xfId="1">
      <alignment vertical="center"/>
    </xf>
    <xf numFmtId="10" fontId="27" fillId="0" borderId="20" xfId="2" applyNumberFormat="1" applyFont="1" applyAlignment="1">
      <alignment vertical="center"/>
    </xf>
    <xf numFmtId="10" fontId="27" fillId="0" borderId="20" xfId="1" applyNumberFormat="1">
      <alignment vertical="center"/>
    </xf>
    <xf numFmtId="10" fontId="27" fillId="13" borderId="20" xfId="2" applyNumberFormat="1" applyFont="1" applyFill="1" applyAlignment="1">
      <alignment vertical="center"/>
    </xf>
    <xf numFmtId="0" fontId="27" fillId="13" borderId="20" xfId="1" applyFill="1">
      <alignment vertical="center"/>
    </xf>
    <xf numFmtId="0" fontId="28" fillId="0" borderId="0" xfId="0" applyFont="1" applyAlignment="1"/>
    <xf numFmtId="169" fontId="26" fillId="13" borderId="12" xfId="1" applyNumberFormat="1" applyFont="1" applyFill="1" applyBorder="1" applyAlignment="1"/>
    <xf numFmtId="0" fontId="0" fillId="0" borderId="20" xfId="0" applyFont="1" applyBorder="1" applyAlignment="1"/>
    <xf numFmtId="10" fontId="27" fillId="0" borderId="33" xfId="2" applyNumberFormat="1" applyFont="1" applyBorder="1" applyAlignment="1">
      <alignment vertical="center"/>
    </xf>
    <xf numFmtId="10" fontId="27" fillId="13" borderId="33" xfId="2" applyNumberFormat="1" applyFont="1" applyFill="1" applyBorder="1" applyAlignment="1">
      <alignment horizontal="center" vertical="center"/>
    </xf>
    <xf numFmtId="14" fontId="26" fillId="13" borderId="40" xfId="1" applyNumberFormat="1" applyFont="1" applyFill="1" applyBorder="1" applyAlignment="1"/>
    <xf numFmtId="14" fontId="26" fillId="13" borderId="41" xfId="1" applyNumberFormat="1" applyFont="1" applyFill="1" applyBorder="1" applyAlignment="1"/>
    <xf numFmtId="169" fontId="26" fillId="13" borderId="42" xfId="1" applyNumberFormat="1" applyFont="1" applyFill="1" applyBorder="1" applyAlignment="1"/>
    <xf numFmtId="10" fontId="27" fillId="13" borderId="43" xfId="2" applyNumberFormat="1" applyFont="1" applyFill="1" applyBorder="1" applyAlignment="1">
      <alignment horizontal="center" vertical="center"/>
    </xf>
    <xf numFmtId="0" fontId="29" fillId="0" borderId="0" xfId="0" applyFont="1" applyAlignment="1">
      <alignment horizontal="justify" vertical="center"/>
    </xf>
    <xf numFmtId="0" fontId="0" fillId="0" borderId="0" xfId="0" applyFont="1" applyAlignment="1"/>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3" fillId="0" borderId="0" xfId="0" applyFont="1" applyAlignment="1">
      <alignment horizontal="left" vertical="center"/>
    </xf>
    <xf numFmtId="0" fontId="34" fillId="0" borderId="0" xfId="0" applyFont="1" applyAlignment="1">
      <alignment horizontal="left" vertical="center"/>
    </xf>
    <xf numFmtId="0" fontId="0" fillId="0" borderId="0" xfId="0" applyFont="1" applyAlignment="1"/>
    <xf numFmtId="0" fontId="35" fillId="0" borderId="0" xfId="0" applyFont="1" applyAlignment="1">
      <alignment horizontal="center" vertical="center" wrapText="1"/>
    </xf>
    <xf numFmtId="0" fontId="36" fillId="0" borderId="0" xfId="4" applyFont="1" applyAlignment="1">
      <alignment horizontal="left" vertical="center"/>
    </xf>
    <xf numFmtId="0" fontId="21" fillId="0" borderId="45" xfId="0" applyFont="1" applyBorder="1" applyAlignment="1"/>
    <xf numFmtId="0" fontId="21" fillId="0" borderId="44" xfId="0" applyFont="1" applyBorder="1" applyAlignment="1"/>
    <xf numFmtId="0" fontId="0" fillId="0" borderId="0" xfId="0" applyFont="1" applyAlignment="1"/>
    <xf numFmtId="14" fontId="10" fillId="3" borderId="12" xfId="0" applyNumberFormat="1" applyFont="1" applyFill="1" applyBorder="1" applyAlignment="1">
      <alignment horizontal="center"/>
    </xf>
    <xf numFmtId="2" fontId="0" fillId="0" borderId="0" xfId="3" applyNumberFormat="1" applyFont="1" applyAlignment="1"/>
    <xf numFmtId="0" fontId="0" fillId="14" borderId="30" xfId="0" applyFont="1" applyFill="1" applyBorder="1" applyAlignment="1"/>
    <xf numFmtId="0" fontId="0" fillId="14" borderId="32" xfId="0" applyFont="1" applyFill="1" applyBorder="1" applyAlignment="1"/>
    <xf numFmtId="3" fontId="10" fillId="3" borderId="12" xfId="0" applyNumberFormat="1" applyFont="1" applyFill="1" applyBorder="1" applyAlignment="1">
      <alignment horizontal="center"/>
    </xf>
    <xf numFmtId="0" fontId="0" fillId="0" borderId="47" xfId="0" applyFont="1" applyBorder="1" applyAlignment="1"/>
    <xf numFmtId="0" fontId="0" fillId="0" borderId="49" xfId="0" applyFont="1" applyBorder="1" applyAlignment="1"/>
    <xf numFmtId="0" fontId="0" fillId="0" borderId="50" xfId="0" applyFont="1" applyBorder="1" applyAlignment="1"/>
    <xf numFmtId="0" fontId="0" fillId="0" borderId="35" xfId="0" applyFont="1" applyBorder="1" applyAlignment="1"/>
    <xf numFmtId="0" fontId="0" fillId="0" borderId="36" xfId="0" applyFont="1" applyBorder="1" applyAlignment="1"/>
    <xf numFmtId="0" fontId="0" fillId="15" borderId="48" xfId="0" applyFont="1" applyFill="1" applyBorder="1" applyAlignment="1"/>
    <xf numFmtId="0" fontId="0" fillId="15" borderId="49" xfId="0" applyFont="1" applyFill="1" applyBorder="1" applyAlignment="1"/>
    <xf numFmtId="0" fontId="0" fillId="15" borderId="50" xfId="0" applyFont="1" applyFill="1" applyBorder="1" applyAlignment="1"/>
    <xf numFmtId="0" fontId="0" fillId="15" borderId="34" xfId="0" applyFont="1" applyFill="1" applyBorder="1" applyAlignment="1"/>
    <xf numFmtId="0" fontId="0" fillId="15" borderId="35" xfId="0" applyFont="1" applyFill="1" applyBorder="1" applyAlignment="1"/>
    <xf numFmtId="0" fontId="0" fillId="15" borderId="36" xfId="0" applyFont="1" applyFill="1" applyBorder="1" applyAlignment="1"/>
    <xf numFmtId="0" fontId="21" fillId="0" borderId="20" xfId="5"/>
    <xf numFmtId="0" fontId="12" fillId="0" borderId="20" xfId="5" applyFont="1"/>
    <xf numFmtId="0" fontId="13" fillId="0" borderId="20" xfId="5" applyFont="1"/>
    <xf numFmtId="0" fontId="23" fillId="0" borderId="20" xfId="5" applyFont="1"/>
    <xf numFmtId="0" fontId="14" fillId="4" borderId="12" xfId="5" applyFont="1" applyFill="1" applyBorder="1"/>
    <xf numFmtId="0" fontId="14" fillId="4" borderId="12" xfId="5" applyFont="1" applyFill="1" applyBorder="1" applyAlignment="1">
      <alignment vertical="center" wrapText="1"/>
    </xf>
    <xf numFmtId="0" fontId="15" fillId="5" borderId="14" xfId="5" applyFont="1" applyFill="1" applyBorder="1"/>
    <xf numFmtId="166" fontId="15" fillId="6" borderId="15" xfId="5" applyNumberFormat="1" applyFont="1" applyFill="1" applyBorder="1"/>
    <xf numFmtId="10" fontId="15" fillId="6" borderId="15" xfId="6" applyNumberFormat="1" applyFont="1" applyFill="1" applyBorder="1"/>
    <xf numFmtId="0" fontId="9" fillId="0" borderId="12" xfId="5" applyFont="1" applyBorder="1"/>
    <xf numFmtId="0" fontId="9" fillId="6" borderId="12" xfId="5" applyFont="1" applyFill="1" applyBorder="1"/>
    <xf numFmtId="0" fontId="9" fillId="0" borderId="29" xfId="5" applyFont="1" applyBorder="1"/>
    <xf numFmtId="9" fontId="0" fillId="0" borderId="20" xfId="6" applyFont="1"/>
    <xf numFmtId="164" fontId="21" fillId="0" borderId="12" xfId="5" applyNumberFormat="1" applyBorder="1"/>
    <xf numFmtId="0" fontId="9" fillId="0" borderId="20" xfId="5" applyFont="1"/>
    <xf numFmtId="164" fontId="21" fillId="0" borderId="20" xfId="5" applyNumberFormat="1"/>
    <xf numFmtId="164" fontId="16" fillId="0" borderId="20" xfId="5" applyNumberFormat="1" applyFont="1"/>
    <xf numFmtId="9" fontId="0" fillId="0" borderId="20" xfId="6" applyFont="1" applyFill="1"/>
    <xf numFmtId="164" fontId="31" fillId="0" borderId="20" xfId="5" applyNumberFormat="1" applyFont="1"/>
    <xf numFmtId="9" fontId="17" fillId="0" borderId="20" xfId="6" applyFont="1"/>
    <xf numFmtId="9" fontId="0" fillId="0" borderId="12" xfId="6" applyFont="1" applyBorder="1"/>
    <xf numFmtId="164" fontId="17" fillId="0" borderId="20" xfId="5" applyNumberFormat="1" applyFont="1"/>
    <xf numFmtId="164" fontId="9" fillId="0" borderId="20" xfId="5" applyNumberFormat="1" applyFont="1"/>
    <xf numFmtId="0" fontId="9" fillId="0" borderId="11" xfId="5" applyFont="1" applyBorder="1"/>
    <xf numFmtId="9" fontId="17" fillId="0" borderId="20" xfId="6" applyFont="1" applyFill="1"/>
    <xf numFmtId="0" fontId="16" fillId="0" borderId="20" xfId="5" applyFont="1"/>
    <xf numFmtId="164" fontId="37" fillId="0" borderId="0" xfId="0" applyNumberFormat="1" applyFont="1"/>
    <xf numFmtId="0" fontId="0" fillId="14" borderId="46" xfId="0" applyFont="1" applyFill="1" applyBorder="1" applyAlignment="1"/>
    <xf numFmtId="0" fontId="0" fillId="14" borderId="48" xfId="0" applyFont="1" applyFill="1" applyBorder="1" applyAlignment="1"/>
    <xf numFmtId="0" fontId="0" fillId="14" borderId="34" xfId="0" applyFont="1" applyFill="1" applyBorder="1" applyAlignment="1"/>
    <xf numFmtId="164" fontId="38" fillId="13" borderId="48" xfId="5" applyNumberFormat="1" applyFont="1" applyFill="1" applyBorder="1"/>
    <xf numFmtId="164" fontId="38" fillId="13" borderId="46" xfId="5" applyNumberFormat="1" applyFont="1" applyFill="1" applyBorder="1"/>
    <xf numFmtId="164" fontId="38" fillId="13" borderId="34" xfId="5" applyNumberFormat="1" applyFont="1" applyFill="1" applyBorder="1"/>
    <xf numFmtId="164" fontId="21" fillId="13" borderId="35" xfId="5" applyNumberFormat="1" applyFill="1" applyBorder="1"/>
    <xf numFmtId="164" fontId="21" fillId="13" borderId="50" xfId="5" applyNumberFormat="1" applyFill="1" applyBorder="1"/>
    <xf numFmtId="164" fontId="21" fillId="13" borderId="47" xfId="5" applyNumberFormat="1" applyFill="1" applyBorder="1"/>
    <xf numFmtId="164" fontId="21" fillId="13" borderId="36" xfId="5" applyNumberFormat="1" applyFill="1" applyBorder="1"/>
    <xf numFmtId="0" fontId="0" fillId="0" borderId="0" xfId="0" applyFont="1" applyAlignment="1"/>
    <xf numFmtId="164" fontId="39" fillId="0" borderId="20" xfId="5" applyNumberFormat="1" applyFont="1"/>
    <xf numFmtId="0" fontId="40" fillId="16" borderId="51" xfId="0" applyFont="1" applyFill="1" applyBorder="1" applyAlignment="1">
      <alignment horizontal="left"/>
    </xf>
    <xf numFmtId="0" fontId="40" fillId="16" borderId="12" xfId="0" applyFont="1" applyFill="1" applyBorder="1" applyAlignment="1">
      <alignment horizontal="left"/>
    </xf>
    <xf numFmtId="170" fontId="26" fillId="0" borderId="20" xfId="0" applyNumberFormat="1" applyFont="1" applyBorder="1"/>
    <xf numFmtId="172" fontId="26" fillId="13" borderId="20" xfId="0" applyNumberFormat="1" applyFont="1" applyFill="1" applyBorder="1"/>
    <xf numFmtId="173" fontId="26" fillId="13" borderId="20" xfId="0" applyNumberFormat="1" applyFont="1" applyFill="1" applyBorder="1"/>
    <xf numFmtId="14" fontId="26" fillId="0" borderId="12" xfId="0" applyNumberFormat="1" applyFont="1" applyBorder="1"/>
    <xf numFmtId="169" fontId="26" fillId="0" borderId="12" xfId="0" applyNumberFormat="1" applyFont="1" applyBorder="1"/>
    <xf numFmtId="14" fontId="26" fillId="13" borderId="12" xfId="0" applyNumberFormat="1" applyFont="1" applyFill="1" applyBorder="1"/>
    <xf numFmtId="169" fontId="26" fillId="13" borderId="12" xfId="0" applyNumberFormat="1" applyFont="1" applyFill="1" applyBorder="1"/>
    <xf numFmtId="0" fontId="18" fillId="17" borderId="0" xfId="0" applyFont="1" applyFill="1" applyAlignment="1">
      <alignment horizontal="center"/>
    </xf>
    <xf numFmtId="10" fontId="0" fillId="18" borderId="0" xfId="0" applyNumberFormat="1" applyFill="1" applyAlignment="1">
      <alignment horizontal="center"/>
    </xf>
    <xf numFmtId="0" fontId="41" fillId="17" borderId="0" xfId="0" applyFont="1" applyFill="1" applyAlignment="1">
      <alignment horizontal="center"/>
    </xf>
    <xf numFmtId="171" fontId="26" fillId="13" borderId="33" xfId="1" applyNumberFormat="1" applyFont="1" applyFill="1" applyBorder="1" applyAlignment="1">
      <alignment horizontal="center" vertical="center"/>
    </xf>
    <xf numFmtId="171" fontId="26" fillId="13" borderId="43" xfId="1" applyNumberFormat="1" applyFont="1" applyFill="1" applyBorder="1" applyAlignment="1">
      <alignment horizontal="center" vertical="center"/>
    </xf>
    <xf numFmtId="0" fontId="0" fillId="0" borderId="20" xfId="0" applyFont="1" applyBorder="1" applyAlignment="1"/>
    <xf numFmtId="164" fontId="38" fillId="13" borderId="49" xfId="5" applyNumberFormat="1" applyFont="1" applyFill="1" applyBorder="1"/>
    <xf numFmtId="164" fontId="38" fillId="13" borderId="20" xfId="5" applyNumberFormat="1" applyFont="1" applyFill="1" applyBorder="1"/>
    <xf numFmtId="0" fontId="21" fillId="0" borderId="12" xfId="5" applyFill="1" applyBorder="1"/>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5"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5" applyNumberFormat="1" applyFont="1" applyFill="1" applyBorder="1" applyAlignment="1">
      <alignment horizontal="center"/>
    </xf>
    <xf numFmtId="164" fontId="17" fillId="12" borderId="31" xfId="5" applyNumberFormat="1" applyFont="1" applyFill="1" applyBorder="1" applyAlignment="1">
      <alignment horizontal="center"/>
    </xf>
    <xf numFmtId="164" fontId="17" fillId="12" borderId="32" xfId="5"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8" fillId="0" borderId="30" xfId="0" applyFont="1" applyBorder="1" applyAlignment="1">
      <alignment horizontal="center"/>
    </xf>
    <xf numFmtId="0" fontId="28" fillId="0" borderId="31" xfId="0" applyFont="1" applyBorder="1" applyAlignment="1">
      <alignment horizontal="center"/>
    </xf>
    <xf numFmtId="0" fontId="28" fillId="0" borderId="32" xfId="0" applyFont="1" applyBorder="1" applyAlignment="1">
      <alignment horizontal="center"/>
    </xf>
    <xf numFmtId="0" fontId="28" fillId="0" borderId="37" xfId="0" applyFont="1" applyBorder="1" applyAlignment="1">
      <alignment horizontal="center"/>
    </xf>
    <xf numFmtId="0" fontId="28" fillId="0" borderId="38" xfId="0" applyFont="1" applyBorder="1" applyAlignment="1">
      <alignment horizontal="center"/>
    </xf>
    <xf numFmtId="0" fontId="28" fillId="0" borderId="39" xfId="0" applyFont="1" applyBorder="1" applyAlignment="1">
      <alignment horizontal="center"/>
    </xf>
    <xf numFmtId="14" fontId="25" fillId="0" borderId="20" xfId="1" applyNumberFormat="1" applyFont="1" applyAlignment="1"/>
    <xf numFmtId="0" fontId="0" fillId="0" borderId="20" xfId="0" applyFont="1" applyBorder="1" applyAlignment="1"/>
    <xf numFmtId="0" fontId="42" fillId="0" borderId="0" xfId="0" applyFont="1" applyAlignment="1">
      <alignment horizontal="center" vertical="center"/>
    </xf>
    <xf numFmtId="0" fontId="1" fillId="0" borderId="1" xfId="5" applyFont="1" applyBorder="1" applyAlignment="1">
      <alignment horizontal="center" vertical="center" wrapText="1"/>
    </xf>
    <xf numFmtId="0" fontId="2" fillId="0" borderId="2" xfId="5" applyFont="1" applyBorder="1"/>
    <xf numFmtId="0" fontId="2" fillId="0" borderId="3" xfId="5" applyFont="1" applyBorder="1"/>
    <xf numFmtId="0" fontId="3" fillId="0" borderId="20" xfId="5" applyFont="1"/>
    <xf numFmtId="0" fontId="2" fillId="0" borderId="4" xfId="5" applyFont="1" applyBorder="1"/>
    <xf numFmtId="0" fontId="21" fillId="0" borderId="20" xfId="5"/>
    <xf numFmtId="0" fontId="2" fillId="0" borderId="5" xfId="5" applyFont="1" applyBorder="1"/>
    <xf numFmtId="0" fontId="2" fillId="0" borderId="6" xfId="5" applyFont="1" applyBorder="1"/>
    <xf numFmtId="0" fontId="2" fillId="0" borderId="7" xfId="5" applyFont="1" applyBorder="1"/>
    <xf numFmtId="0" fontId="2" fillId="0" borderId="8" xfId="5" applyFont="1" applyBorder="1"/>
    <xf numFmtId="0" fontId="4" fillId="0" borderId="20" xfId="7"/>
    <xf numFmtId="0" fontId="5" fillId="0" borderId="20" xfId="5" applyFont="1"/>
    <xf numFmtId="0" fontId="6" fillId="0" borderId="20" xfId="5" applyFont="1"/>
    <xf numFmtId="0" fontId="35" fillId="0" borderId="20" xfId="5" applyFont="1" applyAlignment="1">
      <alignment horizontal="center" vertical="center" wrapText="1"/>
    </xf>
    <xf numFmtId="0" fontId="35" fillId="0" borderId="20" xfId="5" applyFont="1" applyAlignment="1">
      <alignment horizontal="center" vertical="center" wrapText="1"/>
    </xf>
    <xf numFmtId="0" fontId="4" fillId="0" borderId="20" xfId="7" applyAlignment="1">
      <alignment horizontal="left" vertical="center"/>
    </xf>
    <xf numFmtId="0" fontId="7" fillId="0" borderId="20" xfId="5" applyFont="1"/>
    <xf numFmtId="0" fontId="29" fillId="0" borderId="20" xfId="5" applyFont="1" applyAlignment="1">
      <alignment horizontal="justify" vertical="center"/>
    </xf>
    <xf numFmtId="0" fontId="15" fillId="0" borderId="20" xfId="5" applyFont="1" applyAlignment="1">
      <alignment horizontal="left"/>
    </xf>
    <xf numFmtId="0" fontId="44" fillId="0" borderId="20" xfId="5" applyFont="1"/>
    <xf numFmtId="0" fontId="33" fillId="0" borderId="20" xfId="5" applyFont="1" applyAlignment="1">
      <alignment horizontal="left" vertical="center"/>
    </xf>
    <xf numFmtId="0" fontId="34" fillId="0" borderId="20" xfId="5" applyFont="1" applyAlignment="1">
      <alignment horizontal="left" vertical="center"/>
    </xf>
    <xf numFmtId="0" fontId="22" fillId="0" borderId="20" xfId="5" applyFont="1"/>
    <xf numFmtId="0" fontId="45" fillId="0" borderId="20" xfId="5" applyFont="1"/>
    <xf numFmtId="0" fontId="46" fillId="0" borderId="20" xfId="5" applyFont="1"/>
  </cellXfs>
  <cellStyles count="8">
    <cellStyle name="Lien hypertexte" xfId="4" builtinId="8"/>
    <cellStyle name="Lien hypertexte 2" xfId="7" xr:uid="{C02D691A-2383-4B1A-817E-3FD9A0D3BDAB}"/>
    <cellStyle name="Normal" xfId="0" builtinId="0"/>
    <cellStyle name="Normal 2" xfId="1" xr:uid="{6FB657D7-018A-432D-876D-4DCF1F7C5884}"/>
    <cellStyle name="Normal 3" xfId="5" xr:uid="{A4435D39-C450-D149-B142-58F41F48B57F}"/>
    <cellStyle name="Percent 2" xfId="6" xr:uid="{E7FE236B-589C-E04C-9E25-1A7B5234B56C}"/>
    <cellStyle name="Pourcentage" xfId="3" builtinId="5"/>
    <cellStyle name="Pourcentage 2" xfId="2" xr:uid="{8A7A2D44-5211-420E-9F53-8B7F41CEFEA9}"/>
  </cellStyles>
  <dxfs count="14">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9" formatCode="dd/mm/yyyy"/>
      <alignment horizontal="general" vertical="bottom" textRotation="0" wrapText="0" indent="0" justifyLastLine="0" shrinkToFit="0" readingOrder="0"/>
    </dxf>
    <dxf>
      <fill>
        <patternFill patternType="solid">
          <fgColor theme="9"/>
          <bgColor theme="9"/>
        </patternFill>
      </fill>
    </dxf>
    <dxf>
      <fill>
        <patternFill patternType="solid">
          <fgColor rgb="FFFF0000"/>
          <bgColor rgb="FFFF0000"/>
        </patternFill>
      </fill>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bottom" textRotation="0" wrapText="0" indent="0" justifyLastLine="0" shrinkToFit="0" readingOrder="0"/>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3"/>
      <tableStyleElement type="firstRowStripe" dxfId="12"/>
      <tableStyleElement type="secondRowStripe" dxfId="11"/>
    </tableStyle>
    <tableStyle name="Aux-style" pivot="0" count="3" xr9:uid="{00000000-0011-0000-FFFF-FFFF01000000}">
      <tableStyleElement type="headerRow" dxfId="10"/>
      <tableStyleElement type="firstRowStripe" dxfId="9"/>
      <tableStyleElement type="second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GB"/>
              <a:t>Asian</a:t>
            </a:r>
            <a:r>
              <a:rPr lang="en-GB" baseline="0"/>
              <a:t> Option - </a:t>
            </a:r>
            <a:r>
              <a:rPr lang="en-GB"/>
              <a:t>Strike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BinomialModel!$A$84:$AE$84</c:f>
              <c:numCache>
                <c:formatCode>_-[$$-409]* #\ ##0.00_ ;_-[$$-409]* \-#\ ##0.00\ ;_-[$$-409]* "-"??_ ;_-@_ </c:formatCode>
                <c:ptCount val="31"/>
                <c:pt idx="0">
                  <c:v>114.9</c:v>
                </c:pt>
                <c:pt idx="1">
                  <c:v>114.9248279418053</c:v>
                </c:pt>
                <c:pt idx="2">
                  <c:v>114.96251860911671</c:v>
                </c:pt>
                <c:pt idx="3">
                  <c:v>115.01308200470501</c:v>
                </c:pt>
                <c:pt idx="4">
                  <c:v>115.07653158937033</c:v>
                </c:pt>
                <c:pt idx="5">
                  <c:v>115.15288428674064</c:v>
                </c:pt>
                <c:pt idx="6">
                  <c:v>115.24216048931616</c:v>
                </c:pt>
                <c:pt idx="7">
                  <c:v>115.34438406576231</c:v>
                </c:pt>
                <c:pt idx="8">
                  <c:v>115.45958236945371</c:v>
                </c:pt>
                <c:pt idx="9">
                  <c:v>115.58778624827335</c:v>
                </c:pt>
                <c:pt idx="10">
                  <c:v>115.72903005567076</c:v>
                </c:pt>
                <c:pt idx="11">
                  <c:v>115.8833516629838</c:v>
                </c:pt>
                <c:pt idx="12">
                  <c:v>116.05079247302908</c:v>
                </c:pt>
                <c:pt idx="13">
                  <c:v>116.23139743496714</c:v>
                </c:pt>
                <c:pt idx="14">
                  <c:v>116.42521506044777</c:v>
                </c:pt>
                <c:pt idx="15">
                  <c:v>116.63229744104289</c:v>
                </c:pt>
                <c:pt idx="16">
                  <c:v>116.8527002669744</c:v>
                </c:pt>
                <c:pt idx="17">
                  <c:v>117.08648284714363</c:v>
                </c:pt>
                <c:pt idx="18">
                  <c:v>117.33370813047274</c:v>
                </c:pt>
                <c:pt idx="19">
                  <c:v>117.59444272856462</c:v>
                </c:pt>
                <c:pt idx="20">
                  <c:v>117.8687569396928</c:v>
                </c:pt>
                <c:pt idx="21">
                  <c:v>118.15672477413024</c:v>
                </c:pt>
                <c:pt idx="22">
                  <c:v>118.45842398082785</c:v>
                </c:pt>
                <c:pt idx="23">
                  <c:v>118.77393607545422</c:v>
                </c:pt>
                <c:pt idx="24">
                  <c:v>119.10334636980782</c:v>
                </c:pt>
                <c:pt idx="25">
                  <c:v>119.44674400261391</c:v>
                </c:pt>
                <c:pt idx="26">
                  <c:v>119.80422197171985</c:v>
                </c:pt>
                <c:pt idx="27">
                  <c:v>120.17587716770151</c:v>
                </c:pt>
                <c:pt idx="28">
                  <c:v>120.56181040889498</c:v>
                </c:pt>
                <c:pt idx="29">
                  <c:v>120.96212647786858</c:v>
                </c:pt>
                <c:pt idx="30">
                  <c:v>121.37693415935013</c:v>
                </c:pt>
              </c:numCache>
            </c:numRef>
          </c:yVal>
          <c:smooth val="1"/>
          <c:extLst>
            <c:ext xmlns:c16="http://schemas.microsoft.com/office/drawing/2014/chart" uri="{C3380CC4-5D6E-409C-BE32-E72D297353CC}">
              <c16:uniqueId val="{00000000-3644-4148-B9D8-9647DD3110E6}"/>
            </c:ext>
          </c:extLst>
        </c:ser>
        <c:dLbls>
          <c:showLegendKey val="0"/>
          <c:showVal val="0"/>
          <c:showCatName val="0"/>
          <c:showSerName val="0"/>
          <c:showPercent val="0"/>
          <c:showBubbleSize val="0"/>
        </c:dLbls>
        <c:axId val="86966832"/>
        <c:axId val="86967248"/>
      </c:scatterChart>
      <c:valAx>
        <c:axId val="8696683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86967248"/>
        <c:crosses val="autoZero"/>
        <c:crossBetween val="midCat"/>
      </c:valAx>
      <c:valAx>
        <c:axId val="86967248"/>
        <c:scaling>
          <c:orientation val="minMax"/>
        </c:scaling>
        <c:delete val="0"/>
        <c:axPos val="l"/>
        <c:majorGridlines>
          <c:spPr>
            <a:ln w="9525" cap="flat" cmpd="sng" algn="ctr">
              <a:solidFill>
                <a:schemeClr val="tx1">
                  <a:lumMod val="15000"/>
                  <a:lumOff val="85000"/>
                </a:schemeClr>
              </a:solidFill>
              <a:round/>
            </a:ln>
            <a:effectLst/>
          </c:spPr>
        </c:majorGridlines>
        <c:numFmt formatCode="_-[$$-409]* #\ ##0.00_ ;_-[$$-409]* \-#\ ##0.00\ ;_-[$$-409]*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869668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GB"/>
              <a:t>Asian</a:t>
            </a:r>
            <a:r>
              <a:rPr lang="en-GB" baseline="0"/>
              <a:t> Option - </a:t>
            </a:r>
            <a:r>
              <a:rPr lang="en-GB"/>
              <a:t>Payoff Profile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ES"/>
        </a:p>
      </c:txPr>
    </c:title>
    <c:autoTitleDeleted val="0"/>
    <c:plotArea>
      <c:layout/>
      <c:scatterChart>
        <c:scatterStyle val="smoothMarker"/>
        <c:varyColors val="0"/>
        <c:ser>
          <c:idx val="1"/>
          <c:order val="0"/>
          <c:tx>
            <c:strRef>
              <c:f>BinomialModel!$AF$82</c:f>
              <c:strCache>
                <c:ptCount val="1"/>
                <c:pt idx="0">
                  <c:v>Max Price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yVal>
            <c:numRef>
              <c:f>BinomialModel!$A$82:$AE$82</c:f>
              <c:numCache>
                <c:formatCode>_-[$$-409]* #\ ##0.00_ ;_-[$$-409]* \-#\ ##0.00\ ;_-[$$-409]* "-"??_ ;_-@_ </c:formatCode>
                <c:ptCount val="31"/>
                <c:pt idx="0">
                  <c:v>114.9</c:v>
                </c:pt>
                <c:pt idx="1">
                  <c:v>117.91438854727808</c:v>
                </c:pt>
                <c:pt idx="2">
                  <c:v>121.00785923828079</c:v>
                </c:pt>
                <c:pt idx="3">
                  <c:v>124.1824867841338</c:v>
                </c:pt>
                <c:pt idx="4">
                  <c:v>127.44040032577526</c:v>
                </c:pt>
                <c:pt idx="5">
                  <c:v>130.78378486191582</c:v>
                </c:pt>
                <c:pt idx="6">
                  <c:v>134.21488271446097</c:v>
                </c:pt>
                <c:pt idx="7">
                  <c:v>137.73599503237864</c:v>
                </c:pt>
                <c:pt idx="8">
                  <c:v>141.34948333502052</c:v>
                </c:pt>
                <c:pt idx="9">
                  <c:v>145.05777109593225</c:v>
                </c:pt>
                <c:pt idx="10">
                  <c:v>148.86334536821479</c:v>
                </c:pt>
                <c:pt idx="11">
                  <c:v>152.76875845252678</c:v>
                </c:pt>
                <c:pt idx="12">
                  <c:v>156.77662960884695</c:v>
                </c:pt>
                <c:pt idx="13">
                  <c:v>160.88964681314428</c:v>
                </c:pt>
                <c:pt idx="14">
                  <c:v>165.11056856013434</c:v>
                </c:pt>
                <c:pt idx="15">
                  <c:v>169.44222571333052</c:v>
                </c:pt>
                <c:pt idx="16">
                  <c:v>173.88752340363138</c:v>
                </c:pt>
                <c:pt idx="17">
                  <c:v>178.44944297771715</c:v>
                </c:pt>
                <c:pt idx="18">
                  <c:v>183.13104399756207</c:v>
                </c:pt>
                <c:pt idx="19">
                  <c:v>187.93546629240393</c:v>
                </c:pt>
                <c:pt idx="20">
                  <c:v>192.86593206454654</c:v>
                </c:pt>
                <c:pt idx="21">
                  <c:v>197.92574805040798</c:v>
                </c:pt>
                <c:pt idx="22">
                  <c:v>203.11830773826347</c:v>
                </c:pt>
                <c:pt idx="23">
                  <c:v>208.44709364417056</c:v>
                </c:pt>
                <c:pt idx="24">
                  <c:v>213.91567964760301</c:v>
                </c:pt>
                <c:pt idx="25">
                  <c:v>219.52773338835968</c:v>
                </c:pt>
                <c:pt idx="26">
                  <c:v>225.28701872635608</c:v>
                </c:pt>
                <c:pt idx="27">
                  <c:v>231.19739826594832</c:v>
                </c:pt>
                <c:pt idx="28">
                  <c:v>237.26283594648237</c:v>
                </c:pt>
                <c:pt idx="29">
                  <c:v>243.48739970080607</c:v>
                </c:pt>
                <c:pt idx="30">
                  <c:v>249.87526418352695</c:v>
                </c:pt>
              </c:numCache>
            </c:numRef>
          </c:yVal>
          <c:smooth val="1"/>
          <c:extLst>
            <c:ext xmlns:c16="http://schemas.microsoft.com/office/drawing/2014/chart" uri="{C3380CC4-5D6E-409C-BE32-E72D297353CC}">
              <c16:uniqueId val="{00000001-8A13-E44C-9E63-53D58F180FE4}"/>
            </c:ext>
          </c:extLst>
        </c:ser>
        <c:ser>
          <c:idx val="2"/>
          <c:order val="1"/>
          <c:tx>
            <c:strRef>
              <c:f>BinomialModel!$AF$83</c:f>
              <c:strCache>
                <c:ptCount val="1"/>
                <c:pt idx="0">
                  <c:v>Min Price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yVal>
            <c:numRef>
              <c:f>BinomialModel!$A$83:$AE$83</c:f>
              <c:numCache>
                <c:formatCode>_-[$$-409]* #\ ##0.00_ ;_-[$$-409]* \-#\ ##0.00\ ;_-[$$-409]* "-"??_ ;_-@_ </c:formatCode>
                <c:ptCount val="31"/>
                <c:pt idx="0">
                  <c:v>114.9</c:v>
                </c:pt>
                <c:pt idx="1">
                  <c:v>111.9600952781378</c:v>
                </c:pt>
                <c:pt idx="2">
                  <c:v>109.09541283454912</c:v>
                </c:pt>
                <c:pt idx="3">
                  <c:v>106.30402798402</c:v>
                </c:pt>
                <c:pt idx="4">
                  <c:v>103.58406528756053</c:v>
                </c:pt>
                <c:pt idx="5">
                  <c:v>100.93369729235965</c:v>
                </c:pt>
                <c:pt idx="6">
                  <c:v>98.351143303980038</c:v>
                </c:pt>
                <c:pt idx="7">
                  <c:v>95.834668189968582</c:v>
                </c:pt>
                <c:pt idx="8">
                  <c:v>93.382581214078371</c:v>
                </c:pt>
                <c:pt idx="9">
                  <c:v>90.993234900319024</c:v>
                </c:pt>
                <c:pt idx="10">
                  <c:v>88.665023926072166</c:v>
                </c:pt>
                <c:pt idx="11">
                  <c:v>86.396384043528357</c:v>
                </c:pt>
                <c:pt idx="12">
                  <c:v>84.1857910287208</c:v>
                </c:pt>
                <c:pt idx="13">
                  <c:v>82.031759657449783</c:v>
                </c:pt>
                <c:pt idx="14">
                  <c:v>79.932842707409733</c:v>
                </c:pt>
                <c:pt idx="15">
                  <c:v>77.887629985848534</c:v>
                </c:pt>
                <c:pt idx="16">
                  <c:v>75.894747382105692</c:v>
                </c:pt>
                <c:pt idx="17">
                  <c:v>73.952855944392979</c:v>
                </c:pt>
                <c:pt idx="18">
                  <c:v>72.060650980197025</c:v>
                </c:pt>
                <c:pt idx="19">
                  <c:v>70.216861179699677</c:v>
                </c:pt>
                <c:pt idx="20">
                  <c:v>68.420247761627081</c:v>
                </c:pt>
                <c:pt idx="21">
                  <c:v>66.669603640953554</c:v>
                </c:pt>
                <c:pt idx="22">
                  <c:v>64.96375261790115</c:v>
                </c:pt>
                <c:pt idx="23">
                  <c:v>63.30154858769005</c:v>
                </c:pt>
                <c:pt idx="24">
                  <c:v>61.681874770508678</c:v>
                </c:pt>
                <c:pt idx="25">
                  <c:v>60.103642961186388</c:v>
                </c:pt>
                <c:pt idx="26">
                  <c:v>58.565792798064443</c:v>
                </c:pt>
                <c:pt idx="27">
                  <c:v>57.067291050574163</c:v>
                </c:pt>
                <c:pt idx="28">
                  <c:v>55.607130925043549</c:v>
                </c:pt>
                <c:pt idx="29">
                  <c:v>54.18433138826596</c:v>
                </c:pt>
                <c:pt idx="30">
                  <c:v>52.797936508376409</c:v>
                </c:pt>
              </c:numCache>
            </c:numRef>
          </c:yVal>
          <c:smooth val="1"/>
          <c:extLst>
            <c:ext xmlns:c16="http://schemas.microsoft.com/office/drawing/2014/chart" uri="{C3380CC4-5D6E-409C-BE32-E72D297353CC}">
              <c16:uniqueId val="{00000003-8A13-E44C-9E63-53D58F180FE4}"/>
            </c:ext>
          </c:extLst>
        </c:ser>
        <c:ser>
          <c:idx val="0"/>
          <c:order val="2"/>
          <c:tx>
            <c:strRef>
              <c:f>BinomialModel!$AF$84</c:f>
              <c:strCache>
                <c:ptCount val="1"/>
                <c:pt idx="0">
                  <c:v>Strike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BinomialModel!$A$84:$AE$84</c:f>
              <c:numCache>
                <c:formatCode>_-[$$-409]* #\ ##0.00_ ;_-[$$-409]* \-#\ ##0.00\ ;_-[$$-409]* "-"??_ ;_-@_ </c:formatCode>
                <c:ptCount val="31"/>
                <c:pt idx="0">
                  <c:v>114.9</c:v>
                </c:pt>
                <c:pt idx="1">
                  <c:v>114.9248279418053</c:v>
                </c:pt>
                <c:pt idx="2">
                  <c:v>114.96251860911671</c:v>
                </c:pt>
                <c:pt idx="3">
                  <c:v>115.01308200470501</c:v>
                </c:pt>
                <c:pt idx="4">
                  <c:v>115.07653158937033</c:v>
                </c:pt>
                <c:pt idx="5">
                  <c:v>115.15288428674064</c:v>
                </c:pt>
                <c:pt idx="6">
                  <c:v>115.24216048931616</c:v>
                </c:pt>
                <c:pt idx="7">
                  <c:v>115.34438406576231</c:v>
                </c:pt>
                <c:pt idx="8">
                  <c:v>115.45958236945371</c:v>
                </c:pt>
                <c:pt idx="9">
                  <c:v>115.58778624827335</c:v>
                </c:pt>
                <c:pt idx="10">
                  <c:v>115.72903005567076</c:v>
                </c:pt>
                <c:pt idx="11">
                  <c:v>115.8833516629838</c:v>
                </c:pt>
                <c:pt idx="12">
                  <c:v>116.05079247302908</c:v>
                </c:pt>
                <c:pt idx="13">
                  <c:v>116.23139743496714</c:v>
                </c:pt>
                <c:pt idx="14">
                  <c:v>116.42521506044777</c:v>
                </c:pt>
                <c:pt idx="15">
                  <c:v>116.63229744104289</c:v>
                </c:pt>
                <c:pt idx="16">
                  <c:v>116.8527002669744</c:v>
                </c:pt>
                <c:pt idx="17">
                  <c:v>117.08648284714363</c:v>
                </c:pt>
                <c:pt idx="18">
                  <c:v>117.33370813047274</c:v>
                </c:pt>
                <c:pt idx="19">
                  <c:v>117.59444272856462</c:v>
                </c:pt>
                <c:pt idx="20">
                  <c:v>117.8687569396928</c:v>
                </c:pt>
                <c:pt idx="21">
                  <c:v>118.15672477413024</c:v>
                </c:pt>
                <c:pt idx="22">
                  <c:v>118.45842398082785</c:v>
                </c:pt>
                <c:pt idx="23">
                  <c:v>118.77393607545422</c:v>
                </c:pt>
                <c:pt idx="24">
                  <c:v>119.10334636980782</c:v>
                </c:pt>
                <c:pt idx="25">
                  <c:v>119.44674400261391</c:v>
                </c:pt>
                <c:pt idx="26">
                  <c:v>119.80422197171985</c:v>
                </c:pt>
                <c:pt idx="27">
                  <c:v>120.17587716770151</c:v>
                </c:pt>
                <c:pt idx="28">
                  <c:v>120.56181040889498</c:v>
                </c:pt>
                <c:pt idx="29">
                  <c:v>120.96212647786858</c:v>
                </c:pt>
                <c:pt idx="30">
                  <c:v>121.37693415935013</c:v>
                </c:pt>
              </c:numCache>
            </c:numRef>
          </c:yVal>
          <c:smooth val="1"/>
          <c:extLst>
            <c:ext xmlns:c16="http://schemas.microsoft.com/office/drawing/2014/chart" uri="{C3380CC4-5D6E-409C-BE32-E72D297353CC}">
              <c16:uniqueId val="{00000001-22E0-334D-8426-79EEBE907BDF}"/>
            </c:ext>
          </c:extLst>
        </c:ser>
        <c:dLbls>
          <c:showLegendKey val="0"/>
          <c:showVal val="0"/>
          <c:showCatName val="0"/>
          <c:showSerName val="0"/>
          <c:showPercent val="0"/>
          <c:showBubbleSize val="0"/>
        </c:dLbls>
        <c:axId val="86966832"/>
        <c:axId val="86967248"/>
      </c:scatterChart>
      <c:valAx>
        <c:axId val="86966832"/>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86967248"/>
        <c:crosses val="autoZero"/>
        <c:crossBetween val="midCat"/>
      </c:valAx>
      <c:valAx>
        <c:axId val="86967248"/>
        <c:scaling>
          <c:orientation val="minMax"/>
        </c:scaling>
        <c:delete val="0"/>
        <c:axPos val="l"/>
        <c:majorGridlines>
          <c:spPr>
            <a:ln w="9525" cap="flat" cmpd="sng" algn="ctr">
              <a:solidFill>
                <a:schemeClr val="tx1">
                  <a:lumMod val="15000"/>
                  <a:lumOff val="85000"/>
                </a:schemeClr>
              </a:solidFill>
              <a:round/>
            </a:ln>
            <a:effectLst/>
          </c:spPr>
        </c:majorGridlines>
        <c:numFmt formatCode="_([$$-409]* #,##0_);_([$$-409]* \(#,##0\);_([$$-409]* &quot;-&quot;_);_(@_)"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crossAx val="8696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Data'!$A$5:$A$161</c:f>
              <c:numCache>
                <c:formatCode>m/d/yyyy</c:formatCode>
                <c:ptCount val="157"/>
                <c:pt idx="0">
                  <c:v>44298</c:v>
                </c:pt>
                <c:pt idx="1">
                  <c:v>44299</c:v>
                </c:pt>
                <c:pt idx="2">
                  <c:v>44300</c:v>
                </c:pt>
                <c:pt idx="3">
                  <c:v>44301</c:v>
                </c:pt>
                <c:pt idx="4">
                  <c:v>44302</c:v>
                </c:pt>
                <c:pt idx="5">
                  <c:v>44305</c:v>
                </c:pt>
                <c:pt idx="6">
                  <c:v>44306</c:v>
                </c:pt>
                <c:pt idx="7">
                  <c:v>44307</c:v>
                </c:pt>
                <c:pt idx="8">
                  <c:v>44308</c:v>
                </c:pt>
                <c:pt idx="9">
                  <c:v>44309</c:v>
                </c:pt>
                <c:pt idx="10">
                  <c:v>44312</c:v>
                </c:pt>
                <c:pt idx="11">
                  <c:v>44313</c:v>
                </c:pt>
                <c:pt idx="12">
                  <c:v>44314</c:v>
                </c:pt>
                <c:pt idx="13">
                  <c:v>44315</c:v>
                </c:pt>
                <c:pt idx="14">
                  <c:v>44316</c:v>
                </c:pt>
                <c:pt idx="15">
                  <c:v>44319</c:v>
                </c:pt>
                <c:pt idx="16">
                  <c:v>44320</c:v>
                </c:pt>
                <c:pt idx="17">
                  <c:v>44321</c:v>
                </c:pt>
                <c:pt idx="18">
                  <c:v>44322</c:v>
                </c:pt>
                <c:pt idx="19">
                  <c:v>44323</c:v>
                </c:pt>
                <c:pt idx="20">
                  <c:v>44326</c:v>
                </c:pt>
                <c:pt idx="21">
                  <c:v>44327</c:v>
                </c:pt>
                <c:pt idx="22">
                  <c:v>44328</c:v>
                </c:pt>
                <c:pt idx="23">
                  <c:v>44329</c:v>
                </c:pt>
                <c:pt idx="24">
                  <c:v>44330</c:v>
                </c:pt>
                <c:pt idx="25">
                  <c:v>44333</c:v>
                </c:pt>
                <c:pt idx="26">
                  <c:v>44334</c:v>
                </c:pt>
                <c:pt idx="27">
                  <c:v>44335</c:v>
                </c:pt>
                <c:pt idx="28">
                  <c:v>44336</c:v>
                </c:pt>
                <c:pt idx="29">
                  <c:v>44337</c:v>
                </c:pt>
                <c:pt idx="30">
                  <c:v>44340</c:v>
                </c:pt>
                <c:pt idx="31">
                  <c:v>44341</c:v>
                </c:pt>
                <c:pt idx="32">
                  <c:v>44342</c:v>
                </c:pt>
                <c:pt idx="33">
                  <c:v>44343</c:v>
                </c:pt>
                <c:pt idx="34">
                  <c:v>44344</c:v>
                </c:pt>
                <c:pt idx="35">
                  <c:v>44347</c:v>
                </c:pt>
                <c:pt idx="36">
                  <c:v>44348</c:v>
                </c:pt>
                <c:pt idx="37">
                  <c:v>44349</c:v>
                </c:pt>
                <c:pt idx="38">
                  <c:v>44350</c:v>
                </c:pt>
                <c:pt idx="39">
                  <c:v>44351</c:v>
                </c:pt>
                <c:pt idx="40">
                  <c:v>44354</c:v>
                </c:pt>
                <c:pt idx="41">
                  <c:v>44355</c:v>
                </c:pt>
                <c:pt idx="42">
                  <c:v>44356</c:v>
                </c:pt>
                <c:pt idx="43">
                  <c:v>44357</c:v>
                </c:pt>
                <c:pt idx="44">
                  <c:v>44358</c:v>
                </c:pt>
                <c:pt idx="45">
                  <c:v>44361</c:v>
                </c:pt>
                <c:pt idx="46">
                  <c:v>44362</c:v>
                </c:pt>
                <c:pt idx="47">
                  <c:v>44363</c:v>
                </c:pt>
                <c:pt idx="48">
                  <c:v>44364</c:v>
                </c:pt>
                <c:pt idx="49">
                  <c:v>44365</c:v>
                </c:pt>
                <c:pt idx="50">
                  <c:v>44368</c:v>
                </c:pt>
                <c:pt idx="51">
                  <c:v>44369</c:v>
                </c:pt>
                <c:pt idx="52">
                  <c:v>44370</c:v>
                </c:pt>
                <c:pt idx="53">
                  <c:v>44371</c:v>
                </c:pt>
                <c:pt idx="54">
                  <c:v>44372</c:v>
                </c:pt>
                <c:pt idx="55">
                  <c:v>44375</c:v>
                </c:pt>
                <c:pt idx="56">
                  <c:v>44376</c:v>
                </c:pt>
                <c:pt idx="57">
                  <c:v>44377</c:v>
                </c:pt>
                <c:pt idx="58">
                  <c:v>44378</c:v>
                </c:pt>
                <c:pt idx="59">
                  <c:v>44379</c:v>
                </c:pt>
                <c:pt idx="60">
                  <c:v>44382</c:v>
                </c:pt>
                <c:pt idx="61">
                  <c:v>44383</c:v>
                </c:pt>
                <c:pt idx="62">
                  <c:v>44384</c:v>
                </c:pt>
                <c:pt idx="63">
                  <c:v>44385</c:v>
                </c:pt>
                <c:pt idx="64">
                  <c:v>44386</c:v>
                </c:pt>
                <c:pt idx="65">
                  <c:v>44389</c:v>
                </c:pt>
                <c:pt idx="66">
                  <c:v>44390</c:v>
                </c:pt>
                <c:pt idx="67">
                  <c:v>44391</c:v>
                </c:pt>
                <c:pt idx="68">
                  <c:v>44392</c:v>
                </c:pt>
                <c:pt idx="69">
                  <c:v>44393</c:v>
                </c:pt>
                <c:pt idx="70">
                  <c:v>44396</c:v>
                </c:pt>
                <c:pt idx="71">
                  <c:v>44397</c:v>
                </c:pt>
                <c:pt idx="72">
                  <c:v>44398</c:v>
                </c:pt>
                <c:pt idx="73">
                  <c:v>44399</c:v>
                </c:pt>
                <c:pt idx="74">
                  <c:v>44400</c:v>
                </c:pt>
                <c:pt idx="75">
                  <c:v>44403</c:v>
                </c:pt>
                <c:pt idx="76">
                  <c:v>44404</c:v>
                </c:pt>
                <c:pt idx="77">
                  <c:v>44405</c:v>
                </c:pt>
                <c:pt idx="78">
                  <c:v>44406</c:v>
                </c:pt>
                <c:pt idx="79">
                  <c:v>44407</c:v>
                </c:pt>
                <c:pt idx="80">
                  <c:v>44410</c:v>
                </c:pt>
                <c:pt idx="81">
                  <c:v>44411</c:v>
                </c:pt>
                <c:pt idx="82">
                  <c:v>44412</c:v>
                </c:pt>
                <c:pt idx="83">
                  <c:v>44413</c:v>
                </c:pt>
                <c:pt idx="84">
                  <c:v>44414</c:v>
                </c:pt>
                <c:pt idx="85">
                  <c:v>44417</c:v>
                </c:pt>
                <c:pt idx="86">
                  <c:v>44418</c:v>
                </c:pt>
                <c:pt idx="87">
                  <c:v>44419</c:v>
                </c:pt>
                <c:pt idx="88">
                  <c:v>44420</c:v>
                </c:pt>
                <c:pt idx="89">
                  <c:v>44421</c:v>
                </c:pt>
                <c:pt idx="90">
                  <c:v>44424</c:v>
                </c:pt>
                <c:pt idx="91">
                  <c:v>44425</c:v>
                </c:pt>
                <c:pt idx="92">
                  <c:v>44426</c:v>
                </c:pt>
                <c:pt idx="93">
                  <c:v>44427</c:v>
                </c:pt>
                <c:pt idx="94">
                  <c:v>44428</c:v>
                </c:pt>
                <c:pt idx="95">
                  <c:v>44431</c:v>
                </c:pt>
                <c:pt idx="96">
                  <c:v>44432</c:v>
                </c:pt>
                <c:pt idx="97">
                  <c:v>44433</c:v>
                </c:pt>
                <c:pt idx="98">
                  <c:v>44434</c:v>
                </c:pt>
                <c:pt idx="99">
                  <c:v>44435</c:v>
                </c:pt>
                <c:pt idx="100">
                  <c:v>44438</c:v>
                </c:pt>
                <c:pt idx="101">
                  <c:v>44439</c:v>
                </c:pt>
                <c:pt idx="102">
                  <c:v>44440</c:v>
                </c:pt>
                <c:pt idx="103">
                  <c:v>44441</c:v>
                </c:pt>
                <c:pt idx="104">
                  <c:v>44442</c:v>
                </c:pt>
                <c:pt idx="105">
                  <c:v>44445</c:v>
                </c:pt>
                <c:pt idx="106">
                  <c:v>44446</c:v>
                </c:pt>
                <c:pt idx="107">
                  <c:v>44447</c:v>
                </c:pt>
                <c:pt idx="108">
                  <c:v>44448</c:v>
                </c:pt>
                <c:pt idx="109">
                  <c:v>44449</c:v>
                </c:pt>
                <c:pt idx="110">
                  <c:v>44452</c:v>
                </c:pt>
                <c:pt idx="111">
                  <c:v>44453</c:v>
                </c:pt>
                <c:pt idx="112">
                  <c:v>44454</c:v>
                </c:pt>
                <c:pt idx="113">
                  <c:v>44455</c:v>
                </c:pt>
                <c:pt idx="114">
                  <c:v>44456</c:v>
                </c:pt>
                <c:pt idx="115">
                  <c:v>44459</c:v>
                </c:pt>
                <c:pt idx="116">
                  <c:v>44460</c:v>
                </c:pt>
                <c:pt idx="117">
                  <c:v>44461</c:v>
                </c:pt>
                <c:pt idx="118">
                  <c:v>44462</c:v>
                </c:pt>
                <c:pt idx="119">
                  <c:v>44463</c:v>
                </c:pt>
                <c:pt idx="120">
                  <c:v>44466</c:v>
                </c:pt>
                <c:pt idx="121">
                  <c:v>44467</c:v>
                </c:pt>
                <c:pt idx="122">
                  <c:v>44468</c:v>
                </c:pt>
                <c:pt idx="123">
                  <c:v>44469</c:v>
                </c:pt>
                <c:pt idx="124">
                  <c:v>44470</c:v>
                </c:pt>
                <c:pt idx="125">
                  <c:v>44473</c:v>
                </c:pt>
                <c:pt idx="126">
                  <c:v>44474</c:v>
                </c:pt>
                <c:pt idx="127">
                  <c:v>44475</c:v>
                </c:pt>
                <c:pt idx="128">
                  <c:v>44476</c:v>
                </c:pt>
                <c:pt idx="129">
                  <c:v>44477</c:v>
                </c:pt>
                <c:pt idx="130">
                  <c:v>44480</c:v>
                </c:pt>
                <c:pt idx="131">
                  <c:v>44481</c:v>
                </c:pt>
                <c:pt idx="132">
                  <c:v>44482</c:v>
                </c:pt>
                <c:pt idx="133">
                  <c:v>44483</c:v>
                </c:pt>
                <c:pt idx="134">
                  <c:v>44484</c:v>
                </c:pt>
                <c:pt idx="135">
                  <c:v>44487</c:v>
                </c:pt>
                <c:pt idx="136">
                  <c:v>44488</c:v>
                </c:pt>
                <c:pt idx="137">
                  <c:v>44489</c:v>
                </c:pt>
                <c:pt idx="138">
                  <c:v>44490</c:v>
                </c:pt>
                <c:pt idx="139">
                  <c:v>44491</c:v>
                </c:pt>
                <c:pt idx="140">
                  <c:v>44494</c:v>
                </c:pt>
                <c:pt idx="141">
                  <c:v>44495</c:v>
                </c:pt>
                <c:pt idx="142">
                  <c:v>44496</c:v>
                </c:pt>
                <c:pt idx="143">
                  <c:v>44497</c:v>
                </c:pt>
                <c:pt idx="144">
                  <c:v>44498</c:v>
                </c:pt>
                <c:pt idx="145">
                  <c:v>44501</c:v>
                </c:pt>
                <c:pt idx="146">
                  <c:v>44502</c:v>
                </c:pt>
                <c:pt idx="147">
                  <c:v>44503</c:v>
                </c:pt>
                <c:pt idx="148">
                  <c:v>44504</c:v>
                </c:pt>
                <c:pt idx="149">
                  <c:v>44505</c:v>
                </c:pt>
                <c:pt idx="150">
                  <c:v>44508</c:v>
                </c:pt>
                <c:pt idx="151">
                  <c:v>44509</c:v>
                </c:pt>
                <c:pt idx="152">
                  <c:v>44510</c:v>
                </c:pt>
                <c:pt idx="153">
                  <c:v>44511</c:v>
                </c:pt>
                <c:pt idx="154">
                  <c:v>44512</c:v>
                </c:pt>
                <c:pt idx="155">
                  <c:v>44515</c:v>
                </c:pt>
                <c:pt idx="156">
                  <c:v>44516</c:v>
                </c:pt>
              </c:numCache>
            </c:numRef>
          </c:xVal>
          <c:yVal>
            <c:numRef>
              <c:f>'Current Market Data'!$B$5:$B$161</c:f>
              <c:numCache>
                <c:formatCode>0.00</c:formatCode>
                <c:ptCount val="157"/>
                <c:pt idx="0">
                  <c:v>99.900001525878906</c:v>
                </c:pt>
                <c:pt idx="1">
                  <c:v>98.400001525878906</c:v>
                </c:pt>
                <c:pt idx="2">
                  <c:v>100.22000122070313</c:v>
                </c:pt>
                <c:pt idx="3">
                  <c:v>102.83999633789063</c:v>
                </c:pt>
                <c:pt idx="4">
                  <c:v>103.68000030517578</c:v>
                </c:pt>
                <c:pt idx="5">
                  <c:v>102.6999969482422</c:v>
                </c:pt>
                <c:pt idx="6">
                  <c:v>97.940002441406236</c:v>
                </c:pt>
                <c:pt idx="7">
                  <c:v>97.730003356933594</c:v>
                </c:pt>
                <c:pt idx="8">
                  <c:v>99.709999084472656</c:v>
                </c:pt>
                <c:pt idx="9">
                  <c:v>98.459999084472656</c:v>
                </c:pt>
                <c:pt idx="10">
                  <c:v>101.23999786376952</c:v>
                </c:pt>
                <c:pt idx="11">
                  <c:v>99.790000915527344</c:v>
                </c:pt>
                <c:pt idx="12">
                  <c:v>99.300003051757798</c:v>
                </c:pt>
                <c:pt idx="13">
                  <c:v>100</c:v>
                </c:pt>
                <c:pt idx="14">
                  <c:v>99.940002441406236</c:v>
                </c:pt>
                <c:pt idx="15">
                  <c:v>99.910003662109375</c:v>
                </c:pt>
                <c:pt idx="16">
                  <c:v>96.730003356933594</c:v>
                </c:pt>
                <c:pt idx="17">
                  <c:v>96.569999694824219</c:v>
                </c:pt>
                <c:pt idx="18">
                  <c:v>96.75</c:v>
                </c:pt>
                <c:pt idx="19">
                  <c:v>98.370002746582045</c:v>
                </c:pt>
                <c:pt idx="20">
                  <c:v>98.360000610351563</c:v>
                </c:pt>
                <c:pt idx="21">
                  <c:v>95.900001525878906</c:v>
                </c:pt>
                <c:pt idx="22">
                  <c:v>96.559997558593764</c:v>
                </c:pt>
                <c:pt idx="23">
                  <c:v>96</c:v>
                </c:pt>
                <c:pt idx="24">
                  <c:v>99.569999694824219</c:v>
                </c:pt>
                <c:pt idx="25">
                  <c:v>96.900001525878906</c:v>
                </c:pt>
                <c:pt idx="26">
                  <c:v>97.139999389648438</c:v>
                </c:pt>
                <c:pt idx="27">
                  <c:v>95.059997558593764</c:v>
                </c:pt>
                <c:pt idx="28">
                  <c:v>96.510002136230483</c:v>
                </c:pt>
                <c:pt idx="29">
                  <c:v>97.910003662109375</c:v>
                </c:pt>
                <c:pt idx="30">
                  <c:v>98.260002136230483</c:v>
                </c:pt>
                <c:pt idx="31">
                  <c:v>97.139999389648438</c:v>
                </c:pt>
                <c:pt idx="32">
                  <c:v>97.669998168945327</c:v>
                </c:pt>
                <c:pt idx="33">
                  <c:v>106.68000030517578</c:v>
                </c:pt>
                <c:pt idx="34">
                  <c:v>108</c:v>
                </c:pt>
                <c:pt idx="35">
                  <c:v>106.66000366210938</c:v>
                </c:pt>
                <c:pt idx="36">
                  <c:v>108.76000213623048</c:v>
                </c:pt>
                <c:pt idx="37">
                  <c:v>110.6999969482422</c:v>
                </c:pt>
                <c:pt idx="38">
                  <c:v>109.77999877929688</c:v>
                </c:pt>
                <c:pt idx="39">
                  <c:v>109.91999816894533</c:v>
                </c:pt>
                <c:pt idx="40">
                  <c:v>111.31999969482422</c:v>
                </c:pt>
                <c:pt idx="41">
                  <c:v>110.5</c:v>
                </c:pt>
                <c:pt idx="42">
                  <c:v>110.59999847412109</c:v>
                </c:pt>
                <c:pt idx="43">
                  <c:v>110.51999664306641</c:v>
                </c:pt>
                <c:pt idx="44">
                  <c:v>112.36000061035156</c:v>
                </c:pt>
                <c:pt idx="45">
                  <c:v>112.40000152587891</c:v>
                </c:pt>
                <c:pt idx="46">
                  <c:v>113.18000030517578</c:v>
                </c:pt>
                <c:pt idx="47">
                  <c:v>114.08000183105467</c:v>
                </c:pt>
                <c:pt idx="48">
                  <c:v>114.59999847412109</c:v>
                </c:pt>
                <c:pt idx="49">
                  <c:v>112.72000122070313</c:v>
                </c:pt>
                <c:pt idx="50">
                  <c:v>112.91999816894533</c:v>
                </c:pt>
                <c:pt idx="51">
                  <c:v>112.63999938964844</c:v>
                </c:pt>
                <c:pt idx="52">
                  <c:v>111.3000030517578</c:v>
                </c:pt>
                <c:pt idx="53">
                  <c:v>111.91999816894533</c:v>
                </c:pt>
                <c:pt idx="54">
                  <c:v>110.31999969482422</c:v>
                </c:pt>
                <c:pt idx="55">
                  <c:v>107.09999847412109</c:v>
                </c:pt>
                <c:pt idx="56">
                  <c:v>106.48000335693359</c:v>
                </c:pt>
                <c:pt idx="57">
                  <c:v>108.44000244140624</c:v>
                </c:pt>
                <c:pt idx="58">
                  <c:v>109.90000152587891</c:v>
                </c:pt>
                <c:pt idx="59">
                  <c:v>112.22000122070313</c:v>
                </c:pt>
                <c:pt idx="60">
                  <c:v>113.08000183105467</c:v>
                </c:pt>
                <c:pt idx="61">
                  <c:v>110.87999725341795</c:v>
                </c:pt>
                <c:pt idx="62">
                  <c:v>109.81999969482422</c:v>
                </c:pt>
                <c:pt idx="63">
                  <c:v>109.01999664306641</c:v>
                </c:pt>
                <c:pt idx="64">
                  <c:v>112.76000213623048</c:v>
                </c:pt>
                <c:pt idx="65">
                  <c:v>112.1999969482422</c:v>
                </c:pt>
                <c:pt idx="66">
                  <c:v>111.23999786376952</c:v>
                </c:pt>
                <c:pt idx="67">
                  <c:v>110.98000335693359</c:v>
                </c:pt>
                <c:pt idx="68">
                  <c:v>110.40000152587891</c:v>
                </c:pt>
                <c:pt idx="69">
                  <c:v>110.63999938964844</c:v>
                </c:pt>
                <c:pt idx="70">
                  <c:v>103.58000183105467</c:v>
                </c:pt>
                <c:pt idx="71">
                  <c:v>106</c:v>
                </c:pt>
                <c:pt idx="72">
                  <c:v>110.63999938964844</c:v>
                </c:pt>
                <c:pt idx="73">
                  <c:v>109.51999664306641</c:v>
                </c:pt>
                <c:pt idx="74">
                  <c:v>111.5</c:v>
                </c:pt>
                <c:pt idx="75">
                  <c:v>112</c:v>
                </c:pt>
                <c:pt idx="76">
                  <c:v>112.31999969482422</c:v>
                </c:pt>
                <c:pt idx="77">
                  <c:v>115.3000030517578</c:v>
                </c:pt>
                <c:pt idx="78">
                  <c:v>116</c:v>
                </c:pt>
                <c:pt idx="79">
                  <c:v>115.6999969482422</c:v>
                </c:pt>
                <c:pt idx="80">
                  <c:v>116.77999877929688</c:v>
                </c:pt>
                <c:pt idx="81">
                  <c:v>114.77999877929688</c:v>
                </c:pt>
                <c:pt idx="82">
                  <c:v>114.44000244140624</c:v>
                </c:pt>
                <c:pt idx="83">
                  <c:v>116.63999938964844</c:v>
                </c:pt>
                <c:pt idx="84">
                  <c:v>116.90000152587891</c:v>
                </c:pt>
                <c:pt idx="85">
                  <c:v>114.76000213623048</c:v>
                </c:pt>
                <c:pt idx="86">
                  <c:v>115.16000366210938</c:v>
                </c:pt>
                <c:pt idx="87">
                  <c:v>115.72000122070313</c:v>
                </c:pt>
                <c:pt idx="88">
                  <c:v>115.3000030517578</c:v>
                </c:pt>
                <c:pt idx="89">
                  <c:v>115.44000244140624</c:v>
                </c:pt>
                <c:pt idx="90">
                  <c:v>114.62000274658205</c:v>
                </c:pt>
                <c:pt idx="91">
                  <c:v>113.54000091552734</c:v>
                </c:pt>
                <c:pt idx="92">
                  <c:v>113.62000274658205</c:v>
                </c:pt>
                <c:pt idx="93">
                  <c:v>110.04000091552734</c:v>
                </c:pt>
                <c:pt idx="94">
                  <c:v>110.48000335693359</c:v>
                </c:pt>
                <c:pt idx="95">
                  <c:v>111.72000122070313</c:v>
                </c:pt>
                <c:pt idx="96">
                  <c:v>113.45999908447266</c:v>
                </c:pt>
                <c:pt idx="97">
                  <c:v>115.91999816894533</c:v>
                </c:pt>
                <c:pt idx="98">
                  <c:v>115</c:v>
                </c:pt>
                <c:pt idx="99">
                  <c:v>115.01999664306641</c:v>
                </c:pt>
                <c:pt idx="100">
                  <c:v>114.86000061035156</c:v>
                </c:pt>
                <c:pt idx="101">
                  <c:v>115.6999969482422</c:v>
                </c:pt>
                <c:pt idx="102">
                  <c:v>118</c:v>
                </c:pt>
                <c:pt idx="103">
                  <c:v>116.77999877929688</c:v>
                </c:pt>
                <c:pt idx="104">
                  <c:v>114.48000335693359</c:v>
                </c:pt>
                <c:pt idx="105">
                  <c:v>115.87999725341795</c:v>
                </c:pt>
                <c:pt idx="106">
                  <c:v>114.09999847412109</c:v>
                </c:pt>
                <c:pt idx="107">
                  <c:v>113.72000122070313</c:v>
                </c:pt>
                <c:pt idx="108">
                  <c:v>115.1999969482422</c:v>
                </c:pt>
                <c:pt idx="109">
                  <c:v>114.36000061035156</c:v>
                </c:pt>
                <c:pt idx="110">
                  <c:v>115.08000183105467</c:v>
                </c:pt>
                <c:pt idx="111">
                  <c:v>112.76000213623048</c:v>
                </c:pt>
                <c:pt idx="112">
                  <c:v>112.36000061035156</c:v>
                </c:pt>
                <c:pt idx="113">
                  <c:v>114.87999725341795</c:v>
                </c:pt>
                <c:pt idx="114">
                  <c:v>113.04000091552734</c:v>
                </c:pt>
                <c:pt idx="115">
                  <c:v>111.94000244140624</c:v>
                </c:pt>
                <c:pt idx="116">
                  <c:v>113.27999877929688</c:v>
                </c:pt>
                <c:pt idx="117">
                  <c:v>115.83999633789063</c:v>
                </c:pt>
                <c:pt idx="118">
                  <c:v>116.68000030517578</c:v>
                </c:pt>
                <c:pt idx="119">
                  <c:v>115.40000152587891</c:v>
                </c:pt>
                <c:pt idx="120">
                  <c:v>117.23999786376952</c:v>
                </c:pt>
                <c:pt idx="121">
                  <c:v>113.36000061035156</c:v>
                </c:pt>
                <c:pt idx="122">
                  <c:v>117.3000030517578</c:v>
                </c:pt>
                <c:pt idx="123">
                  <c:v>115.09999847412109</c:v>
                </c:pt>
                <c:pt idx="124">
                  <c:v>116.58000183105467</c:v>
                </c:pt>
                <c:pt idx="125">
                  <c:v>113.66000366210938</c:v>
                </c:pt>
                <c:pt idx="126">
                  <c:v>115.08000183105467</c:v>
                </c:pt>
                <c:pt idx="127">
                  <c:v>113.41999816894533</c:v>
                </c:pt>
                <c:pt idx="128">
                  <c:v>114.1999969482422</c:v>
                </c:pt>
                <c:pt idx="129">
                  <c:v>113.22000122070313</c:v>
                </c:pt>
                <c:pt idx="130">
                  <c:v>113.81999969482422</c:v>
                </c:pt>
                <c:pt idx="131">
                  <c:v>113.23999786376952</c:v>
                </c:pt>
                <c:pt idx="132">
                  <c:v>112.33999633789063</c:v>
                </c:pt>
                <c:pt idx="133">
                  <c:v>113.36000061035156</c:v>
                </c:pt>
                <c:pt idx="134">
                  <c:v>114.90000152587891</c:v>
                </c:pt>
                <c:pt idx="135">
                  <c:v>113.3000030517578</c:v>
                </c:pt>
                <c:pt idx="136">
                  <c:v>112.31999969482422</c:v>
                </c:pt>
                <c:pt idx="137">
                  <c:v>112.16000366210938</c:v>
                </c:pt>
                <c:pt idx="138">
                  <c:v>111.37999725341795</c:v>
                </c:pt>
                <c:pt idx="139">
                  <c:v>109.77999877929688</c:v>
                </c:pt>
                <c:pt idx="140">
                  <c:v>108.08000183105467</c:v>
                </c:pt>
                <c:pt idx="141">
                  <c:v>109.94000244140624</c:v>
                </c:pt>
                <c:pt idx="142">
                  <c:v>110</c:v>
                </c:pt>
                <c:pt idx="143">
                  <c:v>112</c:v>
                </c:pt>
                <c:pt idx="144">
                  <c:v>110.59999847412109</c:v>
                </c:pt>
                <c:pt idx="145">
                  <c:v>109.66000366210938</c:v>
                </c:pt>
                <c:pt idx="146">
                  <c:v>110.3000030517578</c:v>
                </c:pt>
                <c:pt idx="147">
                  <c:v>108</c:v>
                </c:pt>
                <c:pt idx="148">
                  <c:v>109</c:v>
                </c:pt>
                <c:pt idx="149">
                  <c:v>113.90000152587891</c:v>
                </c:pt>
                <c:pt idx="150">
                  <c:v>115.63999938964844</c:v>
                </c:pt>
                <c:pt idx="151">
                  <c:v>116.31999969482422</c:v>
                </c:pt>
                <c:pt idx="152">
                  <c:v>116.1999969482422</c:v>
                </c:pt>
                <c:pt idx="153">
                  <c:v>114.6999969482422</c:v>
                </c:pt>
                <c:pt idx="154">
                  <c:v>112.13999938964844</c:v>
                </c:pt>
                <c:pt idx="155">
                  <c:v>114.04000091552734</c:v>
                </c:pt>
                <c:pt idx="156">
                  <c:v>115</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Monte Carlo - Histogram</cx:v>
        </cx:txData>
      </cx:tx>
      <cx:txPr>
        <a:bodyPr spcFirstLastPara="1" vertOverflow="ellipsis" horzOverflow="overflow" wrap="square" lIns="0" tIns="0" rIns="0" bIns="0" anchor="ctr" anchorCtr="1"/>
        <a:lstStyle/>
        <a:p>
          <a:pPr algn="ctr" rtl="0">
            <a:defRPr sz="1600" b="1"/>
          </a:pPr>
          <a:r>
            <a:rPr lang="en-US" sz="1600" b="1" i="0" u="none" strike="noStrike" baseline="0">
              <a:solidFill>
                <a:srgbClr val="000000">
                  <a:lumMod val="65000"/>
                  <a:lumOff val="35000"/>
                </a:srgbClr>
              </a:solidFill>
              <a:latin typeface="Calibri"/>
              <a:cs typeface="Calibri"/>
            </a:rPr>
            <a:t>Monte Carlo - Histogram</a:t>
          </a:r>
        </a:p>
      </cx:txPr>
    </cx:title>
    <cx:plotArea>
      <cx:plotAreaRegion>
        <cx:plotSurface>
          <cx:spPr>
            <a:noFill/>
            <a:ln>
              <a:solidFill>
                <a:schemeClr val="tx1"/>
              </a:solidFill>
            </a:ln>
          </cx:spPr>
        </cx:plotSurface>
        <cx:series layoutId="clusteredColumn" uniqueId="{3F3CA074-FD18-9F45-B8B0-5A5833F1699D}">
          <cx:tx>
            <cx:txData>
              <cx:f>_xlchart.v1.1</cx:f>
              <cx:v>Price at maturity</cx:v>
            </cx:txData>
          </cx:tx>
          <cx:dataId val="0"/>
          <cx:layoutPr>
            <cx:binning intervalClosed="r">
              <cx:binCount val="100"/>
            </cx:binning>
          </cx:layoutPr>
        </cx:series>
      </cx:plotAreaRegion>
      <cx:axis id="0">
        <cx:catScaling gapWidth="0"/>
        <cx:tickLabels/>
        <cx:numFmt formatCode="#.##0" sourceLinked="0"/>
        <cx:txPr>
          <a:bodyPr vertOverflow="overflow" horzOverflow="overflow" wrap="square" lIns="0" tIns="0" rIns="0" bIns="0"/>
          <a:lstStyle/>
          <a:p>
            <a:pPr algn="ctr" rtl="0">
              <a:defRPr sz="12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b="1"/>
          </a:p>
        </cx:txPr>
      </cx:axis>
      <cx:axis id="1">
        <cx:valScaling/>
        <cx:title>
          <cx:tx>
            <cx:txData>
              <cx:v>Number</cx:v>
            </cx:txData>
          </cx:tx>
          <cx:txPr>
            <a:bodyPr spcFirstLastPara="1" vertOverflow="ellipsis" horzOverflow="overflow" wrap="square" lIns="0" tIns="0" rIns="0" bIns="0" anchor="ctr" anchorCtr="1"/>
            <a:lstStyle/>
            <a:p>
              <a:pPr algn="ctr" rtl="0">
                <a:defRPr sz="1200" b="1"/>
              </a:pPr>
              <a:r>
                <a:rPr lang="en-US" sz="1200" b="1" i="0" u="none" strike="noStrike" baseline="0">
                  <a:solidFill>
                    <a:srgbClr val="000000">
                      <a:lumMod val="65000"/>
                      <a:lumOff val="35000"/>
                    </a:srgbClr>
                  </a:solidFill>
                  <a:latin typeface="Calibri"/>
                  <a:cs typeface="Calibri"/>
                </a:rPr>
                <a:t>Number</a:t>
              </a:r>
            </a:p>
          </cx:txPr>
        </cx:title>
        <cx:majorGridlines/>
        <cx:tickLabels/>
        <cx:txPr>
          <a:bodyPr vertOverflow="overflow" horzOverflow="overflow" wrap="square" lIns="0" tIns="0" rIns="0" bIns="0"/>
          <a:lstStyle/>
          <a:p>
            <a:pPr algn="ctr" rtl="0">
              <a:defRPr sz="1200" b="1"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b="1"/>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image" Target="../media/image3.png"/><Relationship Id="rId7" Type="http://schemas.openxmlformats.org/officeDocument/2006/relationships/image" Target="../media/image19.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18.png"/><Relationship Id="rId5" Type="http://schemas.openxmlformats.org/officeDocument/2006/relationships/image" Target="../media/image6.png"/><Relationship Id="rId10" Type="http://schemas.openxmlformats.org/officeDocument/2006/relationships/image" Target="../media/image22.png"/><Relationship Id="rId4" Type="http://schemas.openxmlformats.org/officeDocument/2006/relationships/image" Target="../media/image17.png"/><Relationship Id="rId9" Type="http://schemas.openxmlformats.org/officeDocument/2006/relationships/image" Target="../media/image2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D77CFE6D-0E62-408B-BD7B-1F74E94A2355}"/>
            </a:ext>
          </a:extLst>
        </xdr:cNvPr>
        <xdr:cNvPicPr preferRelativeResize="0"/>
      </xdr:nvPicPr>
      <xdr:blipFill>
        <a:blip xmlns:r="http://schemas.openxmlformats.org/officeDocument/2006/relationships" r:embed="rId1" cstate="print"/>
        <a:stretch>
          <a:fillRect/>
        </a:stretch>
      </xdr:blipFill>
      <xdr:spPr>
        <a:xfrm>
          <a:off x="0" y="0"/>
          <a:ext cx="1390650" cy="1600200"/>
        </a:xfrm>
        <a:prstGeom prst="rect">
          <a:avLst/>
        </a:prstGeom>
        <a:noFill/>
      </xdr:spPr>
    </xdr:pic>
    <xdr:clientData fLocksWithSheet="0"/>
  </xdr:oneCellAnchor>
  <xdr:oneCellAnchor>
    <xdr:from>
      <xdr:col>11</xdr:col>
      <xdr:colOff>163830</xdr:colOff>
      <xdr:row>6</xdr:row>
      <xdr:rowOff>0</xdr:rowOff>
    </xdr:from>
    <xdr:ext cx="346710" cy="335280"/>
    <xdr:pic>
      <xdr:nvPicPr>
        <xdr:cNvPr id="3" name="image3.png">
          <a:extLst>
            <a:ext uri="{FF2B5EF4-FFF2-40B4-BE49-F238E27FC236}">
              <a16:creationId xmlns:a16="http://schemas.microsoft.com/office/drawing/2014/main" id="{3D0AA853-86F2-4190-83A0-74D8D84B9483}"/>
            </a:ext>
          </a:extLst>
        </xdr:cNvPr>
        <xdr:cNvPicPr preferRelativeResize="0"/>
      </xdr:nvPicPr>
      <xdr:blipFill>
        <a:blip xmlns:r="http://schemas.openxmlformats.org/officeDocument/2006/relationships" r:embed="rId2" cstate="print"/>
        <a:stretch>
          <a:fillRect/>
        </a:stretch>
      </xdr:blipFill>
      <xdr:spPr>
        <a:xfrm>
          <a:off x="653415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121920</xdr:colOff>
          <xdr:row>0</xdr:row>
          <xdr:rowOff>114300</xdr:rowOff>
        </xdr:from>
        <xdr:to>
          <xdr:col>21</xdr:col>
          <xdr:colOff>426720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1F9E4F9E-2BA5-453C-BF23-907804102A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 Sheet</a:t>
              </a:r>
            </a:p>
          </xdr:txBody>
        </xdr:sp>
        <xdr:clientData fPrintsWithSheet="0"/>
      </xdr:twoCellAnchor>
    </mc:Choice>
    <mc:Fallback/>
  </mc:AlternateContent>
  <xdr:twoCellAnchor>
    <xdr:from>
      <xdr:col>0</xdr:col>
      <xdr:colOff>495299</xdr:colOff>
      <xdr:row>19</xdr:row>
      <xdr:rowOff>352424</xdr:rowOff>
    </xdr:from>
    <xdr:to>
      <xdr:col>26</xdr:col>
      <xdr:colOff>409574</xdr:colOff>
      <xdr:row>22</xdr:row>
      <xdr:rowOff>133350</xdr:rowOff>
    </xdr:to>
    <xdr:sp macro="" textlink="">
      <xdr:nvSpPr>
        <xdr:cNvPr id="5" name="ZoneTexte 4">
          <a:extLst>
            <a:ext uri="{FF2B5EF4-FFF2-40B4-BE49-F238E27FC236}">
              <a16:creationId xmlns:a16="http://schemas.microsoft.com/office/drawing/2014/main" id="{4A922C65-0C8C-4D25-AF4C-60D085EA7B77}"/>
            </a:ext>
          </a:extLst>
        </xdr:cNvPr>
        <xdr:cNvSpPr txBox="1"/>
      </xdr:nvSpPr>
      <xdr:spPr>
        <a:xfrm>
          <a:off x="495299" y="5945504"/>
          <a:ext cx="15199995" cy="5734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400" b="1">
              <a:solidFill>
                <a:schemeClr val="dk1"/>
              </a:solidFill>
              <a:effectLst/>
              <a:latin typeface="+mn-lt"/>
              <a:ea typeface="+mn-ea"/>
              <a:cs typeface="+mn-cs"/>
            </a:rPr>
            <a:t>In this section, the model is presented with its functioning with a stepwise procedure to generate outputs of the Binomial</a:t>
          </a:r>
          <a:r>
            <a:rPr lang="en-GB" sz="1400" b="1" baseline="0">
              <a:solidFill>
                <a:schemeClr val="dk1"/>
              </a:solidFill>
              <a:effectLst/>
              <a:latin typeface="+mn-lt"/>
              <a:ea typeface="+mn-ea"/>
              <a:cs typeface="+mn-cs"/>
            </a:rPr>
            <a:t> model </a:t>
          </a:r>
          <a:r>
            <a:rPr lang="en-GB" sz="1400" b="1">
              <a:solidFill>
                <a:schemeClr val="dk1"/>
              </a:solidFill>
              <a:effectLst/>
              <a:latin typeface="+mn-lt"/>
              <a:ea typeface="+mn-ea"/>
              <a:cs typeface="+mn-cs"/>
            </a:rPr>
            <a:t>and Monte</a:t>
          </a:r>
          <a:r>
            <a:rPr lang="en-GB" sz="1400" b="1" baseline="0">
              <a:solidFill>
                <a:schemeClr val="dk1"/>
              </a:solidFill>
              <a:effectLst/>
              <a:latin typeface="+mn-lt"/>
              <a:ea typeface="+mn-ea"/>
              <a:cs typeface="+mn-cs"/>
            </a:rPr>
            <a:t> Carlo simulations based on the binomial distribution</a:t>
          </a:r>
          <a:r>
            <a:rPr lang="en-GB" sz="1400" b="1">
              <a:solidFill>
                <a:schemeClr val="dk1"/>
              </a:solidFill>
              <a:effectLst/>
              <a:latin typeface="+mn-lt"/>
              <a:ea typeface="+mn-ea"/>
              <a:cs typeface="+mn-cs"/>
            </a:rPr>
            <a:t>. The end-user will enter the data and the display of the final outputs generated from excel. </a:t>
          </a:r>
          <a:endParaRPr lang="en-GB" sz="1400">
            <a:effectLst/>
          </a:endParaRPr>
        </a:p>
        <a:p>
          <a:endParaRPr lang="es-ES" sz="1100"/>
        </a:p>
      </xdr:txBody>
    </xdr:sp>
    <xdr:clientData/>
  </xdr:twoCellAnchor>
  <xdr:twoCellAnchor>
    <xdr:from>
      <xdr:col>0</xdr:col>
      <xdr:colOff>0</xdr:colOff>
      <xdr:row>23</xdr:row>
      <xdr:rowOff>121919</xdr:rowOff>
    </xdr:from>
    <xdr:to>
      <xdr:col>23</xdr:col>
      <xdr:colOff>457200</xdr:colOff>
      <xdr:row>44</xdr:row>
      <xdr:rowOff>47624</xdr:rowOff>
    </xdr:to>
    <xdr:sp macro="" textlink="">
      <xdr:nvSpPr>
        <xdr:cNvPr id="6" name="ZoneTexte 5">
          <a:extLst>
            <a:ext uri="{FF2B5EF4-FFF2-40B4-BE49-F238E27FC236}">
              <a16:creationId xmlns:a16="http://schemas.microsoft.com/office/drawing/2014/main" id="{EA3858AB-E248-401D-997C-7BAA034F19C4}"/>
            </a:ext>
          </a:extLst>
        </xdr:cNvPr>
        <xdr:cNvSpPr txBox="1"/>
      </xdr:nvSpPr>
      <xdr:spPr>
        <a:xfrm>
          <a:off x="0" y="6728459"/>
          <a:ext cx="14005560" cy="41548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a:t>
          </a:r>
          <a:r>
            <a:rPr lang="en-GB" sz="1400" baseline="0">
              <a:solidFill>
                <a:schemeClr val="dk1"/>
              </a:solidFill>
              <a:effectLst/>
              <a:latin typeface="+mn-lt"/>
              <a:ea typeface="+mn-ea"/>
              <a:cs typeface="+mn-cs"/>
            </a:rPr>
            <a:t> as shown in </a:t>
          </a:r>
          <a:r>
            <a:rPr lang="en-GB" sz="1400" i="1" baseline="0">
              <a:solidFill>
                <a:schemeClr val="dk1"/>
              </a:solidFill>
              <a:effectLst/>
              <a:latin typeface="+mn-lt"/>
              <a:ea typeface="+mn-ea"/>
              <a:cs typeface="+mn-cs"/>
            </a:rPr>
            <a:t>Figure 0</a:t>
          </a:r>
          <a:r>
            <a:rPr lang="en-GB" sz="1400" baseline="0">
              <a:solidFill>
                <a:schemeClr val="dk1"/>
              </a:solidFill>
              <a:effectLst/>
              <a:latin typeface="+mn-lt"/>
              <a:ea typeface="+mn-ea"/>
              <a:cs typeface="+mn-cs"/>
            </a:rPr>
            <a:t>.</a:t>
          </a:r>
        </a:p>
        <a:p>
          <a:endParaRPr lang="en-GB" sz="1400" baseline="0">
            <a:solidFill>
              <a:schemeClr val="dk1"/>
            </a:solidFill>
            <a:effectLst/>
            <a:latin typeface="+mn-lt"/>
            <a:ea typeface="+mn-ea"/>
            <a:cs typeface="+mn-cs"/>
          </a:endParaRPr>
        </a:p>
        <a:p>
          <a:endParaRPr lang="en-GB" sz="140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r>
            <a:rPr lang="en-GB" sz="1100" i="1">
              <a:solidFill>
                <a:schemeClr val="tx1">
                  <a:lumMod val="65000"/>
                  <a:lumOff val="35000"/>
                </a:schemeClr>
              </a:solidFill>
              <a:effectLst/>
              <a:latin typeface="+mn-lt"/>
              <a:ea typeface="+mn-ea"/>
              <a:cs typeface="+mn-cs"/>
            </a:rPr>
            <a:t>                                                                                                         Figure</a:t>
          </a:r>
          <a:r>
            <a:rPr lang="en-GB" sz="1100" i="1" baseline="0">
              <a:solidFill>
                <a:schemeClr val="tx1">
                  <a:lumMod val="65000"/>
                  <a:lumOff val="35000"/>
                </a:schemeClr>
              </a:solidFill>
              <a:effectLst/>
              <a:latin typeface="+mn-lt"/>
              <a:ea typeface="+mn-ea"/>
              <a:cs typeface="+mn-cs"/>
            </a:rPr>
            <a:t> 0 : Enable content</a:t>
          </a:r>
          <a:endParaRPr lang="en-GB" sz="1100" i="1">
            <a:solidFill>
              <a:schemeClr val="tx1">
                <a:lumMod val="65000"/>
                <a:lumOff val="35000"/>
              </a:schemeClr>
            </a:solidFill>
            <a:effectLst/>
            <a:latin typeface="+mn-lt"/>
            <a:ea typeface="+mn-ea"/>
            <a:cs typeface="+mn-cs"/>
          </a:endParaRPr>
        </a:p>
        <a:p>
          <a:endParaRPr lang="en-GB"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3</xdr:col>
      <xdr:colOff>72391</xdr:colOff>
      <xdr:row>34</xdr:row>
      <xdr:rowOff>41910</xdr:rowOff>
    </xdr:from>
    <xdr:to>
      <xdr:col>6</xdr:col>
      <xdr:colOff>80011</xdr:colOff>
      <xdr:row>40</xdr:row>
      <xdr:rowOff>8731</xdr:rowOff>
    </xdr:to>
    <xdr:pic>
      <xdr:nvPicPr>
        <xdr:cNvPr id="7" name="Image 6">
          <a:extLst>
            <a:ext uri="{FF2B5EF4-FFF2-40B4-BE49-F238E27FC236}">
              <a16:creationId xmlns:a16="http://schemas.microsoft.com/office/drawing/2014/main" id="{A7210F30-0EBB-490B-B94F-1C6AC81C7239}"/>
            </a:ext>
          </a:extLst>
        </xdr:cNvPr>
        <xdr:cNvPicPr>
          <a:picLocks noChangeAspect="1"/>
        </xdr:cNvPicPr>
      </xdr:nvPicPr>
      <xdr:blipFill>
        <a:blip xmlns:r="http://schemas.openxmlformats.org/officeDocument/2006/relationships" r:embed="rId3"/>
        <a:stretch>
          <a:fillRect/>
        </a:stretch>
      </xdr:blipFill>
      <xdr:spPr>
        <a:xfrm>
          <a:off x="1809751" y="8896350"/>
          <a:ext cx="1744980" cy="1155541"/>
        </a:xfrm>
        <a:prstGeom prst="rect">
          <a:avLst/>
        </a:prstGeom>
      </xdr:spPr>
    </xdr:pic>
    <xdr:clientData/>
  </xdr:twoCellAnchor>
  <xdr:twoCellAnchor>
    <xdr:from>
      <xdr:col>0</xdr:col>
      <xdr:colOff>0</xdr:colOff>
      <xdr:row>50</xdr:row>
      <xdr:rowOff>180975</xdr:rowOff>
    </xdr:from>
    <xdr:to>
      <xdr:col>23</xdr:col>
      <xdr:colOff>200025</xdr:colOff>
      <xdr:row>157</xdr:row>
      <xdr:rowOff>188594</xdr:rowOff>
    </xdr:to>
    <xdr:sp macro="" textlink="">
      <xdr:nvSpPr>
        <xdr:cNvPr id="8" name="ZoneTexte 7">
          <a:extLst>
            <a:ext uri="{FF2B5EF4-FFF2-40B4-BE49-F238E27FC236}">
              <a16:creationId xmlns:a16="http://schemas.microsoft.com/office/drawing/2014/main" id="{CC641CCD-B471-4806-A003-C39C1EE9C2AA}"/>
            </a:ext>
          </a:extLst>
        </xdr:cNvPr>
        <xdr:cNvSpPr txBox="1"/>
      </xdr:nvSpPr>
      <xdr:spPr>
        <a:xfrm>
          <a:off x="0" y="12205335"/>
          <a:ext cx="13748385" cy="212064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tx1">
                  <a:lumMod val="75000"/>
                  <a:lumOff val="25000"/>
                </a:schemeClr>
              </a:solidFill>
              <a:effectLst/>
              <a:latin typeface="+mn-lt"/>
              <a:ea typeface="+mn-ea"/>
              <a:cs typeface="+mn-cs"/>
            </a:rPr>
            <a:t>                                                                                           Figure</a:t>
          </a:r>
          <a:r>
            <a:rPr lang="en-GB" sz="1100" i="1" baseline="0">
              <a:solidFill>
                <a:schemeClr val="tx1">
                  <a:lumMod val="75000"/>
                  <a:lumOff val="25000"/>
                </a:schemeClr>
              </a:solidFill>
              <a:effectLst/>
              <a:latin typeface="+mn-lt"/>
              <a:ea typeface="+mn-ea"/>
              <a:cs typeface="+mn-cs"/>
            </a:rPr>
            <a:t> 2 : Inputs</a:t>
          </a:r>
          <a:endParaRPr lang="en-GB">
            <a:solidFill>
              <a:schemeClr val="tx1">
                <a:lumMod val="75000"/>
                <a:lumOff val="25000"/>
              </a:schemeClr>
            </a:solidFill>
            <a:effectLst/>
          </a:endParaRPr>
        </a:p>
        <a:p>
          <a:endParaRPr lang="es-ES" sz="1100"/>
        </a:p>
        <a:p>
          <a:endParaRPr lang="en-GB" sz="1400" b="1" i="1" u="sng">
            <a:solidFill>
              <a:schemeClr val="dk1"/>
            </a:solidFill>
            <a:effectLst/>
            <a:latin typeface="+mn-lt"/>
            <a:ea typeface="+mn-ea"/>
            <a:cs typeface="+mn-cs"/>
          </a:endParaRPr>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endParaRPr lang="en-GB" sz="1400" b="1" i="1" u="sng">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different</a:t>
          </a:r>
          <a:r>
            <a:rPr lang="en-GB" sz="1400" baseline="0">
              <a:solidFill>
                <a:schemeClr val="dk1"/>
              </a:solidFill>
              <a:effectLst/>
              <a:latin typeface="+mn-lt"/>
              <a:ea typeface="+mn-ea"/>
              <a:cs typeface="+mn-cs"/>
            </a:rPr>
            <a:t> variables to be considered in the inputs table.</a:t>
          </a:r>
        </a:p>
        <a:p>
          <a:pPr algn="l"/>
          <a:r>
            <a:rPr lang="en-GB" sz="1400" baseline="0">
              <a:solidFill>
                <a:schemeClr val="dk1"/>
              </a:solidFill>
              <a:effectLst/>
              <a:latin typeface="+mn-lt"/>
              <a:ea typeface="+mn-ea"/>
              <a:cs typeface="+mn-cs"/>
            </a:rPr>
            <a:t>See Figure 2.</a:t>
          </a:r>
          <a:endParaRPr lang="en-GB" sz="1400">
            <a:solidFill>
              <a:schemeClr val="dk1"/>
            </a:solidFill>
            <a:effectLst/>
            <a:latin typeface="+mn-lt"/>
            <a:ea typeface="+mn-ea"/>
            <a:cs typeface="+mn-cs"/>
          </a:endParaRP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4</a:t>
          </a:r>
          <a:r>
            <a:rPr lang="en-GB" sz="1400">
              <a:solidFill>
                <a:schemeClr val="dk1"/>
              </a:solidFill>
              <a:effectLst/>
              <a:latin typeface="+mn-lt"/>
              <a:ea typeface="+mn-ea"/>
              <a:cs typeface="+mn-cs"/>
            </a:rPr>
            <a:t>. The first two buttons help</a:t>
          </a:r>
          <a:r>
            <a:rPr lang="en-GB" sz="1400" baseline="0">
              <a:solidFill>
                <a:schemeClr val="dk1"/>
              </a:solidFill>
              <a:effectLst/>
              <a:latin typeface="+mn-lt"/>
              <a:ea typeface="+mn-ea"/>
              <a:cs typeface="+mn-cs"/>
            </a:rPr>
            <a:t> to run the Binomial Model and the Black-Scholes respectively. If case there is any misunderstanding or review, you can go back by pressing on the "Go to ReadMe Sheet" button or go on the GitHub website in order to have a look on the theories and their formulae computations. The "Go to Airbus-Market" sheet which is crucial for the other part of the assignment helps you to access the market data of Airbus. The history of the prices frames from 16/09/2009 to  18/10/2021. For the dividend, the exchange rate ranges from 31/12/2010 to 31/12/2019. Likewise, you can go back by pressing the "Go to ReadMe sheet" and the "Go to Inputs Sheet" buttons.</a:t>
          </a:r>
          <a:endParaRPr lang="en-GB" sz="1400">
            <a:solidFill>
              <a:schemeClr val="dk1"/>
            </a:solidFill>
            <a:effectLst/>
            <a:latin typeface="+mn-lt"/>
            <a:ea typeface="+mn-ea"/>
            <a:cs typeface="+mn-cs"/>
          </a:endParaRPr>
        </a:p>
        <a:p>
          <a:pPr algn="l"/>
          <a:endParaRPr lang="en-GB" sz="1400">
            <a:solidFill>
              <a:schemeClr val="dk1"/>
            </a:solidFill>
            <a:effectLst/>
            <a:latin typeface="+mn-lt"/>
            <a:ea typeface="+mn-ea"/>
            <a:cs typeface="+mn-cs"/>
          </a:endParaRPr>
        </a:p>
        <a:p>
          <a:pPr algn="l"/>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050"/>
        </a:p>
        <a:p>
          <a:r>
            <a:rPr lang="es-ES" sz="1050" i="1"/>
            <a:t>                             Figure</a:t>
          </a:r>
          <a:r>
            <a:rPr lang="es-ES" sz="1050" i="1" baseline="0"/>
            <a:t> 4 : Run Button</a:t>
          </a:r>
          <a:endParaRPr lang="es-ES" sz="1050" i="1"/>
        </a:p>
        <a:p>
          <a:endParaRPr lang="es-ES" sz="1200"/>
        </a:p>
        <a:p>
          <a:r>
            <a:rPr lang="es-ES" sz="1400"/>
            <a:t>While</a:t>
          </a:r>
          <a:r>
            <a:rPr lang="es-ES" sz="1400" baseline="0"/>
            <a:t> pressing on the "Current Market Data" button, you will be directed on the sheet, the historical prices are plotted respective to the data and automatically changes accordingly. The historical data can be updated by clicking on the button shown in </a:t>
          </a:r>
          <a:r>
            <a:rPr lang="es-ES" sz="1400" i="1" baseline="0"/>
            <a:t>Figure 5</a:t>
          </a:r>
          <a:r>
            <a:rPr lang="es-ES" sz="1400" baseline="0"/>
            <a:t>. </a:t>
          </a:r>
        </a:p>
        <a:p>
          <a:endParaRPr lang="es-ES" sz="1400" baseline="0"/>
        </a:p>
        <a:p>
          <a:endParaRPr lang="es-ES" sz="1400"/>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endParaRPr lang="es-ES" sz="1400" b="1" i="1" u="sng" baseline="0">
            <a:latin typeface="+mj-lt"/>
          </a:endParaRPr>
        </a:p>
        <a:p>
          <a:endParaRPr lang="es-ES" sz="1400" b="1" i="1" u="sng" baseline="0">
            <a:latin typeface="+mj-lt"/>
          </a:endParaRPr>
        </a:p>
        <a:p>
          <a:r>
            <a:rPr lang="es-ES" sz="1050" b="0" i="1" u="none" baseline="0">
              <a:latin typeface="+mj-lt"/>
            </a:rPr>
            <a:t>                             Figure 5 : Button</a:t>
          </a:r>
        </a:p>
        <a:p>
          <a:endParaRPr lang="es-ES" sz="1400" b="1" i="1" u="sng" baseline="0">
            <a:latin typeface="+mj-lt"/>
          </a:endParaRPr>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If the user is willing to access current data and have the volatility with the recent data, this is the right place. The user must go through the net to have access to the data by accessing to the market data in real-time (the Excel file is connected through the Yahoo Finance website by the Power Query request). It is to note that this is applied to Windows users and </a:t>
          </a:r>
          <a:r>
            <a:rPr lang="es-ES" sz="1400" b="1" baseline="0">
              <a:solidFill>
                <a:schemeClr val="dk1"/>
              </a:solidFill>
              <a:effectLst/>
              <a:latin typeface="+mn-lt"/>
              <a:ea typeface="+mn-ea"/>
              <a:cs typeface="+mn-cs"/>
            </a:rPr>
            <a:t>NOT</a:t>
          </a:r>
          <a:r>
            <a:rPr lang="es-ES" sz="1400" baseline="0">
              <a:solidFill>
                <a:schemeClr val="dk1"/>
              </a:solidFill>
              <a:effectLst/>
              <a:latin typeface="+mn-lt"/>
              <a:ea typeface="+mn-ea"/>
              <a:cs typeface="+mn-cs"/>
            </a:rPr>
            <a:t> to MAC users.The user can chose whatever underlying he is willing to use by entering the underlying stock ticker in the cell as shown below:</a:t>
          </a:r>
          <a:endParaRPr lang="en-GB" sz="1400">
            <a:effectLst/>
          </a:endParaRPr>
        </a:p>
        <a:p>
          <a:endParaRPr lang="es-ES" sz="1400" baseline="0"/>
        </a:p>
        <a:p>
          <a:endParaRPr lang="es-ES" sz="1400" baseline="0"/>
        </a:p>
        <a:p>
          <a:endParaRPr lang="es-ES" sz="1400" baseline="0"/>
        </a:p>
        <a:p>
          <a:endParaRPr lang="es-ES" sz="1400" baseline="0"/>
        </a:p>
        <a:p>
          <a:r>
            <a:rPr lang="es-ES" sz="1400" baseline="0"/>
            <a:t>If the Power Query is used for the first time, a window will appear as shown below. You just need to check on the "Ignore privacy..." option.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xdr:txBody>
    </xdr:sp>
    <xdr:clientData/>
  </xdr:twoCellAnchor>
  <xdr:oneCellAnchor>
    <xdr:from>
      <xdr:col>6</xdr:col>
      <xdr:colOff>510540</xdr:colOff>
      <xdr:row>18</xdr:row>
      <xdr:rowOff>340360</xdr:rowOff>
    </xdr:from>
    <xdr:ext cx="454660" cy="408940"/>
    <xdr:pic>
      <xdr:nvPicPr>
        <xdr:cNvPr id="9" name="image3.png">
          <a:extLst>
            <a:ext uri="{FF2B5EF4-FFF2-40B4-BE49-F238E27FC236}">
              <a16:creationId xmlns:a16="http://schemas.microsoft.com/office/drawing/2014/main" id="{C27CD021-D5E2-4B58-ACD4-CC8A856C6066}"/>
            </a:ext>
          </a:extLst>
        </xdr:cNvPr>
        <xdr:cNvPicPr preferRelativeResize="0"/>
      </xdr:nvPicPr>
      <xdr:blipFill>
        <a:blip xmlns:r="http://schemas.openxmlformats.org/officeDocument/2006/relationships" r:embed="rId2" cstate="print"/>
        <a:stretch>
          <a:fillRect/>
        </a:stretch>
      </xdr:blipFill>
      <xdr:spPr>
        <a:xfrm>
          <a:off x="3985260" y="4828540"/>
          <a:ext cx="454660" cy="408940"/>
        </a:xfrm>
        <a:prstGeom prst="rect">
          <a:avLst/>
        </a:prstGeom>
        <a:noFill/>
      </xdr:spPr>
    </xdr:pic>
    <xdr:clientData fLocksWithSheet="0"/>
  </xdr:oneCellAnchor>
  <xdr:twoCellAnchor>
    <xdr:from>
      <xdr:col>6</xdr:col>
      <xdr:colOff>355600</xdr:colOff>
      <xdr:row>18</xdr:row>
      <xdr:rowOff>292099</xdr:rowOff>
    </xdr:from>
    <xdr:to>
      <xdr:col>15</xdr:col>
      <xdr:colOff>85725</xdr:colOff>
      <xdr:row>18</xdr:row>
      <xdr:rowOff>942974</xdr:rowOff>
    </xdr:to>
    <xdr:sp macro="" textlink="">
      <xdr:nvSpPr>
        <xdr:cNvPr id="10" name="Rectangle 9">
          <a:extLst>
            <a:ext uri="{FF2B5EF4-FFF2-40B4-BE49-F238E27FC236}">
              <a16:creationId xmlns:a16="http://schemas.microsoft.com/office/drawing/2014/main" id="{876A1366-0E9D-4FAE-8658-D9BE57C6CA2A}"/>
            </a:ext>
          </a:extLst>
        </xdr:cNvPr>
        <xdr:cNvSpPr/>
      </xdr:nvSpPr>
      <xdr:spPr>
        <a:xfrm>
          <a:off x="3830320" y="4780279"/>
          <a:ext cx="4942205" cy="650875"/>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27</xdr:row>
      <xdr:rowOff>76201</xdr:rowOff>
    </xdr:from>
    <xdr:to>
      <xdr:col>12</xdr:col>
      <xdr:colOff>361950</xdr:colOff>
      <xdr:row>30</xdr:row>
      <xdr:rowOff>171451</xdr:rowOff>
    </xdr:to>
    <xdr:pic>
      <xdr:nvPicPr>
        <xdr:cNvPr id="11" name="Picture 16">
          <a:extLst>
            <a:ext uri="{FF2B5EF4-FFF2-40B4-BE49-F238E27FC236}">
              <a16:creationId xmlns:a16="http://schemas.microsoft.com/office/drawing/2014/main" id="{70E48652-B49E-4FF1-B159-383649E32A1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7520941"/>
          <a:ext cx="7311390" cy="712470"/>
        </a:xfrm>
        <a:prstGeom prst="rect">
          <a:avLst/>
        </a:prstGeom>
        <a:ln>
          <a:solidFill>
            <a:schemeClr val="tx2"/>
          </a:solidFill>
        </a:ln>
        <a:effectLst>
          <a:softEdge rad="112500"/>
        </a:effectLst>
      </xdr:spPr>
    </xdr:pic>
    <xdr:clientData/>
  </xdr:twoCellAnchor>
  <xdr:twoCellAnchor>
    <xdr:from>
      <xdr:col>8</xdr:col>
      <xdr:colOff>476251</xdr:colOff>
      <xdr:row>28</xdr:row>
      <xdr:rowOff>123824</xdr:rowOff>
    </xdr:from>
    <xdr:to>
      <xdr:col>10</xdr:col>
      <xdr:colOff>428625</xdr:colOff>
      <xdr:row>30</xdr:row>
      <xdr:rowOff>9524</xdr:rowOff>
    </xdr:to>
    <xdr:sp macro="" textlink="">
      <xdr:nvSpPr>
        <xdr:cNvPr id="12" name="Rectangle 11">
          <a:extLst>
            <a:ext uri="{FF2B5EF4-FFF2-40B4-BE49-F238E27FC236}">
              <a16:creationId xmlns:a16="http://schemas.microsoft.com/office/drawing/2014/main" id="{3B820D57-09D4-4D1F-B8F1-E79D3E8D253C}"/>
            </a:ext>
          </a:extLst>
        </xdr:cNvPr>
        <xdr:cNvSpPr/>
      </xdr:nvSpPr>
      <xdr:spPr>
        <a:xfrm>
          <a:off x="5109211" y="7797164"/>
          <a:ext cx="1110614" cy="274320"/>
        </a:xfrm>
        <a:prstGeom prst="rect">
          <a:avLst/>
        </a:prstGeom>
        <a:noFill/>
        <a:ln w="38100">
          <a:solidFill>
            <a:srgbClr val="8A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10</xdr:col>
      <xdr:colOff>457201</xdr:colOff>
      <xdr:row>29</xdr:row>
      <xdr:rowOff>76200</xdr:rowOff>
    </xdr:from>
    <xdr:to>
      <xdr:col>11</xdr:col>
      <xdr:colOff>323850</xdr:colOff>
      <xdr:row>29</xdr:row>
      <xdr:rowOff>77301</xdr:rowOff>
    </xdr:to>
    <xdr:cxnSp macro="">
      <xdr:nvCxnSpPr>
        <xdr:cNvPr id="13" name="Straight Arrow Connector 20">
          <a:extLst>
            <a:ext uri="{FF2B5EF4-FFF2-40B4-BE49-F238E27FC236}">
              <a16:creationId xmlns:a16="http://schemas.microsoft.com/office/drawing/2014/main" id="{5179A815-5E3A-42D9-8E7B-E7048D84A70B}"/>
            </a:ext>
          </a:extLst>
        </xdr:cNvPr>
        <xdr:cNvCxnSpPr/>
      </xdr:nvCxnSpPr>
      <xdr:spPr>
        <a:xfrm flipH="1">
          <a:off x="6248401" y="7940040"/>
          <a:ext cx="445769" cy="11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11</xdr:col>
      <xdr:colOff>295275</xdr:colOff>
      <xdr:row>28</xdr:row>
      <xdr:rowOff>142876</xdr:rowOff>
    </xdr:from>
    <xdr:to>
      <xdr:col>12</xdr:col>
      <xdr:colOff>419875</xdr:colOff>
      <xdr:row>30</xdr:row>
      <xdr:rowOff>38100</xdr:rowOff>
    </xdr:to>
    <xdr:pic>
      <xdr:nvPicPr>
        <xdr:cNvPr id="14" name="Picture 22">
          <a:extLst>
            <a:ext uri="{FF2B5EF4-FFF2-40B4-BE49-F238E27FC236}">
              <a16:creationId xmlns:a16="http://schemas.microsoft.com/office/drawing/2014/main" id="{75D94B8A-F732-4FC3-8E59-98C562D2A9A5}"/>
            </a:ext>
          </a:extLst>
        </xdr:cNvPr>
        <xdr:cNvPicPr>
          <a:picLocks noChangeAspect="1"/>
        </xdr:cNvPicPr>
      </xdr:nvPicPr>
      <xdr:blipFill>
        <a:blip xmlns:r="http://schemas.openxmlformats.org/officeDocument/2006/relationships" r:embed="rId5"/>
        <a:stretch>
          <a:fillRect/>
        </a:stretch>
      </xdr:blipFill>
      <xdr:spPr>
        <a:xfrm>
          <a:off x="6665595" y="7816216"/>
          <a:ext cx="703720" cy="283844"/>
        </a:xfrm>
        <a:prstGeom prst="rect">
          <a:avLst/>
        </a:prstGeom>
      </xdr:spPr>
    </xdr:pic>
    <xdr:clientData/>
  </xdr:twoCellAnchor>
  <xdr:twoCellAnchor>
    <xdr:from>
      <xdr:col>6</xdr:col>
      <xdr:colOff>95251</xdr:colOff>
      <xdr:row>36</xdr:row>
      <xdr:rowOff>66675</xdr:rowOff>
    </xdr:from>
    <xdr:to>
      <xdr:col>6</xdr:col>
      <xdr:colOff>552450</xdr:colOff>
      <xdr:row>36</xdr:row>
      <xdr:rowOff>75395</xdr:rowOff>
    </xdr:to>
    <xdr:cxnSp macro="">
      <xdr:nvCxnSpPr>
        <xdr:cNvPr id="15" name="Straight Arrow Connector 24">
          <a:extLst>
            <a:ext uri="{FF2B5EF4-FFF2-40B4-BE49-F238E27FC236}">
              <a16:creationId xmlns:a16="http://schemas.microsoft.com/office/drawing/2014/main" id="{8CF29A08-D3B6-4998-B57A-30A418B1BB56}"/>
            </a:ext>
          </a:extLst>
        </xdr:cNvPr>
        <xdr:cNvCxnSpPr/>
      </xdr:nvCxnSpPr>
      <xdr:spPr>
        <a:xfrm flipH="1">
          <a:off x="3569971" y="9317355"/>
          <a:ext cx="457199" cy="8720"/>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514350</xdr:colOff>
      <xdr:row>35</xdr:row>
      <xdr:rowOff>131444</xdr:rowOff>
    </xdr:from>
    <xdr:to>
      <xdr:col>8</xdr:col>
      <xdr:colOff>57925</xdr:colOff>
      <xdr:row>37</xdr:row>
      <xdr:rowOff>17143</xdr:rowOff>
    </xdr:to>
    <xdr:pic>
      <xdr:nvPicPr>
        <xdr:cNvPr id="16" name="Picture 25">
          <a:extLst>
            <a:ext uri="{FF2B5EF4-FFF2-40B4-BE49-F238E27FC236}">
              <a16:creationId xmlns:a16="http://schemas.microsoft.com/office/drawing/2014/main" id="{5B02A894-C4D8-4FA3-96CA-1EB2599174B1}"/>
            </a:ext>
          </a:extLst>
        </xdr:cNvPr>
        <xdr:cNvPicPr>
          <a:picLocks noChangeAspect="1"/>
        </xdr:cNvPicPr>
      </xdr:nvPicPr>
      <xdr:blipFill>
        <a:blip xmlns:r="http://schemas.openxmlformats.org/officeDocument/2006/relationships" r:embed="rId5"/>
        <a:stretch>
          <a:fillRect/>
        </a:stretch>
      </xdr:blipFill>
      <xdr:spPr>
        <a:xfrm>
          <a:off x="3989070" y="9184004"/>
          <a:ext cx="701815" cy="281939"/>
        </a:xfrm>
        <a:prstGeom prst="rect">
          <a:avLst/>
        </a:prstGeom>
      </xdr:spPr>
    </xdr:pic>
    <xdr:clientData/>
  </xdr:twoCellAnchor>
  <xdr:twoCellAnchor>
    <xdr:from>
      <xdr:col>3</xdr:col>
      <xdr:colOff>133349</xdr:colOff>
      <xdr:row>34</xdr:row>
      <xdr:rowOff>66676</xdr:rowOff>
    </xdr:from>
    <xdr:to>
      <xdr:col>6</xdr:col>
      <xdr:colOff>57149</xdr:colOff>
      <xdr:row>38</xdr:row>
      <xdr:rowOff>114300</xdr:rowOff>
    </xdr:to>
    <xdr:sp macro="" textlink="">
      <xdr:nvSpPr>
        <xdr:cNvPr id="17" name="Rectangle 16">
          <a:extLst>
            <a:ext uri="{FF2B5EF4-FFF2-40B4-BE49-F238E27FC236}">
              <a16:creationId xmlns:a16="http://schemas.microsoft.com/office/drawing/2014/main" id="{EE032D64-1896-4916-9F28-16A4F1279A04}"/>
            </a:ext>
          </a:extLst>
        </xdr:cNvPr>
        <xdr:cNvSpPr/>
      </xdr:nvSpPr>
      <xdr:spPr>
        <a:xfrm>
          <a:off x="1870709" y="8921116"/>
          <a:ext cx="1661160" cy="840104"/>
        </a:xfrm>
        <a:prstGeom prst="rect">
          <a:avLst/>
        </a:prstGeom>
        <a:noFill/>
        <a:ln w="38100">
          <a:solidFill>
            <a:srgbClr val="8A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oneCell">
    <xdr:from>
      <xdr:col>2</xdr:col>
      <xdr:colOff>284418</xdr:colOff>
      <xdr:row>76</xdr:row>
      <xdr:rowOff>31034</xdr:rowOff>
    </xdr:from>
    <xdr:to>
      <xdr:col>8</xdr:col>
      <xdr:colOff>505398</xdr:colOff>
      <xdr:row>80</xdr:row>
      <xdr:rowOff>68426</xdr:rowOff>
    </xdr:to>
    <xdr:pic>
      <xdr:nvPicPr>
        <xdr:cNvPr id="18" name="Image 11">
          <a:extLst>
            <a:ext uri="{FF2B5EF4-FFF2-40B4-BE49-F238E27FC236}">
              <a16:creationId xmlns:a16="http://schemas.microsoft.com/office/drawing/2014/main" id="{B9EF719D-1C9F-43D7-8D7D-4765A55D2AD6}"/>
            </a:ext>
          </a:extLst>
        </xdr:cNvPr>
        <xdr:cNvPicPr>
          <a:picLocks noChangeAspect="1"/>
        </xdr:cNvPicPr>
      </xdr:nvPicPr>
      <xdr:blipFill>
        <a:blip xmlns:r="http://schemas.openxmlformats.org/officeDocument/2006/relationships" r:embed="rId6"/>
        <a:stretch>
          <a:fillRect/>
        </a:stretch>
      </xdr:blipFill>
      <xdr:spPr>
        <a:xfrm>
          <a:off x="1447902" y="17122776"/>
          <a:ext cx="3711431" cy="823973"/>
        </a:xfrm>
        <a:prstGeom prst="rect">
          <a:avLst/>
        </a:prstGeom>
        <a:ln>
          <a:solidFill>
            <a:sysClr val="windowText" lastClr="000000"/>
          </a:solidFill>
        </a:ln>
      </xdr:spPr>
    </xdr:pic>
    <xdr:clientData/>
  </xdr:twoCellAnchor>
  <xdr:twoCellAnchor editAs="oneCell">
    <xdr:from>
      <xdr:col>1</xdr:col>
      <xdr:colOff>304801</xdr:colOff>
      <xdr:row>102</xdr:row>
      <xdr:rowOff>38099</xdr:rowOff>
    </xdr:from>
    <xdr:to>
      <xdr:col>3</xdr:col>
      <xdr:colOff>360271</xdr:colOff>
      <xdr:row>117</xdr:row>
      <xdr:rowOff>10105</xdr:rowOff>
    </xdr:to>
    <xdr:pic>
      <xdr:nvPicPr>
        <xdr:cNvPr id="19" name="Picture 34">
          <a:extLst>
            <a:ext uri="{FF2B5EF4-FFF2-40B4-BE49-F238E27FC236}">
              <a16:creationId xmlns:a16="http://schemas.microsoft.com/office/drawing/2014/main" id="{276BD491-F310-42AC-9E20-BCBB6F7024A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3921" y="22364699"/>
          <a:ext cx="1213710" cy="2943806"/>
        </a:xfrm>
        <a:prstGeom prst="rect">
          <a:avLst/>
        </a:prstGeom>
        <a:ln>
          <a:solidFill>
            <a:sysClr val="windowText" lastClr="000000"/>
          </a:solidFill>
        </a:ln>
      </xdr:spPr>
    </xdr:pic>
    <xdr:clientData/>
  </xdr:twoCellAnchor>
  <xdr:twoCellAnchor editAs="oneCell">
    <xdr:from>
      <xdr:col>0</xdr:col>
      <xdr:colOff>304800</xdr:colOff>
      <xdr:row>123</xdr:row>
      <xdr:rowOff>28575</xdr:rowOff>
    </xdr:from>
    <xdr:to>
      <xdr:col>3</xdr:col>
      <xdr:colOff>95464</xdr:colOff>
      <xdr:row>134</xdr:row>
      <xdr:rowOff>114619</xdr:rowOff>
    </xdr:to>
    <xdr:pic>
      <xdr:nvPicPr>
        <xdr:cNvPr id="20" name="Picture 36">
          <a:extLst>
            <a:ext uri="{FF2B5EF4-FFF2-40B4-BE49-F238E27FC236}">
              <a16:creationId xmlns:a16="http://schemas.microsoft.com/office/drawing/2014/main" id="{563AD42F-37E3-44CC-A7BD-11277294CA1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4800" y="26515695"/>
          <a:ext cx="1528024" cy="2265364"/>
        </a:xfrm>
        <a:prstGeom prst="rect">
          <a:avLst/>
        </a:prstGeom>
      </xdr:spPr>
    </xdr:pic>
    <xdr:clientData/>
  </xdr:twoCellAnchor>
  <xdr:twoCellAnchor>
    <xdr:from>
      <xdr:col>0</xdr:col>
      <xdr:colOff>447674</xdr:colOff>
      <xdr:row>124</xdr:row>
      <xdr:rowOff>9525</xdr:rowOff>
    </xdr:from>
    <xdr:to>
      <xdr:col>2</xdr:col>
      <xdr:colOff>476249</xdr:colOff>
      <xdr:row>125</xdr:row>
      <xdr:rowOff>114300</xdr:rowOff>
    </xdr:to>
    <xdr:sp macro="" textlink="">
      <xdr:nvSpPr>
        <xdr:cNvPr id="21" name="Rectangle 20">
          <a:extLst>
            <a:ext uri="{FF2B5EF4-FFF2-40B4-BE49-F238E27FC236}">
              <a16:creationId xmlns:a16="http://schemas.microsoft.com/office/drawing/2014/main" id="{4ADAFBE1-C4A8-480F-ACB7-F4B4D7C9C2DD}"/>
            </a:ext>
          </a:extLst>
        </xdr:cNvPr>
        <xdr:cNvSpPr/>
      </xdr:nvSpPr>
      <xdr:spPr>
        <a:xfrm>
          <a:off x="447674" y="26694765"/>
          <a:ext cx="1186815" cy="302895"/>
        </a:xfrm>
        <a:prstGeom prst="rect">
          <a:avLst/>
        </a:prstGeom>
        <a:noFill/>
        <a:ln w="38100">
          <a:solidFill>
            <a:srgbClr val="8A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xdr:col>
      <xdr:colOff>504825</xdr:colOff>
      <xdr:row>124</xdr:row>
      <xdr:rowOff>142875</xdr:rowOff>
    </xdr:from>
    <xdr:to>
      <xdr:col>3</xdr:col>
      <xdr:colOff>371474</xdr:colOff>
      <xdr:row>124</xdr:row>
      <xdr:rowOff>143976</xdr:rowOff>
    </xdr:to>
    <xdr:cxnSp macro="">
      <xdr:nvCxnSpPr>
        <xdr:cNvPr id="22" name="Straight Arrow Connector 39">
          <a:extLst>
            <a:ext uri="{FF2B5EF4-FFF2-40B4-BE49-F238E27FC236}">
              <a16:creationId xmlns:a16="http://schemas.microsoft.com/office/drawing/2014/main" id="{6F4BAF72-85F2-465B-B062-A4087DCA0767}"/>
            </a:ext>
          </a:extLst>
        </xdr:cNvPr>
        <xdr:cNvCxnSpPr/>
      </xdr:nvCxnSpPr>
      <xdr:spPr>
        <a:xfrm flipH="1">
          <a:off x="1663065" y="26828115"/>
          <a:ext cx="445769" cy="11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323850</xdr:colOff>
      <xdr:row>123</xdr:row>
      <xdr:rowOff>198119</xdr:rowOff>
    </xdr:from>
    <xdr:to>
      <xdr:col>4</xdr:col>
      <xdr:colOff>448450</xdr:colOff>
      <xdr:row>125</xdr:row>
      <xdr:rowOff>83818</xdr:rowOff>
    </xdr:to>
    <xdr:pic>
      <xdr:nvPicPr>
        <xdr:cNvPr id="23" name="Picture 40">
          <a:extLst>
            <a:ext uri="{FF2B5EF4-FFF2-40B4-BE49-F238E27FC236}">
              <a16:creationId xmlns:a16="http://schemas.microsoft.com/office/drawing/2014/main" id="{1CF191B9-06AC-4007-AE66-7D6663661D92}"/>
            </a:ext>
          </a:extLst>
        </xdr:cNvPr>
        <xdr:cNvPicPr>
          <a:picLocks noChangeAspect="1"/>
        </xdr:cNvPicPr>
      </xdr:nvPicPr>
      <xdr:blipFill>
        <a:blip xmlns:r="http://schemas.openxmlformats.org/officeDocument/2006/relationships" r:embed="rId5"/>
        <a:stretch>
          <a:fillRect/>
        </a:stretch>
      </xdr:blipFill>
      <xdr:spPr>
        <a:xfrm>
          <a:off x="2061210" y="26685239"/>
          <a:ext cx="703720" cy="281939"/>
        </a:xfrm>
        <a:prstGeom prst="rect">
          <a:avLst/>
        </a:prstGeom>
      </xdr:spPr>
    </xdr:pic>
    <xdr:clientData/>
  </xdr:twoCellAnchor>
  <xdr:twoCellAnchor editAs="oneCell">
    <xdr:from>
      <xdr:col>0</xdr:col>
      <xdr:colOff>332044</xdr:colOff>
      <xdr:row>140</xdr:row>
      <xdr:rowOff>58277</xdr:rowOff>
    </xdr:from>
    <xdr:to>
      <xdr:col>5</xdr:col>
      <xdr:colOff>8554</xdr:colOff>
      <xdr:row>141</xdr:row>
      <xdr:rowOff>169241</xdr:rowOff>
    </xdr:to>
    <xdr:pic>
      <xdr:nvPicPr>
        <xdr:cNvPr id="24" name="Picture 41">
          <a:extLst>
            <a:ext uri="{FF2B5EF4-FFF2-40B4-BE49-F238E27FC236}">
              <a16:creationId xmlns:a16="http://schemas.microsoft.com/office/drawing/2014/main" id="{B3E29A28-03DC-4B04-A17E-DC782D0C9308}"/>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32044" y="29735309"/>
          <a:ext cx="2585220" cy="30760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409575</xdr:colOff>
      <xdr:row>152</xdr:row>
      <xdr:rowOff>9525</xdr:rowOff>
    </xdr:from>
    <xdr:to>
      <xdr:col>9</xdr:col>
      <xdr:colOff>552450</xdr:colOff>
      <xdr:row>164</xdr:row>
      <xdr:rowOff>121982</xdr:rowOff>
    </xdr:to>
    <xdr:pic>
      <xdr:nvPicPr>
        <xdr:cNvPr id="25" name="Picture 43">
          <a:extLst>
            <a:ext uri="{FF2B5EF4-FFF2-40B4-BE49-F238E27FC236}">
              <a16:creationId xmlns:a16="http://schemas.microsoft.com/office/drawing/2014/main" id="{44F4580D-F6B1-4A94-B1D2-4AB12B25850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09575" y="32046299"/>
          <a:ext cx="5378552" cy="2472199"/>
        </a:xfrm>
        <a:prstGeom prst="rect">
          <a:avLst/>
        </a:prstGeom>
      </xdr:spPr>
    </xdr:pic>
    <xdr:clientData/>
  </xdr:twoCellAnchor>
  <xdr:twoCellAnchor>
    <xdr:from>
      <xdr:col>0</xdr:col>
      <xdr:colOff>457200</xdr:colOff>
      <xdr:row>157</xdr:row>
      <xdr:rowOff>66675</xdr:rowOff>
    </xdr:from>
    <xdr:to>
      <xdr:col>9</xdr:col>
      <xdr:colOff>323850</xdr:colOff>
      <xdr:row>159</xdr:row>
      <xdr:rowOff>47625</xdr:rowOff>
    </xdr:to>
    <xdr:sp macro="" textlink="">
      <xdr:nvSpPr>
        <xdr:cNvPr id="26" name="Rectangle 25">
          <a:extLst>
            <a:ext uri="{FF2B5EF4-FFF2-40B4-BE49-F238E27FC236}">
              <a16:creationId xmlns:a16="http://schemas.microsoft.com/office/drawing/2014/main" id="{9023479B-99D3-482E-BC81-264315F21138}"/>
            </a:ext>
          </a:extLst>
        </xdr:cNvPr>
        <xdr:cNvSpPr/>
      </xdr:nvSpPr>
      <xdr:spPr>
        <a:xfrm>
          <a:off x="457200" y="33289875"/>
          <a:ext cx="5078730" cy="377190"/>
        </a:xfrm>
        <a:prstGeom prst="rect">
          <a:avLst/>
        </a:prstGeom>
        <a:noFill/>
        <a:ln w="38100">
          <a:solidFill>
            <a:srgbClr val="8A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9</xdr:col>
      <xdr:colOff>342900</xdr:colOff>
      <xdr:row>158</xdr:row>
      <xdr:rowOff>38100</xdr:rowOff>
    </xdr:from>
    <xdr:to>
      <xdr:col>10</xdr:col>
      <xdr:colOff>209549</xdr:colOff>
      <xdr:row>158</xdr:row>
      <xdr:rowOff>39201</xdr:rowOff>
    </xdr:to>
    <xdr:cxnSp macro="">
      <xdr:nvCxnSpPr>
        <xdr:cNvPr id="27" name="Straight Arrow Connector 47">
          <a:extLst>
            <a:ext uri="{FF2B5EF4-FFF2-40B4-BE49-F238E27FC236}">
              <a16:creationId xmlns:a16="http://schemas.microsoft.com/office/drawing/2014/main" id="{2C202541-378C-4948-81D0-6DBDEDC80601}"/>
            </a:ext>
          </a:extLst>
        </xdr:cNvPr>
        <xdr:cNvCxnSpPr/>
      </xdr:nvCxnSpPr>
      <xdr:spPr>
        <a:xfrm flipH="1">
          <a:off x="5554980" y="33459420"/>
          <a:ext cx="445769" cy="1101"/>
        </a:xfrm>
        <a:prstGeom prst="straightConnector1">
          <a:avLst/>
        </a:prstGeom>
        <a:ln w="19050">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10</xdr:col>
      <xdr:colOff>180975</xdr:colOff>
      <xdr:row>157</xdr:row>
      <xdr:rowOff>95250</xdr:rowOff>
    </xdr:from>
    <xdr:to>
      <xdr:col>11</xdr:col>
      <xdr:colOff>305575</xdr:colOff>
      <xdr:row>158</xdr:row>
      <xdr:rowOff>180974</xdr:rowOff>
    </xdr:to>
    <xdr:pic>
      <xdr:nvPicPr>
        <xdr:cNvPr id="28" name="Picture 48">
          <a:extLst>
            <a:ext uri="{FF2B5EF4-FFF2-40B4-BE49-F238E27FC236}">
              <a16:creationId xmlns:a16="http://schemas.microsoft.com/office/drawing/2014/main" id="{13CF0EC0-BEDD-42D4-9DFE-87F10628F1E7}"/>
            </a:ext>
          </a:extLst>
        </xdr:cNvPr>
        <xdr:cNvPicPr>
          <a:picLocks noChangeAspect="1"/>
        </xdr:cNvPicPr>
      </xdr:nvPicPr>
      <xdr:blipFill>
        <a:blip xmlns:r="http://schemas.openxmlformats.org/officeDocument/2006/relationships" r:embed="rId5"/>
        <a:stretch>
          <a:fillRect/>
        </a:stretch>
      </xdr:blipFill>
      <xdr:spPr>
        <a:xfrm>
          <a:off x="5972175" y="33318450"/>
          <a:ext cx="703720" cy="283844"/>
        </a:xfrm>
        <a:prstGeom prst="rect">
          <a:avLst/>
        </a:prstGeom>
      </xdr:spPr>
    </xdr:pic>
    <xdr:clientData/>
  </xdr:twoCellAnchor>
  <xdr:twoCellAnchor editAs="oneCell">
    <xdr:from>
      <xdr:col>3</xdr:col>
      <xdr:colOff>57150</xdr:colOff>
      <xdr:row>182</xdr:row>
      <xdr:rowOff>180975</xdr:rowOff>
    </xdr:from>
    <xdr:to>
      <xdr:col>6</xdr:col>
      <xdr:colOff>19288</xdr:colOff>
      <xdr:row>186</xdr:row>
      <xdr:rowOff>162034</xdr:rowOff>
    </xdr:to>
    <xdr:pic>
      <xdr:nvPicPr>
        <xdr:cNvPr id="30" name="Picture 8">
          <a:extLst>
            <a:ext uri="{FF2B5EF4-FFF2-40B4-BE49-F238E27FC236}">
              <a16:creationId xmlns:a16="http://schemas.microsoft.com/office/drawing/2014/main" id="{0121FC2C-6872-4A71-BF59-1F447CFA7D2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794510" y="38357175"/>
          <a:ext cx="1699498" cy="773539"/>
        </a:xfrm>
        <a:prstGeom prst="rect">
          <a:avLst/>
        </a:prstGeom>
      </xdr:spPr>
    </xdr:pic>
    <xdr:clientData/>
  </xdr:twoCellAnchor>
  <xdr:twoCellAnchor editAs="oneCell">
    <xdr:from>
      <xdr:col>0</xdr:col>
      <xdr:colOff>381000</xdr:colOff>
      <xdr:row>190</xdr:row>
      <xdr:rowOff>38100</xdr:rowOff>
    </xdr:from>
    <xdr:to>
      <xdr:col>3</xdr:col>
      <xdr:colOff>352664</xdr:colOff>
      <xdr:row>194</xdr:row>
      <xdr:rowOff>171580</xdr:rowOff>
    </xdr:to>
    <xdr:pic>
      <xdr:nvPicPr>
        <xdr:cNvPr id="31" name="Picture 13">
          <a:extLst>
            <a:ext uri="{FF2B5EF4-FFF2-40B4-BE49-F238E27FC236}">
              <a16:creationId xmlns:a16="http://schemas.microsoft.com/office/drawing/2014/main" id="{DB9C082A-BB58-4678-A422-2EA6A97AD01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81000" y="39799260"/>
          <a:ext cx="1709024" cy="925960"/>
        </a:xfrm>
        <a:prstGeom prst="rect">
          <a:avLst/>
        </a:prstGeom>
      </xdr:spPr>
    </xdr:pic>
    <xdr:clientData/>
  </xdr:twoCellAnchor>
  <xdr:twoCellAnchor editAs="oneCell">
    <xdr:from>
      <xdr:col>0</xdr:col>
      <xdr:colOff>228600</xdr:colOff>
      <xdr:row>198</xdr:row>
      <xdr:rowOff>0</xdr:rowOff>
    </xdr:from>
    <xdr:to>
      <xdr:col>6</xdr:col>
      <xdr:colOff>67139</xdr:colOff>
      <xdr:row>202</xdr:row>
      <xdr:rowOff>152533</xdr:rowOff>
    </xdr:to>
    <xdr:pic>
      <xdr:nvPicPr>
        <xdr:cNvPr id="32" name="Picture 27">
          <a:extLst>
            <a:ext uri="{FF2B5EF4-FFF2-40B4-BE49-F238E27FC236}">
              <a16:creationId xmlns:a16="http://schemas.microsoft.com/office/drawing/2014/main" id="{54E4F87B-4EA0-4D94-B4D1-C35F7811525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28600" y="41346120"/>
          <a:ext cx="3313259" cy="945013"/>
        </a:xfrm>
        <a:prstGeom prst="rect">
          <a:avLst/>
        </a:prstGeom>
      </xdr:spPr>
    </xdr:pic>
    <xdr:clientData/>
  </xdr:twoCellAnchor>
  <xdr:twoCellAnchor editAs="oneCell">
    <xdr:from>
      <xdr:col>0</xdr:col>
      <xdr:colOff>314325</xdr:colOff>
      <xdr:row>209</xdr:row>
      <xdr:rowOff>99654</xdr:rowOff>
    </xdr:from>
    <xdr:to>
      <xdr:col>6</xdr:col>
      <xdr:colOff>190969</xdr:colOff>
      <xdr:row>214</xdr:row>
      <xdr:rowOff>99794</xdr:rowOff>
    </xdr:to>
    <xdr:pic>
      <xdr:nvPicPr>
        <xdr:cNvPr id="33" name="Picture 29">
          <a:extLst>
            <a:ext uri="{FF2B5EF4-FFF2-40B4-BE49-F238E27FC236}">
              <a16:creationId xmlns:a16="http://schemas.microsoft.com/office/drawing/2014/main" id="{4CBD7ADF-B177-4D50-B851-8CA88F3C7C1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314325" y="43345202"/>
          <a:ext cx="3367096" cy="983366"/>
        </a:xfrm>
        <a:prstGeom prst="rect">
          <a:avLst/>
        </a:prstGeom>
      </xdr:spPr>
    </xdr:pic>
    <xdr:clientData/>
  </xdr:twoCellAnchor>
  <xdr:twoCellAnchor editAs="oneCell">
    <xdr:from>
      <xdr:col>2</xdr:col>
      <xdr:colOff>457200</xdr:colOff>
      <xdr:row>55</xdr:row>
      <xdr:rowOff>19050</xdr:rowOff>
    </xdr:from>
    <xdr:to>
      <xdr:col>8</xdr:col>
      <xdr:colOff>284907</xdr:colOff>
      <xdr:row>67</xdr:row>
      <xdr:rowOff>66675</xdr:rowOff>
    </xdr:to>
    <xdr:pic>
      <xdr:nvPicPr>
        <xdr:cNvPr id="34" name="Picture 44">
          <a:extLst>
            <a:ext uri="{FF2B5EF4-FFF2-40B4-BE49-F238E27FC236}">
              <a16:creationId xmlns:a16="http://schemas.microsoft.com/office/drawing/2014/main" id="{19E02E91-9F51-4E8C-869D-3BB756EBA652}"/>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615440" y="13034010"/>
          <a:ext cx="3302427" cy="242506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137160</xdr:colOff>
      <xdr:row>166</xdr:row>
      <xdr:rowOff>74838</xdr:rowOff>
    </xdr:from>
    <xdr:to>
      <xdr:col>14</xdr:col>
      <xdr:colOff>528311</xdr:colOff>
      <xdr:row>180</xdr:row>
      <xdr:rowOff>102449</xdr:rowOff>
    </xdr:to>
    <xdr:pic>
      <xdr:nvPicPr>
        <xdr:cNvPr id="4" name="Image 3">
          <a:extLst>
            <a:ext uri="{FF2B5EF4-FFF2-40B4-BE49-F238E27FC236}">
              <a16:creationId xmlns:a16="http://schemas.microsoft.com/office/drawing/2014/main" id="{E5BC2C81-2912-435A-B55B-A3D9D7BCD9FB}"/>
            </a:ext>
          </a:extLst>
        </xdr:cNvPr>
        <xdr:cNvPicPr>
          <a:picLocks noChangeAspect="1"/>
        </xdr:cNvPicPr>
      </xdr:nvPicPr>
      <xdr:blipFill>
        <a:blip xmlns:r="http://schemas.openxmlformats.org/officeDocument/2006/relationships" r:embed="rId16"/>
        <a:stretch>
          <a:fillRect/>
        </a:stretch>
      </xdr:blipFill>
      <xdr:spPr>
        <a:xfrm>
          <a:off x="137160" y="35088738"/>
          <a:ext cx="8498831" cy="2801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129540</xdr:colOff>
          <xdr:row>0</xdr:row>
          <xdr:rowOff>114300</xdr:rowOff>
        </xdr:from>
        <xdr:to>
          <xdr:col>21</xdr:col>
          <xdr:colOff>434340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151</xdr:row>
      <xdr:rowOff>45720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9616440"/>
          <a:ext cx="14119860" cy="22463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a:t>
          </a:r>
        </a:p>
        <a:p>
          <a:pPr algn="l"/>
          <a:r>
            <a:rPr lang="en-GB" sz="1400">
              <a:solidFill>
                <a:schemeClr val="dk1"/>
              </a:solidFill>
              <a:effectLst/>
              <a:latin typeface="+mn-lt"/>
              <a:ea typeface="+mn-ea"/>
              <a:cs typeface="+mn-cs"/>
            </a:rPr>
            <a:t>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model, both the Excel and VBA were computed to see if the same result was found. If there is any misunderstanding, stay assured as you can go back to the summarised theories and the formula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evolution along the binomial tree. However, we provide to the user the option to calculate manually the hedging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a:t>
          </a:r>
          <a:r>
            <a:rPr lang="es-ES" sz="1400" i="1" baseline="0"/>
            <a:t>Yahoo Finance </a:t>
          </a:r>
          <a:r>
            <a:rPr lang="es-ES" sz="1400" baseline="0"/>
            <a:t>throught a Power Query request). The user must have access to the internet to have access to such data.</a:t>
          </a:r>
        </a:p>
        <a:p>
          <a:r>
            <a:rPr lang="es-ES" sz="1400" baseline="0"/>
            <a:t>The user can chose whenever underlying he wants just by entering the underlying stock ticker in the following right cell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If it's the first time you are using Power Query, this window (below), might appear. You just need to check the "Ignore Privacy..." option.</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 We used power query to develop this part of our work. This excel feature is not yet available on Macbook.</a:t>
          </a:r>
          <a:endParaRPr lang="es-ES" sz="1400">
            <a:effectLst/>
          </a:endParaRPr>
        </a:p>
        <a:p>
          <a:endParaRPr lang="es-ES" sz="1400" baseline="0"/>
        </a:p>
        <a:p>
          <a:endParaRPr lang="es-ES" sz="1400" baseline="0"/>
        </a:p>
        <a:p>
          <a:endParaRPr lang="es-ES" sz="1400" baseline="0"/>
        </a:p>
      </xdr:txBody>
    </xdr:sp>
    <xdr:clientData/>
  </xdr:twoCellAnchor>
  <xdr:twoCellAnchor editAs="oneCell">
    <xdr:from>
      <xdr:col>3</xdr:col>
      <xdr:colOff>350520</xdr:colOff>
      <xdr:row>43</xdr:row>
      <xdr:rowOff>7620</xdr:rowOff>
    </xdr:from>
    <xdr:to>
      <xdr:col>9</xdr:col>
      <xdr:colOff>304800</xdr:colOff>
      <xdr:row>55</xdr:row>
      <xdr:rowOff>38402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110740" y="10645140"/>
          <a:ext cx="3474720" cy="2408222"/>
        </a:xfrm>
        <a:prstGeom prst="rect">
          <a:avLst/>
        </a:prstGeom>
      </xdr:spPr>
    </xdr:pic>
    <xdr:clientData/>
  </xdr:twoCellAnchor>
  <xdr:twoCellAnchor editAs="oneCell">
    <xdr:from>
      <xdr:col>3</xdr:col>
      <xdr:colOff>137161</xdr:colOff>
      <xdr:row>60</xdr:row>
      <xdr:rowOff>187961</xdr:rowOff>
    </xdr:from>
    <xdr:to>
      <xdr:col>9</xdr:col>
      <xdr:colOff>358141</xdr:colOff>
      <xdr:row>65</xdr:row>
      <xdr:rowOff>25329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897381" y="14193521"/>
          <a:ext cx="3741420" cy="827968"/>
        </a:xfrm>
        <a:prstGeom prst="rect">
          <a:avLst/>
        </a:prstGeom>
      </xdr:spPr>
    </xdr:pic>
    <xdr:clientData/>
  </xdr:twoCellAnchor>
  <xdr:twoCellAnchor editAs="oneCell">
    <xdr:from>
      <xdr:col>4</xdr:col>
      <xdr:colOff>297180</xdr:colOff>
      <xdr:row>83</xdr:row>
      <xdr:rowOff>53340</xdr:rowOff>
    </xdr:from>
    <xdr:to>
      <xdr:col>8</xdr:col>
      <xdr:colOff>45720</xdr:colOff>
      <xdr:row>95</xdr:row>
      <xdr:rowOff>144152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644140" y="18615660"/>
          <a:ext cx="2095500" cy="2468252"/>
        </a:xfrm>
        <a:prstGeom prst="rect">
          <a:avLst/>
        </a:prstGeom>
      </xdr:spPr>
    </xdr:pic>
    <xdr:clientData/>
  </xdr:twoCellAnchor>
  <xdr:twoCellAnchor editAs="oneCell">
    <xdr:from>
      <xdr:col>4</xdr:col>
      <xdr:colOff>419100</xdr:colOff>
      <xdr:row>100</xdr:row>
      <xdr:rowOff>109220</xdr:rowOff>
    </xdr:from>
    <xdr:to>
      <xdr:col>7</xdr:col>
      <xdr:colOff>401737</xdr:colOff>
      <xdr:row>104</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766060" y="22039580"/>
          <a:ext cx="1742857" cy="73333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312420</xdr:colOff>
      <xdr:row>114</xdr:row>
      <xdr:rowOff>142240</xdr:rowOff>
    </xdr:from>
    <xdr:to>
      <xdr:col>7</xdr:col>
      <xdr:colOff>561724</xdr:colOff>
      <xdr:row>116</xdr:row>
      <xdr:rowOff>136476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659380" y="24846280"/>
          <a:ext cx="2009524" cy="390476"/>
        </a:xfrm>
        <a:prstGeom prst="rect">
          <a:avLst/>
        </a:prstGeom>
      </xdr:spPr>
    </xdr:pic>
    <xdr:clientData/>
  </xdr:twoCellAnchor>
  <xdr:twoCellAnchor editAs="oneCell">
    <xdr:from>
      <xdr:col>4</xdr:col>
      <xdr:colOff>325120</xdr:colOff>
      <xdr:row>123</xdr:row>
      <xdr:rowOff>71120</xdr:rowOff>
    </xdr:from>
    <xdr:to>
      <xdr:col>7</xdr:col>
      <xdr:colOff>479186</xdr:colOff>
      <xdr:row>126</xdr:row>
      <xdr:rowOff>126283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672080" y="26558240"/>
          <a:ext cx="1914286" cy="64952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388620</xdr:colOff>
      <xdr:row>132</xdr:row>
      <xdr:rowOff>160837</xdr:rowOff>
    </xdr:from>
    <xdr:to>
      <xdr:col>9</xdr:col>
      <xdr:colOff>312420</xdr:colOff>
      <xdr:row>142</xdr:row>
      <xdr:rowOff>137159</xdr:rowOff>
    </xdr:to>
    <xdr:pic>
      <xdr:nvPicPr>
        <xdr:cNvPr id="18" name="Image 17" descr="Ignore Privacy Levels - Excel Off The Grid">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62100" y="28431037"/>
          <a:ext cx="4030980" cy="195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518160</xdr:colOff>
          <xdr:row>2</xdr:row>
          <xdr:rowOff>167640</xdr:rowOff>
        </xdr:from>
        <xdr:to>
          <xdr:col>3</xdr:col>
          <xdr:colOff>1386840</xdr:colOff>
          <xdr:row>5</xdr:row>
          <xdr:rowOff>22860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510540</xdr:colOff>
          <xdr:row>6</xdr:row>
          <xdr:rowOff>76200</xdr:rowOff>
        </xdr:from>
        <xdr:to>
          <xdr:col>3</xdr:col>
          <xdr:colOff>1348740</xdr:colOff>
          <xdr:row>8</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38100</xdr:rowOff>
        </xdr:from>
        <xdr:to>
          <xdr:col>3</xdr:col>
          <xdr:colOff>1333500</xdr:colOff>
          <xdr:row>11</xdr:row>
          <xdr:rowOff>175260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13</xdr:row>
          <xdr:rowOff>76200</xdr:rowOff>
        </xdr:from>
        <xdr:to>
          <xdr:col>3</xdr:col>
          <xdr:colOff>1333500</xdr:colOff>
          <xdr:row>15</xdr:row>
          <xdr:rowOff>137160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Current Market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17</xdr:row>
          <xdr:rowOff>7620</xdr:rowOff>
        </xdr:from>
        <xdr:to>
          <xdr:col>3</xdr:col>
          <xdr:colOff>1333500</xdr:colOff>
          <xdr:row>19</xdr:row>
          <xdr:rowOff>99060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Monte Carlo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861060</xdr:colOff>
          <xdr:row>6</xdr:row>
          <xdr:rowOff>175260</xdr:rowOff>
        </xdr:from>
        <xdr:to>
          <xdr:col>8</xdr:col>
          <xdr:colOff>441960</xdr:colOff>
          <xdr:row>8</xdr:row>
          <xdr:rowOff>175260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6</xdr:row>
          <xdr:rowOff>152400</xdr:rowOff>
        </xdr:from>
        <xdr:to>
          <xdr:col>11</xdr:col>
          <xdr:colOff>60960</xdr:colOff>
          <xdr:row>8</xdr:row>
          <xdr:rowOff>175260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822960</xdr:colOff>
          <xdr:row>1</xdr:row>
          <xdr:rowOff>457200</xdr:rowOff>
        </xdr:from>
        <xdr:to>
          <xdr:col>11</xdr:col>
          <xdr:colOff>0</xdr:colOff>
          <xdr:row>3</xdr:row>
          <xdr:rowOff>137160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Calculate Hedge Ratio</a:t>
              </a:r>
            </a:p>
          </xdr:txBody>
        </xdr:sp>
        <xdr:clientData fPrintsWithSheet="0"/>
      </xdr:twoCellAnchor>
    </mc:Choice>
    <mc:Fallback/>
  </mc:AlternateContent>
  <xdr:twoCellAnchor>
    <xdr:from>
      <xdr:col>24</xdr:col>
      <xdr:colOff>450246</xdr:colOff>
      <xdr:row>0</xdr:row>
      <xdr:rowOff>108856</xdr:rowOff>
    </xdr:from>
    <xdr:to>
      <xdr:col>32</xdr:col>
      <xdr:colOff>181986</xdr:colOff>
      <xdr:row>14</xdr:row>
      <xdr:rowOff>52915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133684</xdr:colOff>
      <xdr:row>0</xdr:row>
      <xdr:rowOff>130628</xdr:rowOff>
    </xdr:from>
    <xdr:to>
      <xdr:col>23</xdr:col>
      <xdr:colOff>690701</xdr:colOff>
      <xdr:row>14</xdr:row>
      <xdr:rowOff>3389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800100</xdr:colOff>
          <xdr:row>5</xdr:row>
          <xdr:rowOff>38100</xdr:rowOff>
        </xdr:from>
        <xdr:to>
          <xdr:col>7</xdr:col>
          <xdr:colOff>480060</xdr:colOff>
          <xdr:row>8</xdr:row>
          <xdr:rowOff>60960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 Monte Carlo</a:t>
              </a:r>
            </a:p>
          </xdr:txBody>
        </xdr:sp>
        <xdr:clientData fPrintsWithSheet="0"/>
      </xdr:twoCellAnchor>
    </mc:Choice>
    <mc:Fallback/>
  </mc:AlternateContent>
  <xdr:twoCellAnchor>
    <xdr:from>
      <xdr:col>8</xdr:col>
      <xdr:colOff>371416</xdr:colOff>
      <xdr:row>3</xdr:row>
      <xdr:rowOff>59906</xdr:rowOff>
    </xdr:from>
    <xdr:to>
      <xdr:col>14</xdr:col>
      <xdr:colOff>766793</xdr:colOff>
      <xdr:row>24</xdr:row>
      <xdr:rowOff>11981</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978456" y="600926"/>
              <a:ext cx="5287417" cy="3647775"/>
            </a:xfrm>
            <a:prstGeom prst="rect">
              <a:avLst/>
            </a:prstGeom>
            <a:solidFill>
              <a:prstClr val="white"/>
            </a:solidFill>
            <a:ln w="1">
              <a:solidFill>
                <a:prstClr val="green"/>
              </a:solidFill>
            </a:ln>
          </xdr:spPr>
          <xdr:txBody>
            <a:bodyPr vertOverflow="clip" horzOverflow="clip"/>
            <a:lstStyle/>
            <a:p>
              <a:r>
                <a:rPr lang="es-E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739140</xdr:colOff>
          <xdr:row>2</xdr:row>
          <xdr:rowOff>152400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1028700</xdr:colOff>
          <xdr:row>0</xdr:row>
          <xdr:rowOff>38100</xdr:rowOff>
        </xdr:from>
        <xdr:to>
          <xdr:col>2</xdr:col>
          <xdr:colOff>1196340</xdr:colOff>
          <xdr:row>2</xdr:row>
          <xdr:rowOff>152400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twoCellAnchor>
    <xdr:from>
      <xdr:col>5</xdr:col>
      <xdr:colOff>431321</xdr:colOff>
      <xdr:row>0</xdr:row>
      <xdr:rowOff>172528</xdr:rowOff>
    </xdr:from>
    <xdr:to>
      <xdr:col>8</xdr:col>
      <xdr:colOff>179717</xdr:colOff>
      <xdr:row>5</xdr:row>
      <xdr:rowOff>0</xdr:rowOff>
    </xdr:to>
    <xdr:sp macro="" textlink="">
      <xdr:nvSpPr>
        <xdr:cNvPr id="2" name="ZoneTexte 1">
          <a:extLst>
            <a:ext uri="{FF2B5EF4-FFF2-40B4-BE49-F238E27FC236}">
              <a16:creationId xmlns:a16="http://schemas.microsoft.com/office/drawing/2014/main" id="{D83E2A01-786D-46E4-83FF-BD0935A0B3BA}"/>
            </a:ext>
          </a:extLst>
        </xdr:cNvPr>
        <xdr:cNvSpPr txBox="1"/>
      </xdr:nvSpPr>
      <xdr:spPr>
        <a:xfrm>
          <a:off x="7979434" y="172528"/>
          <a:ext cx="2185358" cy="704491"/>
        </a:xfrm>
        <a:prstGeom prst="rect">
          <a:avLst/>
        </a:prstGeom>
        <a:solidFill>
          <a:srgbClr val="FFFF00"/>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000" b="1">
              <a:solidFill>
                <a:srgbClr val="FF0000"/>
              </a:solidFill>
            </a:rPr>
            <a:t>Please</a:t>
          </a:r>
          <a:r>
            <a:rPr lang="es-ES" sz="1000" b="1" baseline="0">
              <a:solidFill>
                <a:srgbClr val="FF0000"/>
              </a:solidFill>
            </a:rPr>
            <a:t> also run the pricing executing app_windows.exe(</a:t>
          </a:r>
          <a:r>
            <a:rPr lang="es-ES" sz="1000" b="1" i="1" baseline="0">
              <a:solidFill>
                <a:srgbClr val="FF0000"/>
              </a:solidFill>
            </a:rPr>
            <a:t>for windows users</a:t>
          </a:r>
          <a:r>
            <a:rPr lang="es-ES" sz="1000" b="1" baseline="0">
              <a:solidFill>
                <a:srgbClr val="FF0000"/>
              </a:solidFill>
            </a:rPr>
            <a:t>) or app_mac (</a:t>
          </a:r>
          <a:r>
            <a:rPr lang="es-ES" sz="1000" b="1" i="1" baseline="0">
              <a:solidFill>
                <a:srgbClr val="FF0000"/>
              </a:solidFill>
            </a:rPr>
            <a:t>for Mac users</a:t>
          </a:r>
          <a:r>
            <a:rPr lang="es-ES" sz="1000" b="1" baseline="0">
              <a:solidFill>
                <a:srgbClr val="FF0000"/>
              </a:solidFill>
            </a:rPr>
            <a:t>) located in the same folder than this Excel file</a:t>
          </a:r>
          <a:endParaRPr lang="es-ES" sz="1000" b="1">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99060</xdr:rowOff>
        </xdr:from>
        <xdr:to>
          <xdr:col>7</xdr:col>
          <xdr:colOff>518160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137160</xdr:rowOff>
        </xdr:from>
        <xdr:to>
          <xdr:col>7</xdr:col>
          <xdr:colOff>495300</xdr:colOff>
          <xdr:row>11</xdr:row>
          <xdr:rowOff>60960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2</xdr:col>
          <xdr:colOff>22860</xdr:colOff>
          <xdr:row>2</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480060</xdr:colOff>
          <xdr:row>1</xdr:row>
          <xdr:rowOff>15240</xdr:rowOff>
        </xdr:from>
        <xdr:to>
          <xdr:col>4</xdr:col>
          <xdr:colOff>289560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159925</xdr:colOff>
      <xdr:row>3</xdr:row>
      <xdr:rowOff>9407</xdr:rowOff>
    </xdr:from>
    <xdr:to>
      <xdr:col>14</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152400</xdr:colOff>
          <xdr:row>3</xdr:row>
          <xdr:rowOff>53340</xdr:rowOff>
        </xdr:from>
        <xdr:to>
          <xdr:col>7</xdr:col>
          <xdr:colOff>15240</xdr:colOff>
          <xdr:row>6</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8</xdr:row>
          <xdr:rowOff>53340</xdr:rowOff>
        </xdr:from>
        <xdr:to>
          <xdr:col>7</xdr:col>
          <xdr:colOff>15240</xdr:colOff>
          <xdr:row>11</xdr:row>
          <xdr:rowOff>53340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12</xdr:row>
          <xdr:rowOff>152400</xdr:rowOff>
        </xdr:from>
        <xdr:to>
          <xdr:col>7</xdr:col>
          <xdr:colOff>15240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ilyes\Downloads\Nabe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Inputs"/>
      <sheetName val="BinomialModel"/>
      <sheetName val="BinomialModel_VBA"/>
      <sheetName val="MC"/>
      <sheetName val="Black&amp;Scholes"/>
      <sheetName val="Airbus - Market Data"/>
      <sheetName val="Current Market Data"/>
      <sheetName val="Aux"/>
    </sheetNames>
    <definedNames>
      <definedName name="InputsSheet"/>
    </definedNames>
    <sheetDataSet>
      <sheetData sheetId="0"/>
      <sheetData sheetId="1">
        <row r="4">
          <cell r="B4" t="str">
            <v>Put</v>
          </cell>
        </row>
        <row r="5">
          <cell r="B5">
            <v>100</v>
          </cell>
        </row>
        <row r="6">
          <cell r="B6">
            <v>105</v>
          </cell>
        </row>
        <row r="7">
          <cell r="B7">
            <v>1.5900000000000001E-2</v>
          </cell>
        </row>
        <row r="8">
          <cell r="B8">
            <v>0.19650000000000001</v>
          </cell>
        </row>
        <row r="9">
          <cell r="B9">
            <v>370</v>
          </cell>
        </row>
        <row r="11">
          <cell r="B11">
            <v>1.7999999999999999E-2</v>
          </cell>
        </row>
        <row r="12">
          <cell r="B12">
            <v>30</v>
          </cell>
        </row>
      </sheetData>
      <sheetData sheetId="2">
        <row r="6">
          <cell r="B6">
            <v>1.0367074293330314</v>
          </cell>
        </row>
        <row r="7">
          <cell r="B7">
            <v>0.96445541333189633</v>
          </cell>
        </row>
      </sheetData>
      <sheetData sheetId="3"/>
      <sheetData sheetId="4"/>
      <sheetData sheetId="5">
        <row r="4">
          <cell r="D4">
            <v>1.6713991996613053</v>
          </cell>
        </row>
        <row r="5">
          <cell r="D5">
            <v>-2.1083537684571141</v>
          </cell>
        </row>
        <row r="6">
          <cell r="D6">
            <v>0.95267857304663173</v>
          </cell>
        </row>
        <row r="7">
          <cell r="D7">
            <v>1.7500200125504566E-2</v>
          </cell>
        </row>
        <row r="8">
          <cell r="D8">
            <v>4.7321426953368252E-2</v>
          </cell>
        </row>
        <row r="9">
          <cell r="D9">
            <v>0.98249979987449543</v>
          </cell>
        </row>
        <row r="14">
          <cell r="D14">
            <v>0.28139075496871457</v>
          </cell>
        </row>
      </sheetData>
      <sheetData sheetId="6"/>
      <sheetData sheetId="7"/>
      <sheetData sheetId="8"/>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13E114A5-B860-43DF-89DB-7452637287CB}" autoFormatId="16" applyNumberFormats="0" applyBorderFormats="0" applyFontFormats="0" applyPatternFormats="0" applyAlignmentFormats="0" applyWidthHeightFormats="0">
  <queryTableRefresh nextId="7"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161" tableType="queryTable" totalsRowShown="0">
  <autoFilter ref="A4:C161" xr:uid="{793C795E-2D72-4D62-9A7C-EF2ADADBA2FA}"/>
  <tableColumns count="3">
    <tableColumn id="1" xr3:uid="{56A48F4E-B66D-4323-A0DD-358F20BE366B}" uniqueName="1" name="Date" queryTableFieldId="1" dataDxfId="2"/>
    <tableColumn id="2" xr3:uid="{92521D32-FC74-4242-BB6F-84370CE1F295}" uniqueName="2" name="Close Price" queryTableFieldId="2" dataDxfId="1"/>
    <tableColumn id="4" xr3:uid="{F5D6669B-E925-4183-8998-A81E36B6B973}" uniqueName="4" name="Pct Change" queryTableFieldId="4" dataDxfId="0" dataCellStyle="Pourcentage">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32E869-9722-41E4-A183-662FBCFD8FDB}" name="Tableau3" displayName="Tableau3" ref="C2:C4" totalsRowShown="0" headerRowDxfId="7" dataDxfId="6">
  <autoFilter ref="C2:C4" xr:uid="{1232E869-9722-41E4-A183-662FBCFD8FDB}"/>
  <tableColumns count="1">
    <tableColumn id="1" xr3:uid="{06534CD6-307B-4EB5-A39E-B3677B8F470E}" name="options" dataDxfId="5"/>
  </tableColumns>
  <tableStyleInfo name="Market Data-style"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jardieljr/derivatives/tree/main/assignment_2" TargetMode="External"/><Relationship Id="rId1" Type="http://schemas.openxmlformats.org/officeDocument/2006/relationships/hyperlink" Target="https://github.com/jardieljr/derivative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table" Target="../tables/table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843D0-D9AB-453F-8489-AAAAE203C00B}">
  <sheetPr codeName="Sheet6"/>
  <dimension ref="A1:AA1009"/>
  <sheetViews>
    <sheetView showGridLines="0" tabSelected="1" topLeftCell="A4" zoomScale="93" zoomScaleNormal="115" workbookViewId="0">
      <selection activeCell="Q9" sqref="Q9"/>
    </sheetView>
  </sheetViews>
  <sheetFormatPr baseColWidth="10" defaultColWidth="12.59765625" defaultRowHeight="15" customHeight="1"/>
  <cols>
    <col min="1" max="16" width="7.59765625" style="92" customWidth="1"/>
    <col min="17" max="17" width="10.59765625" style="92" customWidth="1"/>
    <col min="18" max="26" width="7.59765625" style="92" customWidth="1"/>
    <col min="27" max="16384" width="12.59765625" style="92"/>
  </cols>
  <sheetData>
    <row r="1" spans="1:17" ht="15.6">
      <c r="C1" s="175" t="s">
        <v>0</v>
      </c>
      <c r="D1" s="176"/>
      <c r="E1" s="176"/>
      <c r="F1" s="176"/>
      <c r="G1" s="176"/>
      <c r="H1" s="176"/>
      <c r="I1" s="176"/>
      <c r="J1" s="176"/>
      <c r="K1" s="177"/>
      <c r="M1" s="178" t="s">
        <v>1</v>
      </c>
      <c r="N1" s="178"/>
    </row>
    <row r="2" spans="1:17" ht="15.6">
      <c r="C2" s="179"/>
      <c r="D2" s="180"/>
      <c r="E2" s="180"/>
      <c r="F2" s="180"/>
      <c r="G2" s="180"/>
      <c r="H2" s="180"/>
      <c r="I2" s="180"/>
      <c r="J2" s="180"/>
      <c r="K2" s="181"/>
      <c r="M2" s="178"/>
      <c r="N2" s="178" t="s">
        <v>2</v>
      </c>
    </row>
    <row r="3" spans="1:17" ht="15.6">
      <c r="C3" s="179"/>
      <c r="D3" s="180"/>
      <c r="E3" s="180"/>
      <c r="F3" s="180"/>
      <c r="G3" s="180"/>
      <c r="H3" s="180"/>
      <c r="I3" s="180"/>
      <c r="J3" s="180"/>
      <c r="K3" s="181"/>
      <c r="N3" s="178" t="s">
        <v>3</v>
      </c>
    </row>
    <row r="4" spans="1:17" ht="15.6">
      <c r="C4" s="179"/>
      <c r="D4" s="180"/>
      <c r="E4" s="180"/>
      <c r="F4" s="180"/>
      <c r="G4" s="180"/>
      <c r="H4" s="180"/>
      <c r="I4" s="180"/>
      <c r="J4" s="180"/>
      <c r="K4" s="181"/>
      <c r="N4" s="178" t="s">
        <v>4</v>
      </c>
    </row>
    <row r="5" spans="1:17" ht="15.6">
      <c r="C5" s="179"/>
      <c r="D5" s="180"/>
      <c r="E5" s="180"/>
      <c r="F5" s="180"/>
      <c r="G5" s="180"/>
      <c r="H5" s="180"/>
      <c r="I5" s="180"/>
      <c r="J5" s="180"/>
      <c r="K5" s="181"/>
      <c r="N5" s="178" t="s">
        <v>5</v>
      </c>
    </row>
    <row r="6" spans="1:17" ht="13.8">
      <c r="C6" s="179"/>
      <c r="D6" s="180"/>
      <c r="E6" s="180"/>
      <c r="F6" s="180"/>
      <c r="G6" s="180"/>
      <c r="H6" s="180"/>
      <c r="I6" s="180"/>
      <c r="J6" s="180"/>
      <c r="K6" s="181"/>
    </row>
    <row r="7" spans="1:17" ht="13.8">
      <c r="C7" s="179"/>
      <c r="D7" s="180"/>
      <c r="E7" s="180"/>
      <c r="F7" s="180"/>
      <c r="G7" s="180"/>
      <c r="H7" s="180"/>
      <c r="I7" s="180"/>
      <c r="J7" s="180"/>
      <c r="K7" s="181"/>
    </row>
    <row r="8" spans="1:17" ht="14.4" thickBot="1">
      <c r="C8" s="182"/>
      <c r="D8" s="183"/>
      <c r="E8" s="183"/>
      <c r="F8" s="183"/>
      <c r="G8" s="183"/>
      <c r="H8" s="183"/>
      <c r="I8" s="183"/>
      <c r="J8" s="183"/>
      <c r="K8" s="184"/>
      <c r="M8" s="185" t="s">
        <v>6</v>
      </c>
      <c r="Q8" s="92" t="s">
        <v>109</v>
      </c>
    </row>
    <row r="14" spans="1:17" ht="18">
      <c r="A14" s="186" t="s">
        <v>97</v>
      </c>
    </row>
    <row r="15" spans="1:17" ht="18">
      <c r="B15" s="187"/>
    </row>
    <row r="16" spans="1:17" ht="18">
      <c r="B16" s="187"/>
    </row>
    <row r="17" spans="1:27" ht="18">
      <c r="B17" s="187"/>
    </row>
    <row r="18" spans="1:27" ht="87" customHeight="1">
      <c r="A18" s="188" t="s">
        <v>57</v>
      </c>
      <c r="B18" s="188"/>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88"/>
    </row>
    <row r="19" spans="1:27" ht="87" customHeight="1">
      <c r="A19" s="189"/>
      <c r="B19" s="189"/>
      <c r="C19" s="189"/>
      <c r="D19" s="189"/>
      <c r="E19" s="189"/>
      <c r="F19" s="189"/>
      <c r="G19" s="189"/>
      <c r="H19" s="189"/>
      <c r="I19" s="190" t="s">
        <v>98</v>
      </c>
      <c r="J19" s="189"/>
      <c r="K19" s="189"/>
      <c r="L19" s="189"/>
      <c r="M19" s="189"/>
      <c r="N19" s="189"/>
      <c r="O19" s="189"/>
      <c r="P19" s="189"/>
      <c r="Q19" s="189"/>
      <c r="R19" s="189"/>
      <c r="S19" s="189"/>
      <c r="T19" s="189"/>
      <c r="U19" s="189"/>
      <c r="V19" s="189"/>
      <c r="W19" s="189"/>
      <c r="X19" s="189"/>
      <c r="Y19" s="189"/>
      <c r="Z19" s="189"/>
      <c r="AA19" s="189"/>
    </row>
    <row r="20" spans="1:27" ht="27.9" customHeight="1">
      <c r="B20" s="187"/>
    </row>
    <row r="21" spans="1:27" ht="17.399999999999999">
      <c r="A21" s="191"/>
      <c r="B21" s="192"/>
    </row>
    <row r="22" spans="1:27" ht="17.399999999999999">
      <c r="A22" s="191"/>
    </row>
    <row r="23" spans="1:27" ht="17.399999999999999">
      <c r="A23" s="191"/>
    </row>
    <row r="24" spans="1:27" ht="18">
      <c r="A24" s="187"/>
    </row>
    <row r="25" spans="1:27" ht="18">
      <c r="A25" s="187"/>
    </row>
    <row r="28" spans="1:27" ht="18">
      <c r="A28" s="187"/>
    </row>
    <row r="30" spans="1:27" ht="15.75" customHeight="1"/>
    <row r="31" spans="1:27" ht="15.75" customHeight="1"/>
    <row r="32" spans="1:27" ht="15.75" customHeight="1"/>
    <row r="33" spans="1:1" ht="15.75" customHeight="1"/>
    <row r="34" spans="1:1" ht="15.75" customHeight="1"/>
    <row r="35" spans="1:1" ht="15.75" customHeight="1"/>
    <row r="36" spans="1:1" ht="15.75" customHeight="1"/>
    <row r="37" spans="1:1" ht="15.75" customHeight="1"/>
    <row r="38" spans="1:1" ht="15.75" customHeight="1"/>
    <row r="39" spans="1:1" ht="15.75" customHeight="1"/>
    <row r="40" spans="1:1" ht="15.75" customHeight="1"/>
    <row r="41" spans="1:1" ht="15.75" customHeight="1"/>
    <row r="42" spans="1:1" ht="15.75" customHeight="1"/>
    <row r="43" spans="1:1" ht="15.75" customHeight="1"/>
    <row r="44" spans="1:1" ht="15.75" customHeight="1"/>
    <row r="45" spans="1:1" ht="15.75" customHeight="1"/>
    <row r="46" spans="1:1" ht="15.75" customHeight="1">
      <c r="A46" s="193" t="s">
        <v>99</v>
      </c>
    </row>
    <row r="47" spans="1:1" ht="15.75" customHeight="1"/>
    <row r="48" spans="1:1" ht="15.75" customHeight="1">
      <c r="A48" s="194" t="s">
        <v>100</v>
      </c>
    </row>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spans="1:1" ht="15.75" customHeight="1"/>
    <row r="98" spans="1:1" ht="15.75" customHeight="1"/>
    <row r="99" spans="1:1" ht="15.75" customHeight="1"/>
    <row r="100" spans="1:1" ht="15.75" customHeight="1"/>
    <row r="101" spans="1:1" ht="15.75" customHeight="1"/>
    <row r="102" spans="1:1" ht="15.75" customHeight="1"/>
    <row r="103" spans="1:1" ht="15.75" customHeight="1"/>
    <row r="104" spans="1:1" ht="15.75" customHeight="1"/>
    <row r="105" spans="1:1" ht="15.75" customHeight="1"/>
    <row r="106" spans="1:1" ht="15.75" customHeight="1"/>
    <row r="107" spans="1:1" ht="15.75" customHeight="1">
      <c r="A107" s="195"/>
    </row>
    <row r="108" spans="1:1" ht="15.75" customHeight="1">
      <c r="A108" s="196"/>
    </row>
    <row r="109" spans="1:1" ht="15.75" customHeight="1"/>
    <row r="110" spans="1:1" ht="15.75" customHeight="1"/>
    <row r="111" spans="1:1" ht="15.75" customHeight="1"/>
    <row r="112" spans="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spans="1:1" ht="15.75" customHeight="1"/>
    <row r="162" spans="1:1" ht="15.75" customHeight="1"/>
    <row r="163" spans="1:1" ht="15.75" customHeight="1"/>
    <row r="164" spans="1:1" ht="15.75" customHeight="1"/>
    <row r="165" spans="1:1" ht="15.75" customHeight="1"/>
    <row r="166" spans="1:1" ht="15.75" customHeight="1">
      <c r="A166" s="92" t="s">
        <v>101</v>
      </c>
    </row>
    <row r="167" spans="1:1" ht="15.75" customHeight="1"/>
    <row r="168" spans="1:1" ht="15.75" customHeight="1"/>
    <row r="169" spans="1:1" ht="15.75" customHeight="1"/>
    <row r="170" spans="1:1" ht="15.75" customHeight="1"/>
    <row r="171" spans="1:1" ht="15.75" customHeight="1"/>
    <row r="172" spans="1:1" ht="15.75" customHeight="1"/>
    <row r="173" spans="1:1" ht="15.75" customHeight="1"/>
    <row r="174" spans="1:1" ht="15.75" customHeight="1"/>
    <row r="175" spans="1:1" ht="15.75" customHeight="1"/>
    <row r="176" spans="1:1" ht="15.75" customHeight="1"/>
    <row r="177" spans="1:1" ht="15.75" customHeight="1"/>
    <row r="178" spans="1:1" ht="15.75" customHeight="1"/>
    <row r="179" spans="1:1" ht="15.75" customHeight="1"/>
    <row r="180" spans="1:1" ht="15.75" customHeight="1"/>
    <row r="181" spans="1:1" ht="15.75" customHeight="1"/>
    <row r="182" spans="1:1" ht="15.75" customHeight="1">
      <c r="A182" s="92" t="s">
        <v>102</v>
      </c>
    </row>
    <row r="183" spans="1:1" ht="15.75" customHeight="1"/>
    <row r="184" spans="1:1" ht="15.75" customHeight="1"/>
    <row r="185" spans="1:1" ht="15.75" customHeight="1"/>
    <row r="186" spans="1:1" ht="15.75" customHeight="1"/>
    <row r="187" spans="1:1" ht="15.75" customHeight="1"/>
    <row r="188" spans="1:1" ht="15.75" customHeight="1">
      <c r="A188" s="197" t="s">
        <v>106</v>
      </c>
    </row>
    <row r="189" spans="1:1" ht="15.75" customHeight="1">
      <c r="A189" s="92" t="s">
        <v>103</v>
      </c>
    </row>
    <row r="190" spans="1:1" ht="15.75" customHeight="1"/>
    <row r="191" spans="1:1" ht="15.75" customHeight="1"/>
    <row r="192" spans="1:1" ht="15.75" customHeight="1"/>
    <row r="193" spans="1:1" ht="15.75" customHeight="1"/>
    <row r="194" spans="1:1" ht="15.75" customHeight="1"/>
    <row r="195" spans="1:1" ht="15.75" customHeight="1"/>
    <row r="196" spans="1:1" ht="15.75" customHeight="1"/>
    <row r="197" spans="1:1" ht="15.75" customHeight="1">
      <c r="A197" s="92" t="s">
        <v>104</v>
      </c>
    </row>
    <row r="198" spans="1:1" ht="15.75" customHeight="1"/>
    <row r="199" spans="1:1" ht="15.75" customHeight="1"/>
    <row r="200" spans="1:1" ht="15.75" customHeight="1"/>
    <row r="201" spans="1:1" ht="15.75" customHeight="1"/>
    <row r="202" spans="1:1" ht="15.75" customHeight="1"/>
    <row r="203" spans="1:1" ht="15.75" customHeight="1"/>
    <row r="204" spans="1:1" ht="15.75" customHeight="1"/>
    <row r="205" spans="1:1" ht="15.75" customHeight="1"/>
    <row r="206" spans="1:1" ht="15.75" customHeight="1"/>
    <row r="207" spans="1:1" ht="15.75" customHeight="1">
      <c r="A207" s="92" t="s">
        <v>107</v>
      </c>
    </row>
    <row r="208" spans="1:1" ht="15.75" customHeight="1">
      <c r="A208" s="198"/>
    </row>
    <row r="209" spans="1:1" ht="15.75" customHeight="1">
      <c r="A209" s="199" t="s">
        <v>108</v>
      </c>
    </row>
    <row r="210" spans="1:1" ht="15.75" customHeight="1"/>
    <row r="211" spans="1:1" ht="15.75" customHeight="1"/>
    <row r="212" spans="1:1" ht="15.75" customHeight="1"/>
    <row r="213" spans="1:1" ht="15.75" customHeight="1"/>
    <row r="214" spans="1:1" ht="15.75" customHeight="1"/>
    <row r="215" spans="1:1" ht="15.75" customHeight="1"/>
    <row r="216" spans="1:1" ht="15.75" customHeight="1">
      <c r="A216" s="92" t="s">
        <v>105</v>
      </c>
    </row>
    <row r="217" spans="1:1" ht="15.75" customHeight="1"/>
    <row r="218" spans="1:1" ht="15.75" customHeight="1"/>
    <row r="219" spans="1:1" ht="15.75" customHeight="1"/>
    <row r="220" spans="1:1" ht="15.75" customHeight="1"/>
    <row r="221" spans="1:1" ht="15.75" customHeight="1"/>
    <row r="222" spans="1:1" ht="15.75" customHeight="1"/>
    <row r="223" spans="1:1" ht="15.75" customHeight="1"/>
    <row r="224" spans="1:1"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sheetData>
  <mergeCells count="2">
    <mergeCell ref="C1:K8"/>
    <mergeCell ref="A18:AA18"/>
  </mergeCells>
  <hyperlinks>
    <hyperlink ref="M8" r:id="rId1" xr:uid="{9D7CDBBF-E84A-48EB-9005-E6E3DDB8B15C}"/>
    <hyperlink ref="I19" r:id="rId2" xr:uid="{CE6B967C-062A-4BC9-8416-FC2695F1A994}"/>
  </hyperlinks>
  <pageMargins left="0.7" right="0.7" top="0.75" bottom="0.75" header="0" footer="0"/>
  <pageSetup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4577" r:id="rId6" name="Button 1">
              <controlPr defaultSize="0" print="0" autoFill="0" autoPict="0" macro="[1]!InputsSheet">
                <anchor moveWithCells="1" sizeWithCells="1">
                  <from>
                    <xdr:col>19</xdr:col>
                    <xdr:colOff>121920</xdr:colOff>
                    <xdr:row>0</xdr:row>
                    <xdr:rowOff>114300</xdr:rowOff>
                  </from>
                  <to>
                    <xdr:col>21</xdr:col>
                    <xdr:colOff>426720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opLeftCell="A4" workbookViewId="0">
      <selection activeCell="K16" sqref="K16"/>
    </sheetView>
  </sheetViews>
  <sheetFormatPr baseColWidth="10" defaultColWidth="12.69921875" defaultRowHeight="15" customHeight="1"/>
  <cols>
    <col min="1" max="15" width="7.69921875" customWidth="1"/>
    <col min="16" max="16" width="11.5" bestFit="1" customWidth="1"/>
    <col min="17" max="17" width="10.69921875" customWidth="1"/>
    <col min="18" max="26" width="7.69921875" customWidth="1"/>
  </cols>
  <sheetData>
    <row r="1" spans="1:14" ht="15.6">
      <c r="C1" s="149" t="s">
        <v>0</v>
      </c>
      <c r="D1" s="150"/>
      <c r="E1" s="150"/>
      <c r="F1" s="150"/>
      <c r="G1" s="150"/>
      <c r="H1" s="150"/>
      <c r="I1" s="150"/>
      <c r="J1" s="150"/>
      <c r="K1" s="151"/>
      <c r="M1" s="1" t="s">
        <v>1</v>
      </c>
      <c r="N1" s="1"/>
    </row>
    <row r="2" spans="1:14" ht="15.6">
      <c r="C2" s="152"/>
      <c r="D2" s="153"/>
      <c r="E2" s="153"/>
      <c r="F2" s="153"/>
      <c r="G2" s="153"/>
      <c r="H2" s="153"/>
      <c r="I2" s="153"/>
      <c r="J2" s="153"/>
      <c r="K2" s="154"/>
      <c r="M2" s="1"/>
      <c r="N2" s="1" t="s">
        <v>2</v>
      </c>
    </row>
    <row r="3" spans="1:14" ht="15.6">
      <c r="C3" s="152"/>
      <c r="D3" s="153"/>
      <c r="E3" s="153"/>
      <c r="F3" s="153"/>
      <c r="G3" s="153"/>
      <c r="H3" s="153"/>
      <c r="I3" s="153"/>
      <c r="J3" s="153"/>
      <c r="K3" s="154"/>
      <c r="N3" s="1" t="s">
        <v>3</v>
      </c>
    </row>
    <row r="4" spans="1:14" ht="15.6">
      <c r="C4" s="152"/>
      <c r="D4" s="153"/>
      <c r="E4" s="153"/>
      <c r="F4" s="153"/>
      <c r="G4" s="153"/>
      <c r="H4" s="153"/>
      <c r="I4" s="153"/>
      <c r="J4" s="153"/>
      <c r="K4" s="154"/>
      <c r="N4" s="1" t="s">
        <v>4</v>
      </c>
    </row>
    <row r="5" spans="1:14" ht="15.6">
      <c r="C5" s="152"/>
      <c r="D5" s="153"/>
      <c r="E5" s="153"/>
      <c r="F5" s="153"/>
      <c r="G5" s="153"/>
      <c r="H5" s="153"/>
      <c r="I5" s="153"/>
      <c r="J5" s="153"/>
      <c r="K5" s="154"/>
      <c r="N5" s="1" t="s">
        <v>5</v>
      </c>
    </row>
    <row r="6" spans="1:14" ht="13.8">
      <c r="C6" s="152"/>
      <c r="D6" s="153"/>
      <c r="E6" s="153"/>
      <c r="F6" s="153"/>
      <c r="G6" s="153"/>
      <c r="H6" s="153"/>
      <c r="I6" s="153"/>
      <c r="J6" s="153"/>
      <c r="K6" s="154"/>
    </row>
    <row r="7" spans="1:14" ht="13.8">
      <c r="C7" s="152"/>
      <c r="D7" s="153"/>
      <c r="E7" s="153"/>
      <c r="F7" s="153"/>
      <c r="G7" s="153"/>
      <c r="H7" s="153"/>
      <c r="I7" s="153"/>
      <c r="J7" s="153"/>
      <c r="K7" s="154"/>
    </row>
    <row r="8" spans="1:14" ht="13.8">
      <c r="C8" s="155"/>
      <c r="D8" s="156"/>
      <c r="E8" s="156"/>
      <c r="F8" s="156"/>
      <c r="G8" s="156"/>
      <c r="H8" s="156"/>
      <c r="I8" s="156"/>
      <c r="J8" s="156"/>
      <c r="K8" s="157"/>
      <c r="M8" s="59" t="s">
        <v>6</v>
      </c>
    </row>
    <row r="11" spans="1:14" s="57" customFormat="1" ht="15" customHeight="1">
      <c r="E11" s="58"/>
    </row>
    <row r="12" spans="1:14" s="57" customFormat="1" ht="15" customHeight="1"/>
    <row r="14" spans="1:14" ht="18">
      <c r="A14" s="2" t="s">
        <v>7</v>
      </c>
    </row>
    <row r="15" spans="1:14" ht="18">
      <c r="B15" s="3" t="s">
        <v>8</v>
      </c>
    </row>
    <row r="16" spans="1:14" ht="18">
      <c r="B16" s="3" t="s">
        <v>9</v>
      </c>
    </row>
    <row r="17" spans="1:27" s="57" customFormat="1" ht="18">
      <c r="B17" s="3"/>
    </row>
    <row r="18" spans="1:27" s="57" customFormat="1" ht="87" customHeight="1">
      <c r="A18" s="158" t="s">
        <v>57</v>
      </c>
      <c r="B18" s="158"/>
      <c r="C18" s="158"/>
      <c r="D18" s="158"/>
      <c r="E18" s="158"/>
      <c r="F18" s="158"/>
      <c r="G18" s="158"/>
      <c r="H18" s="158"/>
      <c r="I18" s="158"/>
      <c r="J18" s="158"/>
      <c r="K18" s="158"/>
      <c r="L18" s="158"/>
      <c r="M18" s="158"/>
      <c r="N18" s="158"/>
      <c r="O18" s="158"/>
      <c r="P18" s="158"/>
      <c r="Q18" s="158"/>
      <c r="R18" s="158"/>
      <c r="S18" s="158"/>
      <c r="T18" s="158"/>
      <c r="U18" s="158"/>
      <c r="V18" s="158"/>
      <c r="W18" s="158"/>
      <c r="X18" s="158"/>
      <c r="Y18" s="158"/>
      <c r="Z18" s="158"/>
      <c r="AA18" s="158"/>
    </row>
    <row r="19" spans="1:27" s="70" customFormat="1" ht="87" customHeight="1">
      <c r="A19" s="71"/>
      <c r="B19" s="71"/>
      <c r="C19" s="71"/>
      <c r="D19" s="71"/>
      <c r="E19" s="71"/>
      <c r="F19" s="71"/>
      <c r="G19" s="71"/>
      <c r="H19" s="71"/>
      <c r="I19" s="72" t="s">
        <v>6</v>
      </c>
      <c r="J19" s="71"/>
      <c r="K19" s="71"/>
      <c r="L19" s="71"/>
      <c r="M19" s="71"/>
      <c r="N19" s="71"/>
      <c r="O19" s="71"/>
      <c r="P19" s="174" t="s">
        <v>95</v>
      </c>
      <c r="Q19" s="71"/>
      <c r="R19" s="71"/>
      <c r="S19" s="71"/>
      <c r="T19" s="71"/>
      <c r="U19" s="71"/>
      <c r="V19" s="71"/>
      <c r="W19" s="71"/>
      <c r="X19" s="71"/>
      <c r="Y19" s="71"/>
      <c r="Z19" s="71"/>
      <c r="AA19" s="71"/>
    </row>
    <row r="20" spans="1:27" s="57" customFormat="1" ht="28.05" customHeight="1">
      <c r="B20" s="3"/>
    </row>
    <row r="21" spans="1:27" ht="17.399999999999999">
      <c r="A21" s="4"/>
      <c r="B21" s="56"/>
    </row>
    <row r="22" spans="1:27" ht="17.399999999999999">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399999999999999">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8">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8">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8">
      <c r="A28" s="3"/>
    </row>
    <row r="30" spans="1:27" ht="15.75" customHeight="1"/>
    <row r="31" spans="1:27" ht="15.75" customHeight="1"/>
    <row r="32" spans="1:2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spans="1:1" ht="15.75" customHeight="1"/>
    <row r="98" spans="1:1" ht="15.75" customHeight="1"/>
    <row r="99" spans="1:1" ht="15.75" customHeight="1"/>
    <row r="100" spans="1:1" ht="15.75" customHeight="1"/>
    <row r="101" spans="1:1" ht="15.75" customHeight="1"/>
    <row r="102" spans="1:1" ht="15.75" customHeight="1"/>
    <row r="103" spans="1:1" ht="15.75" customHeight="1"/>
    <row r="104" spans="1:1" ht="15.75" customHeight="1"/>
    <row r="105" spans="1:1" ht="15.75" customHeight="1"/>
    <row r="106" spans="1:1" ht="15.75" customHeight="1"/>
    <row r="107" spans="1:1" ht="15.75" customHeight="1">
      <c r="A107" s="68"/>
    </row>
    <row r="108" spans="1:1" ht="15.75" customHeight="1">
      <c r="A108" s="69"/>
    </row>
    <row r="109" spans="1:1" ht="15.75" customHeight="1">
      <c r="A109" s="58"/>
    </row>
    <row r="110" spans="1:1" ht="15.75" customHeight="1"/>
    <row r="111" spans="1:1" ht="15.75" customHeight="1"/>
    <row r="112" spans="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sheetData>
  <mergeCells count="2">
    <mergeCell ref="C1:K8"/>
    <mergeCell ref="A18:AA18"/>
  </mergeCells>
  <phoneticPr fontId="32" type="noConversion"/>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129540</xdr:colOff>
                    <xdr:row>0</xdr:row>
                    <xdr:rowOff>114300</xdr:rowOff>
                  </from>
                  <to>
                    <xdr:col>21</xdr:col>
                    <xdr:colOff>434340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0"/>
  <sheetViews>
    <sheetView showGridLines="0" zoomScaleNormal="100" workbookViewId="0">
      <selection activeCell="B4" sqref="B4"/>
    </sheetView>
  </sheetViews>
  <sheetFormatPr baseColWidth="10" defaultColWidth="12.69921875" defaultRowHeight="15" customHeight="1"/>
  <cols>
    <col min="1" max="1" width="35.796875" customWidth="1"/>
    <col min="2" max="2" width="9.796875" customWidth="1"/>
    <col min="3" max="3" width="7.69921875" customWidth="1"/>
    <col min="4" max="4" width="29.5" customWidth="1"/>
    <col min="5" max="23" width="7.69921875" customWidth="1"/>
  </cols>
  <sheetData>
    <row r="3" spans="1:4" ht="14.4">
      <c r="A3" s="159" t="s">
        <v>10</v>
      </c>
      <c r="B3" s="160"/>
    </row>
    <row r="4" spans="1:4" ht="14.4">
      <c r="A4" s="6" t="s">
        <v>11</v>
      </c>
      <c r="B4" s="7" t="s">
        <v>38</v>
      </c>
    </row>
    <row r="5" spans="1:4" ht="14.4">
      <c r="A5" s="8" t="s">
        <v>13</v>
      </c>
      <c r="B5" s="9">
        <v>114.9</v>
      </c>
    </row>
    <row r="6" spans="1:4" ht="14.4">
      <c r="A6" s="8" t="s">
        <v>14</v>
      </c>
      <c r="B6" s="9">
        <v>100</v>
      </c>
    </row>
    <row r="7" spans="1:4" ht="14.4">
      <c r="A7" s="8" t="s">
        <v>15</v>
      </c>
      <c r="B7" s="10">
        <v>1.5900000000000001E-2</v>
      </c>
    </row>
    <row r="8" spans="1:4" ht="14.4">
      <c r="A8" s="8" t="s">
        <v>16</v>
      </c>
      <c r="B8" s="10">
        <v>0.35</v>
      </c>
    </row>
    <row r="9" spans="1:4" ht="14.4">
      <c r="A9" s="8" t="s">
        <v>71</v>
      </c>
      <c r="B9" s="80">
        <v>60</v>
      </c>
      <c r="D9" s="11"/>
    </row>
    <row r="10" spans="1:4" ht="14.4">
      <c r="A10" s="8" t="s">
        <v>17</v>
      </c>
      <c r="B10" s="12">
        <v>0.1</v>
      </c>
    </row>
    <row r="11" spans="1:4" ht="14.4">
      <c r="A11" s="8" t="s">
        <v>18</v>
      </c>
      <c r="B11" s="12">
        <v>1.7999999999999999E-2</v>
      </c>
    </row>
    <row r="12" spans="1:4" ht="14.4">
      <c r="A12" s="8" t="s">
        <v>19</v>
      </c>
      <c r="B12" s="13">
        <v>30</v>
      </c>
    </row>
    <row r="13" spans="1:4" ht="14.4">
      <c r="A13" s="8" t="s">
        <v>64</v>
      </c>
      <c r="B13" s="76">
        <v>44297</v>
      </c>
    </row>
    <row r="14" spans="1:4" ht="14.4">
      <c r="A14" s="8" t="s">
        <v>66</v>
      </c>
      <c r="B14" s="76" t="s">
        <v>69</v>
      </c>
    </row>
    <row r="15" spans="1:4" ht="14.4">
      <c r="B15" s="14"/>
    </row>
    <row r="16" spans="1:4" ht="14.4">
      <c r="B16" s="14"/>
    </row>
    <row r="17" spans="2:2" ht="14.4">
      <c r="B17" s="14"/>
    </row>
    <row r="18" spans="2:2" ht="14.4">
      <c r="B18" s="14"/>
    </row>
    <row r="19" spans="2:2" ht="14.4">
      <c r="B19" s="14"/>
    </row>
    <row r="20" spans="2:2" ht="14.4">
      <c r="B20" s="14"/>
    </row>
    <row r="21" spans="2:2" ht="15.75" customHeight="1">
      <c r="B21" s="14"/>
    </row>
    <row r="22" spans="2:2" ht="15.75" customHeight="1">
      <c r="B22" s="14"/>
    </row>
    <row r="23" spans="2:2" ht="15.75" customHeight="1">
      <c r="B23" s="14"/>
    </row>
    <row r="24" spans="2:2" ht="15.75" customHeight="1">
      <c r="B24" s="14"/>
    </row>
    <row r="25" spans="2:2" ht="15.75" customHeight="1">
      <c r="B25" s="14"/>
    </row>
    <row r="26" spans="2:2" ht="15.75" customHeight="1">
      <c r="B26" s="14"/>
    </row>
    <row r="27" spans="2:2" ht="15.75" customHeight="1">
      <c r="B27" s="14"/>
    </row>
    <row r="28" spans="2:2" ht="15.75" customHeight="1">
      <c r="B28" s="14"/>
    </row>
    <row r="29" spans="2:2" ht="15.75" customHeight="1">
      <c r="B29" s="14"/>
    </row>
    <row r="30" spans="2:2" ht="15.75" customHeight="1">
      <c r="B30" s="14"/>
    </row>
    <row r="31" spans="2:2" ht="15.75" customHeight="1">
      <c r="B31" s="14"/>
    </row>
    <row r="32" spans="2:2" ht="15.75" customHeight="1">
      <c r="B32" s="14"/>
    </row>
    <row r="33" spans="2:5" ht="15.75" customHeight="1">
      <c r="B33" s="14"/>
    </row>
    <row r="34" spans="2:5" ht="15.75" customHeight="1">
      <c r="B34" s="14"/>
      <c r="E34" s="40"/>
    </row>
    <row r="35" spans="2:5" ht="15.75" customHeight="1">
      <c r="B35" s="14"/>
    </row>
    <row r="36" spans="2:5" ht="15.75" customHeight="1">
      <c r="B36" s="14"/>
    </row>
    <row r="37" spans="2:5" ht="15.75" customHeight="1">
      <c r="B37" s="14"/>
    </row>
    <row r="38" spans="2:5" ht="15.75" customHeight="1">
      <c r="B38" s="14"/>
    </row>
    <row r="39" spans="2:5" ht="15.75" customHeight="1">
      <c r="B39" s="14"/>
    </row>
    <row r="40" spans="2:5" ht="15.75" customHeight="1">
      <c r="B40" s="14"/>
    </row>
    <row r="41" spans="2:5" ht="15.75" customHeight="1">
      <c r="B41" s="14"/>
    </row>
    <row r="42" spans="2:5" ht="15.75" customHeight="1">
      <c r="B42" s="14"/>
    </row>
    <row r="43" spans="2:5" ht="15.75" customHeight="1">
      <c r="B43" s="14"/>
    </row>
    <row r="44" spans="2:5" ht="15.75" customHeight="1">
      <c r="B44" s="14"/>
    </row>
    <row r="45" spans="2:5" ht="15.75" customHeight="1">
      <c r="B45" s="14"/>
    </row>
    <row r="46" spans="2:5" ht="15.75" customHeight="1">
      <c r="B46" s="14"/>
    </row>
    <row r="47" spans="2:5" ht="15.75" customHeight="1">
      <c r="B47" s="14"/>
    </row>
    <row r="48" spans="2:5" ht="15.75" customHeight="1">
      <c r="B48" s="14"/>
    </row>
    <row r="49" spans="2:2" ht="15.75" customHeight="1">
      <c r="B49" s="14"/>
    </row>
    <row r="50" spans="2:2" ht="15.75" customHeight="1">
      <c r="B50" s="14"/>
    </row>
    <row r="51" spans="2:2" ht="15.75" customHeight="1">
      <c r="B51" s="14"/>
    </row>
    <row r="52" spans="2:2" ht="15.75" customHeight="1">
      <c r="B52" s="14"/>
    </row>
    <row r="53" spans="2:2" ht="15.75" customHeight="1">
      <c r="B53" s="14"/>
    </row>
    <row r="54" spans="2:2" ht="15.75" customHeight="1">
      <c r="B54" s="14"/>
    </row>
    <row r="55" spans="2:2" ht="15.75" customHeight="1">
      <c r="B55" s="14"/>
    </row>
    <row r="56" spans="2:2" ht="15.75" customHeight="1">
      <c r="B56" s="14"/>
    </row>
    <row r="57" spans="2:2" ht="15.75" customHeight="1">
      <c r="B57" s="14"/>
    </row>
    <row r="58" spans="2:2" ht="15.75" customHeight="1">
      <c r="B58" s="14"/>
    </row>
    <row r="59" spans="2:2" ht="15.75" customHeight="1">
      <c r="B59" s="14"/>
    </row>
    <row r="60" spans="2:2" ht="15.75" customHeight="1">
      <c r="B60" s="14"/>
    </row>
    <row r="61" spans="2:2" ht="15.75" customHeight="1">
      <c r="B61" s="14"/>
    </row>
    <row r="62" spans="2:2" ht="15.75" customHeight="1">
      <c r="B62" s="14"/>
    </row>
    <row r="63" spans="2:2" ht="15.75" customHeight="1">
      <c r="B63" s="14"/>
    </row>
    <row r="64" spans="2:2" ht="15.75" customHeight="1">
      <c r="B64" s="14"/>
    </row>
    <row r="65" spans="2:2" ht="15.75" customHeight="1">
      <c r="B65" s="14"/>
    </row>
    <row r="66" spans="2:2" ht="15.75" customHeight="1">
      <c r="B66" s="14"/>
    </row>
    <row r="67" spans="2:2" ht="15.75" customHeight="1">
      <c r="B67" s="14"/>
    </row>
    <row r="68" spans="2:2" ht="15.75" customHeight="1">
      <c r="B68" s="14"/>
    </row>
    <row r="69" spans="2:2" ht="15.75" customHeight="1">
      <c r="B69" s="14"/>
    </row>
    <row r="70" spans="2:2" ht="15.75" customHeight="1">
      <c r="B70" s="14"/>
    </row>
    <row r="71" spans="2:2" ht="15.75" customHeight="1">
      <c r="B71" s="14"/>
    </row>
    <row r="72" spans="2:2" ht="15.75" customHeight="1">
      <c r="B72" s="14"/>
    </row>
    <row r="73" spans="2:2" ht="15.75" customHeight="1">
      <c r="B73" s="14"/>
    </row>
    <row r="74" spans="2:2" ht="15.75" customHeight="1">
      <c r="B74" s="14"/>
    </row>
    <row r="75" spans="2:2" ht="15.75" customHeight="1">
      <c r="B75" s="14"/>
    </row>
    <row r="76" spans="2:2" ht="15.75" customHeight="1">
      <c r="B76" s="14"/>
    </row>
    <row r="77" spans="2:2" ht="15.75" customHeight="1">
      <c r="B77" s="14"/>
    </row>
    <row r="78" spans="2:2" ht="15.75" customHeight="1">
      <c r="B78" s="14"/>
    </row>
    <row r="79" spans="2:2" ht="15.75" customHeight="1">
      <c r="B79" s="14"/>
    </row>
    <row r="80" spans="2:2" ht="15.75" customHeight="1">
      <c r="B80" s="14"/>
    </row>
    <row r="81" spans="2:2" ht="15.75" customHeight="1">
      <c r="B81" s="14"/>
    </row>
    <row r="82" spans="2:2" ht="15.75" customHeight="1">
      <c r="B82" s="14"/>
    </row>
    <row r="83" spans="2:2" ht="15.75" customHeight="1">
      <c r="B83" s="14"/>
    </row>
    <row r="84" spans="2:2" ht="15.75" customHeight="1">
      <c r="B84" s="14"/>
    </row>
    <row r="85" spans="2:2" ht="15.75" customHeight="1">
      <c r="B85" s="14"/>
    </row>
    <row r="86" spans="2:2" ht="15.75" customHeight="1">
      <c r="B86" s="14"/>
    </row>
    <row r="87" spans="2:2" ht="15.75" customHeight="1">
      <c r="B87" s="14"/>
    </row>
    <row r="88" spans="2:2" ht="15.75" customHeight="1">
      <c r="B88" s="14"/>
    </row>
    <row r="89" spans="2:2" ht="15.75" customHeight="1">
      <c r="B89" s="14"/>
    </row>
    <row r="90" spans="2:2" ht="15.75" customHeight="1">
      <c r="B90" s="14"/>
    </row>
    <row r="91" spans="2:2" ht="15.75" customHeight="1">
      <c r="B91" s="14"/>
    </row>
    <row r="92" spans="2:2" ht="15.75" customHeight="1">
      <c r="B92" s="14"/>
    </row>
    <row r="93" spans="2:2" ht="15.75" customHeight="1">
      <c r="B93" s="14"/>
    </row>
    <row r="94" spans="2:2" ht="15.75" customHeight="1">
      <c r="B94" s="14"/>
    </row>
    <row r="95" spans="2:2" ht="15.75" customHeight="1">
      <c r="B95" s="14"/>
    </row>
    <row r="96" spans="2:2" ht="15.75" customHeight="1">
      <c r="B96" s="14"/>
    </row>
    <row r="97" spans="2:2" ht="15.75" customHeight="1">
      <c r="B97" s="14"/>
    </row>
    <row r="98" spans="2:2" ht="15.75" customHeight="1">
      <c r="B98" s="14"/>
    </row>
    <row r="99" spans="2:2" ht="15.75" customHeight="1">
      <c r="B99" s="14"/>
    </row>
    <row r="100" spans="2:2" ht="15.75" customHeight="1">
      <c r="B100" s="14"/>
    </row>
    <row r="101" spans="2:2" ht="15.75" customHeight="1">
      <c r="B101" s="14"/>
    </row>
    <row r="102" spans="2:2" ht="15.75" customHeight="1">
      <c r="B102" s="14"/>
    </row>
    <row r="103" spans="2:2" ht="15.75" customHeight="1">
      <c r="B103" s="14"/>
    </row>
    <row r="104" spans="2:2" ht="15.75" customHeight="1">
      <c r="B104" s="14"/>
    </row>
    <row r="105" spans="2:2" ht="15.75" customHeight="1">
      <c r="B105" s="14"/>
    </row>
    <row r="106" spans="2:2" ht="15.75" customHeight="1">
      <c r="B106" s="14"/>
    </row>
    <row r="107" spans="2:2" ht="15.75" customHeight="1">
      <c r="B107" s="14"/>
    </row>
    <row r="108" spans="2:2" ht="15.75" customHeight="1">
      <c r="B108" s="14"/>
    </row>
    <row r="109" spans="2:2" ht="15.75" customHeight="1">
      <c r="B109" s="14"/>
    </row>
    <row r="110" spans="2:2" ht="15.75" customHeight="1">
      <c r="B110" s="14"/>
    </row>
    <row r="111" spans="2:2" ht="15.75" customHeight="1">
      <c r="B111" s="14"/>
    </row>
    <row r="112" spans="2:2" ht="15.75" customHeight="1">
      <c r="B112" s="14"/>
    </row>
    <row r="113" spans="2:2" ht="15.75" customHeight="1">
      <c r="B113" s="14"/>
    </row>
    <row r="114" spans="2:2" ht="15.75" customHeight="1">
      <c r="B114" s="14"/>
    </row>
    <row r="115" spans="2:2" ht="15.75" customHeight="1">
      <c r="B115" s="14"/>
    </row>
    <row r="116" spans="2:2" ht="15.75" customHeight="1">
      <c r="B116" s="14"/>
    </row>
    <row r="117" spans="2:2" ht="15.75" customHeight="1">
      <c r="B117" s="14"/>
    </row>
    <row r="118" spans="2:2" ht="15.75" customHeight="1">
      <c r="B118" s="14"/>
    </row>
    <row r="119" spans="2:2" ht="15.75" customHeight="1">
      <c r="B119" s="14"/>
    </row>
    <row r="120" spans="2:2" ht="15.75" customHeight="1">
      <c r="B120" s="14"/>
    </row>
    <row r="121" spans="2:2" ht="15.75" customHeight="1">
      <c r="B121" s="14"/>
    </row>
    <row r="122" spans="2:2" ht="15.75" customHeight="1">
      <c r="B122" s="14"/>
    </row>
    <row r="123" spans="2:2" ht="15.75" customHeight="1">
      <c r="B123" s="14"/>
    </row>
    <row r="124" spans="2:2" ht="15.75" customHeight="1">
      <c r="B124" s="14"/>
    </row>
    <row r="125" spans="2:2" ht="15.75" customHeight="1">
      <c r="B125" s="14"/>
    </row>
    <row r="126" spans="2:2" ht="15.75" customHeight="1">
      <c r="B126" s="14"/>
    </row>
    <row r="127" spans="2:2" ht="15.75" customHeight="1">
      <c r="B127" s="14"/>
    </row>
    <row r="128" spans="2:2" ht="15.75" customHeight="1">
      <c r="B128" s="14"/>
    </row>
    <row r="129" spans="2:2" ht="15.75" customHeight="1">
      <c r="B129" s="14"/>
    </row>
    <row r="130" spans="2:2" ht="15.75" customHeight="1">
      <c r="B130" s="14"/>
    </row>
    <row r="131" spans="2:2" ht="15.75" customHeight="1">
      <c r="B131" s="14"/>
    </row>
    <row r="132" spans="2:2" ht="15.75" customHeight="1">
      <c r="B132" s="14"/>
    </row>
    <row r="133" spans="2:2" ht="15.75" customHeight="1">
      <c r="B133" s="14"/>
    </row>
    <row r="134" spans="2:2" ht="15.75" customHeight="1">
      <c r="B134" s="14"/>
    </row>
    <row r="135" spans="2:2" ht="15.75" customHeight="1">
      <c r="B135" s="14"/>
    </row>
    <row r="136" spans="2:2" ht="15.75" customHeight="1">
      <c r="B136" s="14"/>
    </row>
    <row r="137" spans="2:2" ht="15.75" customHeight="1">
      <c r="B137" s="14"/>
    </row>
    <row r="138" spans="2:2" ht="15.75" customHeight="1">
      <c r="B138" s="14"/>
    </row>
    <row r="139" spans="2:2" ht="15.75" customHeight="1">
      <c r="B139" s="14"/>
    </row>
    <row r="140" spans="2:2" ht="15.75" customHeight="1">
      <c r="B140" s="14"/>
    </row>
    <row r="141" spans="2:2" ht="15.75" customHeight="1">
      <c r="B141" s="14"/>
    </row>
    <row r="142" spans="2:2" ht="15.75" customHeight="1">
      <c r="B142" s="14"/>
    </row>
    <row r="143" spans="2:2" ht="15.75" customHeight="1">
      <c r="B143" s="14"/>
    </row>
    <row r="144" spans="2:2" ht="15.75" customHeight="1">
      <c r="B144" s="14"/>
    </row>
    <row r="145" spans="2:2" ht="15.75" customHeight="1">
      <c r="B145" s="14"/>
    </row>
    <row r="146" spans="2:2" ht="15.75" customHeight="1">
      <c r="B146" s="14"/>
    </row>
    <row r="147" spans="2:2" ht="15.75" customHeight="1">
      <c r="B147" s="14"/>
    </row>
    <row r="148" spans="2:2" ht="15.75" customHeight="1">
      <c r="B148" s="14"/>
    </row>
    <row r="149" spans="2:2" ht="15.75" customHeight="1">
      <c r="B149" s="14"/>
    </row>
    <row r="150" spans="2:2" ht="15.75" customHeight="1">
      <c r="B150" s="14"/>
    </row>
    <row r="151" spans="2:2" ht="15.75" customHeight="1">
      <c r="B151" s="14"/>
    </row>
    <row r="152" spans="2:2" ht="15.75" customHeight="1">
      <c r="B152" s="14"/>
    </row>
    <row r="153" spans="2:2" ht="15.75" customHeight="1">
      <c r="B153" s="14"/>
    </row>
    <row r="154" spans="2:2" ht="15.75" customHeight="1">
      <c r="B154" s="14"/>
    </row>
    <row r="155" spans="2:2" ht="15.75" customHeight="1">
      <c r="B155" s="14"/>
    </row>
    <row r="156" spans="2:2" ht="15.75" customHeight="1">
      <c r="B156" s="14"/>
    </row>
    <row r="157" spans="2:2" ht="15.75" customHeight="1">
      <c r="B157" s="14"/>
    </row>
    <row r="158" spans="2:2" ht="15.75" customHeight="1">
      <c r="B158" s="14"/>
    </row>
    <row r="159" spans="2:2" ht="15.75" customHeight="1">
      <c r="B159" s="14"/>
    </row>
    <row r="160" spans="2:2" ht="15.75" customHeight="1">
      <c r="B160" s="14"/>
    </row>
    <row r="161" spans="2:2" ht="15.75" customHeight="1">
      <c r="B161" s="14"/>
    </row>
    <row r="162" spans="2:2" ht="15.75" customHeight="1">
      <c r="B162" s="14"/>
    </row>
    <row r="163" spans="2:2" ht="15.75" customHeight="1">
      <c r="B163" s="14"/>
    </row>
    <row r="164" spans="2:2" ht="15.75" customHeight="1">
      <c r="B164" s="14"/>
    </row>
    <row r="165" spans="2:2" ht="15.75" customHeight="1">
      <c r="B165" s="14"/>
    </row>
    <row r="166" spans="2:2" ht="15.75" customHeight="1">
      <c r="B166" s="14"/>
    </row>
    <row r="167" spans="2:2" ht="15.75" customHeight="1">
      <c r="B167" s="14"/>
    </row>
    <row r="168" spans="2:2" ht="15.75" customHeight="1">
      <c r="B168" s="14"/>
    </row>
    <row r="169" spans="2:2" ht="15.75" customHeight="1">
      <c r="B169" s="14"/>
    </row>
    <row r="170" spans="2:2" ht="15.75" customHeight="1">
      <c r="B170" s="14"/>
    </row>
    <row r="171" spans="2:2" ht="15.75" customHeight="1">
      <c r="B171" s="14"/>
    </row>
    <row r="172" spans="2:2" ht="15.75" customHeight="1">
      <c r="B172" s="14"/>
    </row>
    <row r="173" spans="2:2" ht="15.75" customHeight="1">
      <c r="B173" s="14"/>
    </row>
    <row r="174" spans="2:2" ht="15.75" customHeight="1">
      <c r="B174" s="14"/>
    </row>
    <row r="175" spans="2:2" ht="15.75" customHeight="1">
      <c r="B175" s="14"/>
    </row>
    <row r="176" spans="2:2" ht="15.75" customHeight="1">
      <c r="B176" s="14"/>
    </row>
    <row r="177" spans="2:2" ht="15.75" customHeight="1">
      <c r="B177" s="14"/>
    </row>
    <row r="178" spans="2:2" ht="15.75" customHeight="1">
      <c r="B178" s="14"/>
    </row>
    <row r="179" spans="2:2" ht="15.75" customHeight="1">
      <c r="B179" s="14"/>
    </row>
    <row r="180" spans="2:2" ht="15.75" customHeight="1">
      <c r="B180" s="14"/>
    </row>
    <row r="181" spans="2:2" ht="15.75" customHeight="1">
      <c r="B181" s="14"/>
    </row>
    <row r="182" spans="2:2" ht="15.75" customHeight="1">
      <c r="B182" s="14"/>
    </row>
    <row r="183" spans="2:2" ht="15.75" customHeight="1">
      <c r="B183" s="14"/>
    </row>
    <row r="184" spans="2:2" ht="15.75" customHeight="1">
      <c r="B184" s="14"/>
    </row>
    <row r="185" spans="2:2" ht="15.75" customHeight="1">
      <c r="B185" s="14"/>
    </row>
    <row r="186" spans="2:2" ht="15.75" customHeight="1">
      <c r="B186" s="14"/>
    </row>
    <row r="187" spans="2:2" ht="15.75" customHeight="1">
      <c r="B187" s="14"/>
    </row>
    <row r="188" spans="2:2" ht="15.75" customHeight="1">
      <c r="B188" s="14"/>
    </row>
    <row r="189" spans="2:2" ht="15.75" customHeight="1">
      <c r="B189" s="14"/>
    </row>
    <row r="190" spans="2:2" ht="15.75" customHeight="1">
      <c r="B190" s="14"/>
    </row>
    <row r="191" spans="2:2" ht="15.75" customHeight="1">
      <c r="B191" s="14"/>
    </row>
    <row r="192" spans="2:2" ht="15.75" customHeight="1">
      <c r="B192" s="14"/>
    </row>
    <row r="193" spans="2:2" ht="15.75" customHeight="1">
      <c r="B193" s="14"/>
    </row>
    <row r="194" spans="2:2" ht="15.75" customHeight="1">
      <c r="B194" s="14"/>
    </row>
    <row r="195" spans="2:2" ht="15.75" customHeight="1">
      <c r="B195" s="14"/>
    </row>
    <row r="196" spans="2:2" ht="15.75" customHeight="1">
      <c r="B196" s="14"/>
    </row>
    <row r="197" spans="2:2" ht="15.75" customHeight="1">
      <c r="B197" s="14"/>
    </row>
    <row r="198" spans="2:2" ht="15.75" customHeight="1">
      <c r="B198" s="14"/>
    </row>
    <row r="199" spans="2:2" ht="15.75" customHeight="1">
      <c r="B199" s="14"/>
    </row>
    <row r="200" spans="2:2" ht="15.75" customHeight="1">
      <c r="B200" s="14"/>
    </row>
    <row r="201" spans="2:2" ht="15.75" customHeight="1">
      <c r="B201" s="14"/>
    </row>
    <row r="202" spans="2:2" ht="15.75" customHeight="1">
      <c r="B202" s="14"/>
    </row>
    <row r="203" spans="2:2" ht="15.75" customHeight="1">
      <c r="B203" s="14"/>
    </row>
    <row r="204" spans="2:2" ht="15.75" customHeight="1">
      <c r="B204" s="14"/>
    </row>
    <row r="205" spans="2:2" ht="15.75" customHeight="1">
      <c r="B205" s="14"/>
    </row>
    <row r="206" spans="2:2" ht="15.75" customHeight="1">
      <c r="B206" s="14"/>
    </row>
    <row r="207" spans="2:2" ht="15.75" customHeight="1">
      <c r="B207" s="14"/>
    </row>
    <row r="208" spans="2:2" ht="15.75" customHeight="1">
      <c r="B208" s="14"/>
    </row>
    <row r="209" spans="2:2" ht="15.75" customHeight="1">
      <c r="B209" s="14"/>
    </row>
    <row r="210" spans="2:2" ht="15.75" customHeight="1">
      <c r="B210" s="14"/>
    </row>
    <row r="211" spans="2:2" ht="15.75" customHeight="1">
      <c r="B211" s="14"/>
    </row>
    <row r="212" spans="2:2" ht="15.75" customHeight="1">
      <c r="B212" s="14"/>
    </row>
    <row r="213" spans="2:2" ht="15.75" customHeight="1">
      <c r="B213" s="14"/>
    </row>
    <row r="214" spans="2:2" ht="15.75" customHeight="1">
      <c r="B214" s="14"/>
    </row>
    <row r="215" spans="2:2" ht="15.75" customHeight="1">
      <c r="B215" s="14"/>
    </row>
    <row r="216" spans="2:2" ht="15.75" customHeight="1">
      <c r="B216" s="14"/>
    </row>
    <row r="217" spans="2:2" ht="15.75" customHeight="1">
      <c r="B217" s="14"/>
    </row>
    <row r="218" spans="2:2" ht="15.75" customHeight="1">
      <c r="B218" s="14"/>
    </row>
    <row r="219" spans="2:2" ht="15.75" customHeight="1">
      <c r="B219" s="14"/>
    </row>
    <row r="220" spans="2:2" ht="15.75" customHeight="1">
      <c r="B220" s="14"/>
    </row>
    <row r="221" spans="2:2" ht="15.75" customHeight="1">
      <c r="B221" s="14"/>
    </row>
    <row r="222" spans="2:2" ht="15.75" customHeight="1">
      <c r="B222" s="14"/>
    </row>
    <row r="223" spans="2:2" ht="15.75" customHeight="1">
      <c r="B223" s="14"/>
    </row>
    <row r="224" spans="2:2" ht="15.75" customHeight="1">
      <c r="B224" s="14"/>
    </row>
    <row r="225" spans="2:2" ht="15.75" customHeight="1">
      <c r="B225" s="14"/>
    </row>
    <row r="226" spans="2:2" ht="15.75" customHeight="1">
      <c r="B226" s="14"/>
    </row>
    <row r="227" spans="2:2" ht="15.75" customHeight="1">
      <c r="B227" s="14"/>
    </row>
    <row r="228" spans="2:2" ht="15.75" customHeight="1">
      <c r="B228" s="14"/>
    </row>
    <row r="229" spans="2:2" ht="15.75" customHeight="1">
      <c r="B229" s="14"/>
    </row>
    <row r="230" spans="2:2" ht="15.75" customHeight="1">
      <c r="B230" s="14"/>
    </row>
    <row r="231" spans="2:2" ht="15.75" customHeight="1">
      <c r="B231" s="14"/>
    </row>
    <row r="232" spans="2:2" ht="15.75" customHeight="1">
      <c r="B232" s="14"/>
    </row>
    <row r="233" spans="2:2" ht="15.75" customHeight="1">
      <c r="B233" s="14"/>
    </row>
    <row r="234" spans="2:2" ht="15.75" customHeight="1">
      <c r="B234" s="14"/>
    </row>
    <row r="235" spans="2:2" ht="15.75" customHeight="1">
      <c r="B235" s="14"/>
    </row>
    <row r="236" spans="2:2" ht="15.75" customHeight="1">
      <c r="B236" s="14"/>
    </row>
    <row r="237" spans="2:2" ht="15.75" customHeight="1">
      <c r="B237" s="14"/>
    </row>
    <row r="238" spans="2:2" ht="15.75" customHeight="1">
      <c r="B238" s="14"/>
    </row>
    <row r="239" spans="2:2" ht="15.75" customHeight="1">
      <c r="B239" s="14"/>
    </row>
    <row r="240" spans="2:2" ht="15.75" customHeight="1">
      <c r="B240" s="14"/>
    </row>
    <row r="241" spans="2:2" ht="15.75" customHeight="1">
      <c r="B241" s="14"/>
    </row>
    <row r="242" spans="2:2" ht="15.75" customHeight="1">
      <c r="B242" s="14"/>
    </row>
    <row r="243" spans="2:2" ht="15.75" customHeight="1">
      <c r="B243" s="14"/>
    </row>
    <row r="244" spans="2:2" ht="15.75" customHeight="1">
      <c r="B244" s="14"/>
    </row>
    <row r="245" spans="2:2" ht="15.75" customHeight="1">
      <c r="B245" s="14"/>
    </row>
    <row r="246" spans="2:2" ht="15.75" customHeight="1">
      <c r="B246" s="14"/>
    </row>
    <row r="247" spans="2:2" ht="15.75" customHeight="1">
      <c r="B247" s="14"/>
    </row>
    <row r="248" spans="2:2" ht="15.75" customHeight="1">
      <c r="B248" s="14"/>
    </row>
    <row r="249" spans="2:2" ht="15.75" customHeight="1">
      <c r="B249" s="14"/>
    </row>
    <row r="250" spans="2:2" ht="15.75" customHeight="1">
      <c r="B250" s="14"/>
    </row>
    <row r="251" spans="2:2" ht="15.75" customHeight="1">
      <c r="B251" s="14"/>
    </row>
    <row r="252" spans="2:2" ht="15.75" customHeight="1">
      <c r="B252" s="14"/>
    </row>
    <row r="253" spans="2:2" ht="15.75" customHeight="1">
      <c r="B253" s="14"/>
    </row>
    <row r="254" spans="2:2" ht="15.75" customHeight="1">
      <c r="B254" s="14"/>
    </row>
    <row r="255" spans="2:2" ht="15.75" customHeight="1">
      <c r="B255" s="14"/>
    </row>
    <row r="256" spans="2:2" ht="15.75" customHeight="1">
      <c r="B256" s="14"/>
    </row>
    <row r="257" spans="2:2" ht="15.75" customHeight="1">
      <c r="B257" s="14"/>
    </row>
    <row r="258" spans="2:2" ht="15.75" customHeight="1">
      <c r="B258" s="14"/>
    </row>
    <row r="259" spans="2:2" ht="15.75" customHeight="1">
      <c r="B259" s="14"/>
    </row>
    <row r="260" spans="2:2" ht="15.75" customHeight="1">
      <c r="B260" s="14"/>
    </row>
    <row r="261" spans="2:2" ht="15.75" customHeight="1">
      <c r="B261" s="14"/>
    </row>
    <row r="262" spans="2:2" ht="15.75" customHeight="1">
      <c r="B262" s="14"/>
    </row>
    <row r="263" spans="2:2" ht="15.75" customHeight="1">
      <c r="B263" s="14"/>
    </row>
    <row r="264" spans="2:2" ht="15.75" customHeight="1">
      <c r="B264" s="14"/>
    </row>
    <row r="265" spans="2:2" ht="15.75" customHeight="1">
      <c r="B265" s="14"/>
    </row>
    <row r="266" spans="2:2" ht="15.75" customHeight="1">
      <c r="B266" s="14"/>
    </row>
    <row r="267" spans="2:2" ht="15.75" customHeight="1">
      <c r="B267" s="14"/>
    </row>
    <row r="268" spans="2:2" ht="15.75" customHeight="1">
      <c r="B268" s="14"/>
    </row>
    <row r="269" spans="2:2" ht="15.75" customHeight="1">
      <c r="B269" s="14"/>
    </row>
    <row r="270" spans="2:2" ht="15.75" customHeight="1">
      <c r="B270" s="14"/>
    </row>
    <row r="271" spans="2:2" ht="15.75" customHeight="1">
      <c r="B271" s="14"/>
    </row>
    <row r="272" spans="2:2" ht="15.75" customHeight="1">
      <c r="B272" s="14"/>
    </row>
    <row r="273" spans="2:2" ht="15.75" customHeight="1">
      <c r="B273" s="14"/>
    </row>
    <row r="274" spans="2:2" ht="15.75" customHeight="1">
      <c r="B274" s="14"/>
    </row>
    <row r="275" spans="2:2" ht="15.75" customHeight="1">
      <c r="B275" s="14"/>
    </row>
    <row r="276" spans="2:2" ht="15.75" customHeight="1">
      <c r="B276" s="14"/>
    </row>
    <row r="277" spans="2:2" ht="15.75" customHeight="1">
      <c r="B277" s="14"/>
    </row>
    <row r="278" spans="2:2" ht="15.75" customHeight="1">
      <c r="B278" s="14"/>
    </row>
    <row r="279" spans="2:2" ht="15.75" customHeight="1">
      <c r="B279" s="14"/>
    </row>
    <row r="280" spans="2:2" ht="15.75" customHeight="1">
      <c r="B280" s="14"/>
    </row>
    <row r="281" spans="2:2" ht="15.75" customHeight="1">
      <c r="B281" s="14"/>
    </row>
    <row r="282" spans="2:2" ht="15.75" customHeight="1">
      <c r="B282" s="14"/>
    </row>
    <row r="283" spans="2:2" ht="15.75" customHeight="1">
      <c r="B283" s="14"/>
    </row>
    <row r="284" spans="2:2" ht="15.75" customHeight="1">
      <c r="B284" s="14"/>
    </row>
    <row r="285" spans="2:2" ht="15.75" customHeight="1">
      <c r="B285" s="14"/>
    </row>
    <row r="286" spans="2:2" ht="15.75" customHeight="1">
      <c r="B286" s="14"/>
    </row>
    <row r="287" spans="2:2" ht="15.75" customHeight="1">
      <c r="B287" s="14"/>
    </row>
    <row r="288" spans="2:2" ht="15.75" customHeight="1">
      <c r="B288" s="14"/>
    </row>
    <row r="289" spans="2:2" ht="15.75" customHeight="1">
      <c r="B289" s="14"/>
    </row>
    <row r="290" spans="2:2" ht="15.75" customHeight="1">
      <c r="B290" s="14"/>
    </row>
    <row r="291" spans="2:2" ht="15.75" customHeight="1">
      <c r="B291" s="14"/>
    </row>
    <row r="292" spans="2:2" ht="15.75" customHeight="1">
      <c r="B292" s="14"/>
    </row>
    <row r="293" spans="2:2" ht="15.75" customHeight="1">
      <c r="B293" s="14"/>
    </row>
    <row r="294" spans="2:2" ht="15.75" customHeight="1">
      <c r="B294" s="14"/>
    </row>
    <row r="295" spans="2:2" ht="15.75" customHeight="1">
      <c r="B295" s="14"/>
    </row>
    <row r="296" spans="2:2" ht="15.75" customHeight="1">
      <c r="B296" s="14"/>
    </row>
    <row r="297" spans="2:2" ht="15.75" customHeight="1">
      <c r="B297" s="14"/>
    </row>
    <row r="298" spans="2:2" ht="15.75" customHeight="1">
      <c r="B298" s="14"/>
    </row>
    <row r="299" spans="2:2" ht="15.75" customHeight="1">
      <c r="B299" s="14"/>
    </row>
    <row r="300" spans="2:2" ht="15.75" customHeight="1">
      <c r="B300" s="14"/>
    </row>
    <row r="301" spans="2:2" ht="15.75" customHeight="1">
      <c r="B301" s="14"/>
    </row>
    <row r="302" spans="2:2" ht="15.75" customHeight="1">
      <c r="B302" s="14"/>
    </row>
    <row r="303" spans="2:2" ht="15.75" customHeight="1">
      <c r="B303" s="14"/>
    </row>
    <row r="304" spans="2:2" ht="15.75" customHeight="1">
      <c r="B304" s="14"/>
    </row>
    <row r="305" spans="2:2" ht="15.75" customHeight="1">
      <c r="B305" s="14"/>
    </row>
    <row r="306" spans="2:2" ht="15.75" customHeight="1">
      <c r="B306" s="14"/>
    </row>
    <row r="307" spans="2:2" ht="15.75" customHeight="1">
      <c r="B307" s="14"/>
    </row>
    <row r="308" spans="2:2" ht="15.75" customHeight="1">
      <c r="B308" s="14"/>
    </row>
    <row r="309" spans="2:2" ht="15.75" customHeight="1">
      <c r="B309" s="14"/>
    </row>
    <row r="310" spans="2:2" ht="15.75" customHeight="1">
      <c r="B310" s="14"/>
    </row>
    <row r="311" spans="2:2" ht="15.75" customHeight="1">
      <c r="B311" s="14"/>
    </row>
    <row r="312" spans="2:2" ht="15.75" customHeight="1">
      <c r="B312" s="14"/>
    </row>
    <row r="313" spans="2:2" ht="15.75" customHeight="1">
      <c r="B313" s="14"/>
    </row>
    <row r="314" spans="2:2" ht="15.75" customHeight="1">
      <c r="B314" s="14"/>
    </row>
    <row r="315" spans="2:2" ht="15.75" customHeight="1">
      <c r="B315" s="14"/>
    </row>
    <row r="316" spans="2:2" ht="15.75" customHeight="1">
      <c r="B316" s="14"/>
    </row>
    <row r="317" spans="2:2" ht="15.75" customHeight="1">
      <c r="B317" s="14"/>
    </row>
    <row r="318" spans="2:2" ht="15.75" customHeight="1">
      <c r="B318" s="14"/>
    </row>
    <row r="319" spans="2:2" ht="15.75" customHeight="1">
      <c r="B319" s="14"/>
    </row>
    <row r="320" spans="2:2" ht="15.75" customHeight="1">
      <c r="B320" s="14"/>
    </row>
    <row r="321" spans="2:2" ht="15.75" customHeight="1">
      <c r="B321" s="14"/>
    </row>
    <row r="322" spans="2:2" ht="15.75" customHeight="1">
      <c r="B322" s="14"/>
    </row>
    <row r="323" spans="2:2" ht="15.75" customHeight="1">
      <c r="B323" s="14"/>
    </row>
    <row r="324" spans="2:2" ht="15.75" customHeight="1">
      <c r="B324" s="14"/>
    </row>
    <row r="325" spans="2:2" ht="15.75" customHeight="1">
      <c r="B325" s="14"/>
    </row>
    <row r="326" spans="2:2" ht="15.75" customHeight="1">
      <c r="B326" s="14"/>
    </row>
    <row r="327" spans="2:2" ht="15.75" customHeight="1">
      <c r="B327" s="14"/>
    </row>
    <row r="328" spans="2:2" ht="15.75" customHeight="1">
      <c r="B328" s="14"/>
    </row>
    <row r="329" spans="2:2" ht="15.75" customHeight="1">
      <c r="B329" s="14"/>
    </row>
    <row r="330" spans="2:2" ht="15.75" customHeight="1">
      <c r="B330" s="14"/>
    </row>
    <row r="331" spans="2:2" ht="15.75" customHeight="1">
      <c r="B331" s="14"/>
    </row>
    <row r="332" spans="2:2" ht="15.75" customHeight="1">
      <c r="B332" s="14"/>
    </row>
    <row r="333" spans="2:2" ht="15.75" customHeight="1">
      <c r="B333" s="14"/>
    </row>
    <row r="334" spans="2:2" ht="15.75" customHeight="1">
      <c r="B334" s="14"/>
    </row>
    <row r="335" spans="2:2" ht="15.75" customHeight="1">
      <c r="B335" s="14"/>
    </row>
    <row r="336" spans="2:2" ht="15.75" customHeight="1">
      <c r="B336" s="14"/>
    </row>
    <row r="337" spans="2:2" ht="15.75" customHeight="1">
      <c r="B337" s="14"/>
    </row>
    <row r="338" spans="2:2" ht="15.75" customHeight="1">
      <c r="B338" s="14"/>
    </row>
    <row r="339" spans="2:2" ht="15.75" customHeight="1">
      <c r="B339" s="14"/>
    </row>
    <row r="340" spans="2:2" ht="15.75" customHeight="1">
      <c r="B340" s="14"/>
    </row>
    <row r="341" spans="2:2" ht="15.75" customHeight="1">
      <c r="B341" s="14"/>
    </row>
    <row r="342" spans="2:2" ht="15.75" customHeight="1">
      <c r="B342" s="14"/>
    </row>
    <row r="343" spans="2:2" ht="15.75" customHeight="1">
      <c r="B343" s="14"/>
    </row>
    <row r="344" spans="2:2" ht="15.75" customHeight="1">
      <c r="B344" s="14"/>
    </row>
    <row r="345" spans="2:2" ht="15.75" customHeight="1">
      <c r="B345" s="14"/>
    </row>
    <row r="346" spans="2:2" ht="15.75" customHeight="1">
      <c r="B346" s="14"/>
    </row>
    <row r="347" spans="2:2" ht="15.75" customHeight="1">
      <c r="B347" s="14"/>
    </row>
    <row r="348" spans="2:2" ht="15.75" customHeight="1">
      <c r="B348" s="14"/>
    </row>
    <row r="349" spans="2:2" ht="15.75" customHeight="1">
      <c r="B349" s="14"/>
    </row>
    <row r="350" spans="2:2" ht="15.75" customHeight="1">
      <c r="B350" s="14"/>
    </row>
    <row r="351" spans="2:2" ht="15.75" customHeight="1">
      <c r="B351" s="14"/>
    </row>
    <row r="352" spans="2:2" ht="15.75" customHeight="1">
      <c r="B352" s="14"/>
    </row>
    <row r="353" spans="2:2" ht="15.75" customHeight="1">
      <c r="B353" s="14"/>
    </row>
    <row r="354" spans="2:2" ht="15.75" customHeight="1">
      <c r="B354" s="14"/>
    </row>
    <row r="355" spans="2:2" ht="15.75" customHeight="1">
      <c r="B355" s="14"/>
    </row>
    <row r="356" spans="2:2" ht="15.75" customHeight="1">
      <c r="B356" s="14"/>
    </row>
    <row r="357" spans="2:2" ht="15.75" customHeight="1">
      <c r="B357" s="14"/>
    </row>
    <row r="358" spans="2:2" ht="15.75" customHeight="1">
      <c r="B358" s="14"/>
    </row>
    <row r="359" spans="2:2" ht="15.75" customHeight="1">
      <c r="B359" s="14"/>
    </row>
    <row r="360" spans="2:2" ht="15.75" customHeight="1">
      <c r="B360" s="14"/>
    </row>
    <row r="361" spans="2:2" ht="15.75" customHeight="1">
      <c r="B361" s="14"/>
    </row>
    <row r="362" spans="2:2" ht="15.75" customHeight="1">
      <c r="B362" s="14"/>
    </row>
    <row r="363" spans="2:2" ht="15.75" customHeight="1">
      <c r="B363" s="14"/>
    </row>
    <row r="364" spans="2:2" ht="15.75" customHeight="1">
      <c r="B364" s="14"/>
    </row>
    <row r="365" spans="2:2" ht="15.75" customHeight="1">
      <c r="B365" s="14"/>
    </row>
    <row r="366" spans="2:2" ht="15.75" customHeight="1">
      <c r="B366" s="14"/>
    </row>
    <row r="367" spans="2:2" ht="15.75" customHeight="1">
      <c r="B367" s="14"/>
    </row>
    <row r="368" spans="2:2" ht="15.75" customHeight="1">
      <c r="B368" s="14"/>
    </row>
    <row r="369" spans="2:2" ht="15.75" customHeight="1">
      <c r="B369" s="14"/>
    </row>
    <row r="370" spans="2:2" ht="15.75" customHeight="1">
      <c r="B370" s="14"/>
    </row>
    <row r="371" spans="2:2" ht="15.75" customHeight="1">
      <c r="B371" s="14"/>
    </row>
    <row r="372" spans="2:2" ht="15.75" customHeight="1">
      <c r="B372" s="14"/>
    </row>
    <row r="373" spans="2:2" ht="15.75" customHeight="1">
      <c r="B373" s="14"/>
    </row>
    <row r="374" spans="2:2" ht="15.75" customHeight="1">
      <c r="B374" s="14"/>
    </row>
    <row r="375" spans="2:2" ht="15.75" customHeight="1">
      <c r="B375" s="14"/>
    </row>
    <row r="376" spans="2:2" ht="15.75" customHeight="1">
      <c r="B376" s="14"/>
    </row>
    <row r="377" spans="2:2" ht="15.75" customHeight="1">
      <c r="B377" s="14"/>
    </row>
    <row r="378" spans="2:2" ht="15.75" customHeight="1">
      <c r="B378" s="14"/>
    </row>
    <row r="379" spans="2:2" ht="15.75" customHeight="1">
      <c r="B379" s="14"/>
    </row>
    <row r="380" spans="2:2" ht="15.75" customHeight="1">
      <c r="B380" s="14"/>
    </row>
    <row r="381" spans="2:2" ht="15.75" customHeight="1">
      <c r="B381" s="14"/>
    </row>
    <row r="382" spans="2:2" ht="15.75" customHeight="1">
      <c r="B382" s="14"/>
    </row>
    <row r="383" spans="2:2" ht="15.75" customHeight="1">
      <c r="B383" s="14"/>
    </row>
    <row r="384" spans="2:2" ht="15.75" customHeight="1">
      <c r="B384" s="14"/>
    </row>
    <row r="385" spans="2:2" ht="15.75" customHeight="1">
      <c r="B385" s="14"/>
    </row>
    <row r="386" spans="2:2" ht="15.75" customHeight="1">
      <c r="B386" s="14"/>
    </row>
    <row r="387" spans="2:2" ht="15.75" customHeight="1">
      <c r="B387" s="14"/>
    </row>
    <row r="388" spans="2:2" ht="15.75" customHeight="1">
      <c r="B388" s="14"/>
    </row>
    <row r="389" spans="2:2" ht="15.75" customHeight="1">
      <c r="B389" s="14"/>
    </row>
    <row r="390" spans="2:2" ht="15.75" customHeight="1">
      <c r="B390" s="14"/>
    </row>
    <row r="391" spans="2:2" ht="15.75" customHeight="1">
      <c r="B391" s="14"/>
    </row>
    <row r="392" spans="2:2" ht="15.75" customHeight="1">
      <c r="B392" s="14"/>
    </row>
    <row r="393" spans="2:2" ht="15.75" customHeight="1">
      <c r="B393" s="14"/>
    </row>
    <row r="394" spans="2:2" ht="15.75" customHeight="1">
      <c r="B394" s="14"/>
    </row>
    <row r="395" spans="2:2" ht="15.75" customHeight="1">
      <c r="B395" s="14"/>
    </row>
    <row r="396" spans="2:2" ht="15.75" customHeight="1">
      <c r="B396" s="14"/>
    </row>
    <row r="397" spans="2:2" ht="15.75" customHeight="1">
      <c r="B397" s="14"/>
    </row>
    <row r="398" spans="2:2" ht="15.75" customHeight="1">
      <c r="B398" s="14"/>
    </row>
    <row r="399" spans="2:2" ht="15.75" customHeight="1">
      <c r="B399" s="14"/>
    </row>
    <row r="400" spans="2:2" ht="15.75" customHeight="1">
      <c r="B400" s="14"/>
    </row>
    <row r="401" spans="2:2" ht="15.75" customHeight="1">
      <c r="B401" s="14"/>
    </row>
    <row r="402" spans="2:2" ht="15.75" customHeight="1">
      <c r="B402" s="14"/>
    </row>
    <row r="403" spans="2:2" ht="15.75" customHeight="1">
      <c r="B403" s="14"/>
    </row>
    <row r="404" spans="2:2" ht="15.75" customHeight="1">
      <c r="B404" s="14"/>
    </row>
    <row r="405" spans="2:2" ht="15.75" customHeight="1">
      <c r="B405" s="14"/>
    </row>
    <row r="406" spans="2:2" ht="15.75" customHeight="1">
      <c r="B406" s="14"/>
    </row>
    <row r="407" spans="2:2" ht="15.75" customHeight="1">
      <c r="B407" s="14"/>
    </row>
    <row r="408" spans="2:2" ht="15.75" customHeight="1">
      <c r="B408" s="14"/>
    </row>
    <row r="409" spans="2:2" ht="15.75" customHeight="1">
      <c r="B409" s="14"/>
    </row>
    <row r="410" spans="2:2" ht="15.75" customHeight="1">
      <c r="B410" s="14"/>
    </row>
    <row r="411" spans="2:2" ht="15.75" customHeight="1">
      <c r="B411" s="14"/>
    </row>
    <row r="412" spans="2:2" ht="15.75" customHeight="1">
      <c r="B412" s="14"/>
    </row>
    <row r="413" spans="2:2" ht="15.75" customHeight="1">
      <c r="B413" s="14"/>
    </row>
    <row r="414" spans="2:2" ht="15.75" customHeight="1">
      <c r="B414" s="14"/>
    </row>
    <row r="415" spans="2:2" ht="15.75" customHeight="1">
      <c r="B415" s="14"/>
    </row>
    <row r="416" spans="2:2" ht="15.75" customHeight="1">
      <c r="B416" s="14"/>
    </row>
    <row r="417" spans="2:2" ht="15.75" customHeight="1">
      <c r="B417" s="14"/>
    </row>
    <row r="418" spans="2:2" ht="15.75" customHeight="1">
      <c r="B418" s="14"/>
    </row>
    <row r="419" spans="2:2" ht="15.75" customHeight="1">
      <c r="B419" s="14"/>
    </row>
    <row r="420" spans="2:2" ht="15.75" customHeight="1">
      <c r="B420" s="14"/>
    </row>
    <row r="421" spans="2:2" ht="15.75" customHeight="1">
      <c r="B421" s="14"/>
    </row>
    <row r="422" spans="2:2" ht="15.75" customHeight="1">
      <c r="B422" s="14"/>
    </row>
    <row r="423" spans="2:2" ht="15.75" customHeight="1">
      <c r="B423" s="14"/>
    </row>
    <row r="424" spans="2:2" ht="15.75" customHeight="1">
      <c r="B424" s="14"/>
    </row>
    <row r="425" spans="2:2" ht="15.75" customHeight="1">
      <c r="B425" s="14"/>
    </row>
    <row r="426" spans="2:2" ht="15.75" customHeight="1">
      <c r="B426" s="14"/>
    </row>
    <row r="427" spans="2:2" ht="15.75" customHeight="1">
      <c r="B427" s="14"/>
    </row>
    <row r="428" spans="2:2" ht="15.75" customHeight="1">
      <c r="B428" s="14"/>
    </row>
    <row r="429" spans="2:2" ht="15.75" customHeight="1">
      <c r="B429" s="14"/>
    </row>
    <row r="430" spans="2:2" ht="15.75" customHeight="1">
      <c r="B430" s="14"/>
    </row>
    <row r="431" spans="2:2" ht="15.75" customHeight="1">
      <c r="B431" s="14"/>
    </row>
    <row r="432" spans="2:2" ht="15.75" customHeight="1">
      <c r="B432" s="14"/>
    </row>
    <row r="433" spans="2:2" ht="15.75" customHeight="1">
      <c r="B433" s="14"/>
    </row>
    <row r="434" spans="2:2" ht="15.75" customHeight="1">
      <c r="B434" s="14"/>
    </row>
    <row r="435" spans="2:2" ht="15.75" customHeight="1">
      <c r="B435" s="14"/>
    </row>
    <row r="436" spans="2:2" ht="15.75" customHeight="1">
      <c r="B436" s="14"/>
    </row>
    <row r="437" spans="2:2" ht="15.75" customHeight="1">
      <c r="B437" s="14"/>
    </row>
    <row r="438" spans="2:2" ht="15.75" customHeight="1">
      <c r="B438" s="14"/>
    </row>
    <row r="439" spans="2:2" ht="15.75" customHeight="1">
      <c r="B439" s="14"/>
    </row>
    <row r="440" spans="2:2" ht="15.75" customHeight="1">
      <c r="B440" s="14"/>
    </row>
    <row r="441" spans="2:2" ht="15.75" customHeight="1">
      <c r="B441" s="14"/>
    </row>
    <row r="442" spans="2:2" ht="15.75" customHeight="1">
      <c r="B442" s="14"/>
    </row>
    <row r="443" spans="2:2" ht="15.75" customHeight="1">
      <c r="B443" s="14"/>
    </row>
    <row r="444" spans="2:2" ht="15.75" customHeight="1">
      <c r="B444" s="14"/>
    </row>
    <row r="445" spans="2:2" ht="15.75" customHeight="1">
      <c r="B445" s="14"/>
    </row>
    <row r="446" spans="2:2" ht="15.75" customHeight="1">
      <c r="B446" s="14"/>
    </row>
    <row r="447" spans="2:2" ht="15.75" customHeight="1">
      <c r="B447" s="14"/>
    </row>
    <row r="448" spans="2:2" ht="15.75" customHeight="1">
      <c r="B448" s="14"/>
    </row>
    <row r="449" spans="2:2" ht="15.75" customHeight="1">
      <c r="B449" s="14"/>
    </row>
    <row r="450" spans="2:2" ht="15.75" customHeight="1">
      <c r="B450" s="14"/>
    </row>
    <row r="451" spans="2:2" ht="15.75" customHeight="1">
      <c r="B451" s="14"/>
    </row>
    <row r="452" spans="2:2" ht="15.75" customHeight="1">
      <c r="B452" s="14"/>
    </row>
    <row r="453" spans="2:2" ht="15.75" customHeight="1">
      <c r="B453" s="14"/>
    </row>
    <row r="454" spans="2:2" ht="15.75" customHeight="1">
      <c r="B454" s="14"/>
    </row>
    <row r="455" spans="2:2" ht="15.75" customHeight="1">
      <c r="B455" s="14"/>
    </row>
    <row r="456" spans="2:2" ht="15.75" customHeight="1">
      <c r="B456" s="14"/>
    </row>
    <row r="457" spans="2:2" ht="15.75" customHeight="1">
      <c r="B457" s="14"/>
    </row>
    <row r="458" spans="2:2" ht="15.75" customHeight="1">
      <c r="B458" s="14"/>
    </row>
    <row r="459" spans="2:2" ht="15.75" customHeight="1">
      <c r="B459" s="14"/>
    </row>
    <row r="460" spans="2:2" ht="15.75" customHeight="1">
      <c r="B460" s="14"/>
    </row>
    <row r="461" spans="2:2" ht="15.75" customHeight="1">
      <c r="B461" s="14"/>
    </row>
    <row r="462" spans="2:2" ht="15.75" customHeight="1">
      <c r="B462" s="14"/>
    </row>
    <row r="463" spans="2:2" ht="15.75" customHeight="1">
      <c r="B463" s="14"/>
    </row>
    <row r="464" spans="2:2" ht="15.75" customHeight="1">
      <c r="B464" s="14"/>
    </row>
    <row r="465" spans="2:2" ht="15.75" customHeight="1">
      <c r="B465" s="14"/>
    </row>
    <row r="466" spans="2:2" ht="15.75" customHeight="1">
      <c r="B466" s="14"/>
    </row>
    <row r="467" spans="2:2" ht="15.75" customHeight="1">
      <c r="B467" s="14"/>
    </row>
    <row r="468" spans="2:2" ht="15.75" customHeight="1">
      <c r="B468" s="14"/>
    </row>
    <row r="469" spans="2:2" ht="15.75" customHeight="1">
      <c r="B469" s="14"/>
    </row>
    <row r="470" spans="2:2" ht="15.75" customHeight="1">
      <c r="B470" s="14"/>
    </row>
    <row r="471" spans="2:2" ht="15.75" customHeight="1">
      <c r="B471" s="14"/>
    </row>
    <row r="472" spans="2:2" ht="15.75" customHeight="1">
      <c r="B472" s="14"/>
    </row>
    <row r="473" spans="2:2" ht="15.75" customHeight="1">
      <c r="B473" s="14"/>
    </row>
    <row r="474" spans="2:2" ht="15.75" customHeight="1">
      <c r="B474" s="14"/>
    </row>
    <row r="475" spans="2:2" ht="15.75" customHeight="1">
      <c r="B475" s="14"/>
    </row>
    <row r="476" spans="2:2" ht="15.75" customHeight="1">
      <c r="B476" s="14"/>
    </row>
    <row r="477" spans="2:2" ht="15.75" customHeight="1">
      <c r="B477" s="14"/>
    </row>
    <row r="478" spans="2:2" ht="15.75" customHeight="1">
      <c r="B478" s="14"/>
    </row>
    <row r="479" spans="2:2" ht="15.75" customHeight="1">
      <c r="B479" s="14"/>
    </row>
    <row r="480" spans="2:2" ht="15.75" customHeight="1">
      <c r="B480" s="14"/>
    </row>
    <row r="481" spans="2:2" ht="15.75" customHeight="1">
      <c r="B481" s="14"/>
    </row>
    <row r="482" spans="2:2" ht="15.75" customHeight="1">
      <c r="B482" s="14"/>
    </row>
    <row r="483" spans="2:2" ht="15.75" customHeight="1">
      <c r="B483" s="14"/>
    </row>
    <row r="484" spans="2:2" ht="15.75" customHeight="1">
      <c r="B484" s="14"/>
    </row>
    <row r="485" spans="2:2" ht="15.75" customHeight="1">
      <c r="B485" s="14"/>
    </row>
    <row r="486" spans="2:2" ht="15.75" customHeight="1">
      <c r="B486" s="14"/>
    </row>
    <row r="487" spans="2:2" ht="15.75" customHeight="1">
      <c r="B487" s="14"/>
    </row>
    <row r="488" spans="2:2" ht="15.75" customHeight="1">
      <c r="B488" s="14"/>
    </row>
    <row r="489" spans="2:2" ht="15.75" customHeight="1">
      <c r="B489" s="14"/>
    </row>
    <row r="490" spans="2:2" ht="15.75" customHeight="1">
      <c r="B490" s="14"/>
    </row>
    <row r="491" spans="2:2" ht="15.75" customHeight="1">
      <c r="B491" s="14"/>
    </row>
    <row r="492" spans="2:2" ht="15.75" customHeight="1">
      <c r="B492" s="14"/>
    </row>
    <row r="493" spans="2:2" ht="15.75" customHeight="1">
      <c r="B493" s="14"/>
    </row>
    <row r="494" spans="2:2" ht="15.75" customHeight="1">
      <c r="B494" s="14"/>
    </row>
    <row r="495" spans="2:2" ht="15.75" customHeight="1">
      <c r="B495" s="14"/>
    </row>
    <row r="496" spans="2:2" ht="15.75" customHeight="1">
      <c r="B496" s="14"/>
    </row>
    <row r="497" spans="2:2" ht="15.75" customHeight="1">
      <c r="B497" s="14"/>
    </row>
    <row r="498" spans="2:2" ht="15.75" customHeight="1">
      <c r="B498" s="14"/>
    </row>
    <row r="499" spans="2:2" ht="15.75" customHeight="1">
      <c r="B499" s="14"/>
    </row>
    <row r="500" spans="2:2" ht="15.75" customHeight="1">
      <c r="B500" s="14"/>
    </row>
    <row r="501" spans="2:2" ht="15.75" customHeight="1">
      <c r="B501" s="14"/>
    </row>
    <row r="502" spans="2:2" ht="15.75" customHeight="1">
      <c r="B502" s="14"/>
    </row>
    <row r="503" spans="2:2" ht="15.75" customHeight="1">
      <c r="B503" s="14"/>
    </row>
    <row r="504" spans="2:2" ht="15.75" customHeight="1">
      <c r="B504" s="14"/>
    </row>
    <row r="505" spans="2:2" ht="15.75" customHeight="1">
      <c r="B505" s="14"/>
    </row>
    <row r="506" spans="2:2" ht="15.75" customHeight="1">
      <c r="B506" s="14"/>
    </row>
    <row r="507" spans="2:2" ht="15.75" customHeight="1">
      <c r="B507" s="14"/>
    </row>
    <row r="508" spans="2:2" ht="15.75" customHeight="1">
      <c r="B508" s="14"/>
    </row>
    <row r="509" spans="2:2" ht="15.75" customHeight="1">
      <c r="B509" s="14"/>
    </row>
    <row r="510" spans="2:2" ht="15.75" customHeight="1">
      <c r="B510" s="14"/>
    </row>
    <row r="511" spans="2:2" ht="15.75" customHeight="1">
      <c r="B511" s="14"/>
    </row>
    <row r="512" spans="2:2" ht="15.75" customHeight="1">
      <c r="B512" s="14"/>
    </row>
    <row r="513" spans="2:2" ht="15.75" customHeight="1">
      <c r="B513" s="14"/>
    </row>
    <row r="514" spans="2:2" ht="15.75" customHeight="1">
      <c r="B514" s="14"/>
    </row>
    <row r="515" spans="2:2" ht="15.75" customHeight="1">
      <c r="B515" s="14"/>
    </row>
    <row r="516" spans="2:2" ht="15.75" customHeight="1">
      <c r="B516" s="14"/>
    </row>
    <row r="517" spans="2:2" ht="15.75" customHeight="1">
      <c r="B517" s="14"/>
    </row>
    <row r="518" spans="2:2" ht="15.75" customHeight="1">
      <c r="B518" s="14"/>
    </row>
    <row r="519" spans="2:2" ht="15.75" customHeight="1">
      <c r="B519" s="14"/>
    </row>
    <row r="520" spans="2:2" ht="15.75" customHeight="1">
      <c r="B520" s="14"/>
    </row>
    <row r="521" spans="2:2" ht="15.75" customHeight="1">
      <c r="B521" s="14"/>
    </row>
    <row r="522" spans="2:2" ht="15.75" customHeight="1">
      <c r="B522" s="14"/>
    </row>
    <row r="523" spans="2:2" ht="15.75" customHeight="1">
      <c r="B523" s="14"/>
    </row>
    <row r="524" spans="2:2" ht="15.75" customHeight="1">
      <c r="B524" s="14"/>
    </row>
    <row r="525" spans="2:2" ht="15.75" customHeight="1">
      <c r="B525" s="14"/>
    </row>
    <row r="526" spans="2:2" ht="15.75" customHeight="1">
      <c r="B526" s="14"/>
    </row>
    <row r="527" spans="2:2" ht="15.75" customHeight="1">
      <c r="B527" s="14"/>
    </row>
    <row r="528" spans="2:2" ht="15.75" customHeight="1">
      <c r="B528" s="14"/>
    </row>
    <row r="529" spans="2:2" ht="15.75" customHeight="1">
      <c r="B529" s="14"/>
    </row>
    <row r="530" spans="2:2" ht="15.75" customHeight="1">
      <c r="B530" s="14"/>
    </row>
    <row r="531" spans="2:2" ht="15.75" customHeight="1">
      <c r="B531" s="14"/>
    </row>
    <row r="532" spans="2:2" ht="15.75" customHeight="1">
      <c r="B532" s="14"/>
    </row>
    <row r="533" spans="2:2" ht="15.75" customHeight="1">
      <c r="B533" s="14"/>
    </row>
    <row r="534" spans="2:2" ht="15.75" customHeight="1">
      <c r="B534" s="14"/>
    </row>
    <row r="535" spans="2:2" ht="15.75" customHeight="1">
      <c r="B535" s="14"/>
    </row>
    <row r="536" spans="2:2" ht="15.75" customHeight="1">
      <c r="B536" s="14"/>
    </row>
    <row r="537" spans="2:2" ht="15.75" customHeight="1">
      <c r="B537" s="14"/>
    </row>
    <row r="538" spans="2:2" ht="15.75" customHeight="1">
      <c r="B538" s="14"/>
    </row>
    <row r="539" spans="2:2" ht="15.75" customHeight="1">
      <c r="B539" s="14"/>
    </row>
    <row r="540" spans="2:2" ht="15.75" customHeight="1">
      <c r="B540" s="14"/>
    </row>
    <row r="541" spans="2:2" ht="15.75" customHeight="1">
      <c r="B541" s="14"/>
    </row>
    <row r="542" spans="2:2" ht="15.75" customHeight="1">
      <c r="B542" s="14"/>
    </row>
    <row r="543" spans="2:2" ht="15.75" customHeight="1">
      <c r="B543" s="14"/>
    </row>
    <row r="544" spans="2:2" ht="15.75" customHeight="1">
      <c r="B544" s="14"/>
    </row>
    <row r="545" spans="2:2" ht="15.75" customHeight="1">
      <c r="B545" s="14"/>
    </row>
    <row r="546" spans="2:2" ht="15.75" customHeight="1">
      <c r="B546" s="14"/>
    </row>
    <row r="547" spans="2:2" ht="15.75" customHeight="1">
      <c r="B547" s="14"/>
    </row>
    <row r="548" spans="2:2" ht="15.75" customHeight="1">
      <c r="B548" s="14"/>
    </row>
    <row r="549" spans="2:2" ht="15.75" customHeight="1">
      <c r="B549" s="14"/>
    </row>
    <row r="550" spans="2:2" ht="15.75" customHeight="1">
      <c r="B550" s="14"/>
    </row>
    <row r="551" spans="2:2" ht="15.75" customHeight="1">
      <c r="B551" s="14"/>
    </row>
    <row r="552" spans="2:2" ht="15.75" customHeight="1">
      <c r="B552" s="14"/>
    </row>
    <row r="553" spans="2:2" ht="15.75" customHeight="1">
      <c r="B553" s="14"/>
    </row>
    <row r="554" spans="2:2" ht="15.75" customHeight="1">
      <c r="B554" s="14"/>
    </row>
    <row r="555" spans="2:2" ht="15.75" customHeight="1">
      <c r="B555" s="14"/>
    </row>
    <row r="556" spans="2:2" ht="15.75" customHeight="1">
      <c r="B556" s="14"/>
    </row>
    <row r="557" spans="2:2" ht="15.75" customHeight="1">
      <c r="B557" s="14"/>
    </row>
    <row r="558" spans="2:2" ht="15.75" customHeight="1">
      <c r="B558" s="14"/>
    </row>
    <row r="559" spans="2:2" ht="15.75" customHeight="1">
      <c r="B559" s="14"/>
    </row>
    <row r="560" spans="2:2" ht="15.75" customHeight="1">
      <c r="B560" s="14"/>
    </row>
    <row r="561" spans="2:2" ht="15.75" customHeight="1">
      <c r="B561" s="14"/>
    </row>
    <row r="562" spans="2:2" ht="15.75" customHeight="1">
      <c r="B562" s="14"/>
    </row>
    <row r="563" spans="2:2" ht="15.75" customHeight="1">
      <c r="B563" s="14"/>
    </row>
    <row r="564" spans="2:2" ht="15.75" customHeight="1">
      <c r="B564" s="14"/>
    </row>
    <row r="565" spans="2:2" ht="15.75" customHeight="1">
      <c r="B565" s="14"/>
    </row>
    <row r="566" spans="2:2" ht="15.75" customHeight="1">
      <c r="B566" s="14"/>
    </row>
    <row r="567" spans="2:2" ht="15.75" customHeight="1">
      <c r="B567" s="14"/>
    </row>
    <row r="568" spans="2:2" ht="15.75" customHeight="1">
      <c r="B568" s="14"/>
    </row>
    <row r="569" spans="2:2" ht="15.75" customHeight="1">
      <c r="B569" s="14"/>
    </row>
    <row r="570" spans="2:2" ht="15.75" customHeight="1">
      <c r="B570" s="14"/>
    </row>
    <row r="571" spans="2:2" ht="15.75" customHeight="1">
      <c r="B571" s="14"/>
    </row>
    <row r="572" spans="2:2" ht="15.75" customHeight="1">
      <c r="B572" s="14"/>
    </row>
    <row r="573" spans="2:2" ht="15.75" customHeight="1">
      <c r="B573" s="14"/>
    </row>
    <row r="574" spans="2:2" ht="15.75" customHeight="1">
      <c r="B574" s="14"/>
    </row>
    <row r="575" spans="2:2" ht="15.75" customHeight="1">
      <c r="B575" s="14"/>
    </row>
    <row r="576" spans="2:2" ht="15.75" customHeight="1">
      <c r="B576" s="14"/>
    </row>
    <row r="577" spans="2:2" ht="15.75" customHeight="1">
      <c r="B577" s="14"/>
    </row>
    <row r="578" spans="2:2" ht="15.75" customHeight="1">
      <c r="B578" s="14"/>
    </row>
    <row r="579" spans="2:2" ht="15.75" customHeight="1">
      <c r="B579" s="14"/>
    </row>
    <row r="580" spans="2:2" ht="15.75" customHeight="1">
      <c r="B580" s="14"/>
    </row>
    <row r="581" spans="2:2" ht="15.75" customHeight="1">
      <c r="B581" s="14"/>
    </row>
    <row r="582" spans="2:2" ht="15.75" customHeight="1">
      <c r="B582" s="14"/>
    </row>
    <row r="583" spans="2:2" ht="15.75" customHeight="1">
      <c r="B583" s="14"/>
    </row>
    <row r="584" spans="2:2" ht="15.75" customHeight="1">
      <c r="B584" s="14"/>
    </row>
    <row r="585" spans="2:2" ht="15.75" customHeight="1">
      <c r="B585" s="14"/>
    </row>
    <row r="586" spans="2:2" ht="15.75" customHeight="1">
      <c r="B586" s="14"/>
    </row>
    <row r="587" spans="2:2" ht="15.75" customHeight="1">
      <c r="B587" s="14"/>
    </row>
    <row r="588" spans="2:2" ht="15.75" customHeight="1">
      <c r="B588" s="14"/>
    </row>
    <row r="589" spans="2:2" ht="15.75" customHeight="1">
      <c r="B589" s="14"/>
    </row>
    <row r="590" spans="2:2" ht="15.75" customHeight="1">
      <c r="B590" s="14"/>
    </row>
    <row r="591" spans="2:2" ht="15.75" customHeight="1">
      <c r="B591" s="14"/>
    </row>
    <row r="592" spans="2:2" ht="15.75" customHeight="1">
      <c r="B592" s="14"/>
    </row>
    <row r="593" spans="2:2" ht="15.75" customHeight="1">
      <c r="B593" s="14"/>
    </row>
    <row r="594" spans="2:2" ht="15.75" customHeight="1">
      <c r="B594" s="14"/>
    </row>
    <row r="595" spans="2:2" ht="15.75" customHeight="1">
      <c r="B595" s="14"/>
    </row>
    <row r="596" spans="2:2" ht="15.75" customHeight="1">
      <c r="B596" s="14"/>
    </row>
    <row r="597" spans="2:2" ht="15.75" customHeight="1">
      <c r="B597" s="14"/>
    </row>
    <row r="598" spans="2:2" ht="15.75" customHeight="1">
      <c r="B598" s="14"/>
    </row>
    <row r="599" spans="2:2" ht="15.75" customHeight="1">
      <c r="B599" s="14"/>
    </row>
    <row r="600" spans="2:2" ht="15.75" customHeight="1">
      <c r="B600" s="14"/>
    </row>
    <row r="601" spans="2:2" ht="15.75" customHeight="1">
      <c r="B601" s="14"/>
    </row>
    <row r="602" spans="2:2" ht="15.75" customHeight="1">
      <c r="B602" s="14"/>
    </row>
    <row r="603" spans="2:2" ht="15.75" customHeight="1">
      <c r="B603" s="14"/>
    </row>
    <row r="604" spans="2:2" ht="15.75" customHeight="1">
      <c r="B604" s="14"/>
    </row>
    <row r="605" spans="2:2" ht="15.75" customHeight="1">
      <c r="B605" s="14"/>
    </row>
    <row r="606" spans="2:2" ht="15.75" customHeight="1">
      <c r="B606" s="14"/>
    </row>
    <row r="607" spans="2:2" ht="15.75" customHeight="1">
      <c r="B607" s="14"/>
    </row>
    <row r="608" spans="2:2" ht="15.75" customHeight="1">
      <c r="B608" s="14"/>
    </row>
    <row r="609" spans="2:2" ht="15.75" customHeight="1">
      <c r="B609" s="14"/>
    </row>
    <row r="610" spans="2:2" ht="15.75" customHeight="1">
      <c r="B610" s="14"/>
    </row>
    <row r="611" spans="2:2" ht="15.75" customHeight="1">
      <c r="B611" s="14"/>
    </row>
    <row r="612" spans="2:2" ht="15.75" customHeight="1">
      <c r="B612" s="14"/>
    </row>
    <row r="613" spans="2:2" ht="15.75" customHeight="1">
      <c r="B613" s="14"/>
    </row>
    <row r="614" spans="2:2" ht="15.75" customHeight="1">
      <c r="B614" s="14"/>
    </row>
    <row r="615" spans="2:2" ht="15.75" customHeight="1">
      <c r="B615" s="14"/>
    </row>
    <row r="616" spans="2:2" ht="15.75" customHeight="1">
      <c r="B616" s="14"/>
    </row>
    <row r="617" spans="2:2" ht="15.75" customHeight="1">
      <c r="B617" s="14"/>
    </row>
    <row r="618" spans="2:2" ht="15.75" customHeight="1">
      <c r="B618" s="14"/>
    </row>
    <row r="619" spans="2:2" ht="15.75" customHeight="1">
      <c r="B619" s="14"/>
    </row>
    <row r="620" spans="2:2" ht="15.75" customHeight="1">
      <c r="B620" s="14"/>
    </row>
    <row r="621" spans="2:2" ht="15.75" customHeight="1">
      <c r="B621" s="14"/>
    </row>
    <row r="622" spans="2:2" ht="15.75" customHeight="1">
      <c r="B622" s="14"/>
    </row>
    <row r="623" spans="2:2" ht="15.75" customHeight="1">
      <c r="B623" s="14"/>
    </row>
    <row r="624" spans="2:2" ht="15.75" customHeight="1">
      <c r="B624" s="14"/>
    </row>
    <row r="625" spans="2:2" ht="15.75" customHeight="1">
      <c r="B625" s="14"/>
    </row>
    <row r="626" spans="2:2" ht="15.75" customHeight="1">
      <c r="B626" s="14"/>
    </row>
    <row r="627" spans="2:2" ht="15.75" customHeight="1">
      <c r="B627" s="14"/>
    </row>
    <row r="628" spans="2:2" ht="15.75" customHeight="1">
      <c r="B628" s="14"/>
    </row>
    <row r="629" spans="2:2" ht="15.75" customHeight="1">
      <c r="B629" s="14"/>
    </row>
    <row r="630" spans="2:2" ht="15.75" customHeight="1">
      <c r="B630" s="14"/>
    </row>
    <row r="631" spans="2:2" ht="15.75" customHeight="1">
      <c r="B631" s="14"/>
    </row>
    <row r="632" spans="2:2" ht="15.75" customHeight="1">
      <c r="B632" s="14"/>
    </row>
    <row r="633" spans="2:2" ht="15.75" customHeight="1">
      <c r="B633" s="14"/>
    </row>
    <row r="634" spans="2:2" ht="15.75" customHeight="1">
      <c r="B634" s="14"/>
    </row>
    <row r="635" spans="2:2" ht="15.75" customHeight="1">
      <c r="B635" s="14"/>
    </row>
    <row r="636" spans="2:2" ht="15.75" customHeight="1">
      <c r="B636" s="14"/>
    </row>
    <row r="637" spans="2:2" ht="15.75" customHeight="1">
      <c r="B637" s="14"/>
    </row>
    <row r="638" spans="2:2" ht="15.75" customHeight="1">
      <c r="B638" s="14"/>
    </row>
    <row r="639" spans="2:2" ht="15.75" customHeight="1">
      <c r="B639" s="14"/>
    </row>
    <row r="640" spans="2:2" ht="15.75" customHeight="1">
      <c r="B640" s="14"/>
    </row>
    <row r="641" spans="2:2" ht="15.75" customHeight="1">
      <c r="B641" s="14"/>
    </row>
    <row r="642" spans="2:2" ht="15.75" customHeight="1">
      <c r="B642" s="14"/>
    </row>
    <row r="643" spans="2:2" ht="15.75" customHeight="1">
      <c r="B643" s="14"/>
    </row>
    <row r="644" spans="2:2" ht="15.75" customHeight="1">
      <c r="B644" s="14"/>
    </row>
    <row r="645" spans="2:2" ht="15.75" customHeight="1">
      <c r="B645" s="14"/>
    </row>
    <row r="646" spans="2:2" ht="15.75" customHeight="1">
      <c r="B646" s="14"/>
    </row>
    <row r="647" spans="2:2" ht="15.75" customHeight="1">
      <c r="B647" s="14"/>
    </row>
    <row r="648" spans="2:2" ht="15.75" customHeight="1">
      <c r="B648" s="14"/>
    </row>
    <row r="649" spans="2:2" ht="15.75" customHeight="1">
      <c r="B649" s="14"/>
    </row>
    <row r="650" spans="2:2" ht="15.75" customHeight="1">
      <c r="B650" s="14"/>
    </row>
    <row r="651" spans="2:2" ht="15.75" customHeight="1">
      <c r="B651" s="14"/>
    </row>
    <row r="652" spans="2:2" ht="15.75" customHeight="1">
      <c r="B652" s="14"/>
    </row>
    <row r="653" spans="2:2" ht="15.75" customHeight="1">
      <c r="B653" s="14"/>
    </row>
    <row r="654" spans="2:2" ht="15.75" customHeight="1">
      <c r="B654" s="14"/>
    </row>
    <row r="655" spans="2:2" ht="15.75" customHeight="1">
      <c r="B655" s="14"/>
    </row>
    <row r="656" spans="2:2" ht="15.75" customHeight="1">
      <c r="B656" s="14"/>
    </row>
    <row r="657" spans="2:2" ht="15.75" customHeight="1">
      <c r="B657" s="14"/>
    </row>
    <row r="658" spans="2:2" ht="15.75" customHeight="1">
      <c r="B658" s="14"/>
    </row>
    <row r="659" spans="2:2" ht="15.75" customHeight="1">
      <c r="B659" s="14"/>
    </row>
    <row r="660" spans="2:2" ht="15.75" customHeight="1">
      <c r="B660" s="14"/>
    </row>
    <row r="661" spans="2:2" ht="15.75" customHeight="1">
      <c r="B661" s="14"/>
    </row>
    <row r="662" spans="2:2" ht="15.75" customHeight="1">
      <c r="B662" s="14"/>
    </row>
    <row r="663" spans="2:2" ht="15.75" customHeight="1">
      <c r="B663" s="14"/>
    </row>
    <row r="664" spans="2:2" ht="15.75" customHeight="1">
      <c r="B664" s="14"/>
    </row>
    <row r="665" spans="2:2" ht="15.75" customHeight="1">
      <c r="B665" s="14"/>
    </row>
    <row r="666" spans="2:2" ht="15.75" customHeight="1">
      <c r="B666" s="14"/>
    </row>
    <row r="667" spans="2:2" ht="15.75" customHeight="1">
      <c r="B667" s="14"/>
    </row>
    <row r="668" spans="2:2" ht="15.75" customHeight="1">
      <c r="B668" s="14"/>
    </row>
    <row r="669" spans="2:2" ht="15.75" customHeight="1">
      <c r="B669" s="14"/>
    </row>
    <row r="670" spans="2:2" ht="15.75" customHeight="1">
      <c r="B670" s="14"/>
    </row>
    <row r="671" spans="2:2" ht="15.75" customHeight="1">
      <c r="B671" s="14"/>
    </row>
    <row r="672" spans="2:2" ht="15.75" customHeight="1">
      <c r="B672" s="14"/>
    </row>
    <row r="673" spans="2:2" ht="15.75" customHeight="1">
      <c r="B673" s="14"/>
    </row>
    <row r="674" spans="2:2" ht="15.75" customHeight="1">
      <c r="B674" s="14"/>
    </row>
    <row r="675" spans="2:2" ht="15.75" customHeight="1">
      <c r="B675" s="14"/>
    </row>
    <row r="676" spans="2:2" ht="15.75" customHeight="1">
      <c r="B676" s="14"/>
    </row>
    <row r="677" spans="2:2" ht="15.75" customHeight="1">
      <c r="B677" s="14"/>
    </row>
    <row r="678" spans="2:2" ht="15.75" customHeight="1">
      <c r="B678" s="14"/>
    </row>
    <row r="679" spans="2:2" ht="15.75" customHeight="1">
      <c r="B679" s="14"/>
    </row>
    <row r="680" spans="2:2" ht="15.75" customHeight="1">
      <c r="B680" s="14"/>
    </row>
    <row r="681" spans="2:2" ht="15.75" customHeight="1">
      <c r="B681" s="14"/>
    </row>
    <row r="682" spans="2:2" ht="15.75" customHeight="1">
      <c r="B682" s="14"/>
    </row>
    <row r="683" spans="2:2" ht="15.75" customHeight="1">
      <c r="B683" s="14"/>
    </row>
    <row r="684" spans="2:2" ht="15.75" customHeight="1">
      <c r="B684" s="14"/>
    </row>
    <row r="685" spans="2:2" ht="15.75" customHeight="1">
      <c r="B685" s="14"/>
    </row>
    <row r="686" spans="2:2" ht="15.75" customHeight="1">
      <c r="B686" s="14"/>
    </row>
    <row r="687" spans="2:2" ht="15.75" customHeight="1">
      <c r="B687" s="14"/>
    </row>
    <row r="688" spans="2:2" ht="15.75" customHeight="1">
      <c r="B688" s="14"/>
    </row>
    <row r="689" spans="2:2" ht="15.75" customHeight="1">
      <c r="B689" s="14"/>
    </row>
    <row r="690" spans="2:2" ht="15.75" customHeight="1">
      <c r="B690" s="14"/>
    </row>
    <row r="691" spans="2:2" ht="15.75" customHeight="1">
      <c r="B691" s="14"/>
    </row>
    <row r="692" spans="2:2" ht="15.75" customHeight="1">
      <c r="B692" s="14"/>
    </row>
    <row r="693" spans="2:2" ht="15.75" customHeight="1">
      <c r="B693" s="14"/>
    </row>
    <row r="694" spans="2:2" ht="15.75" customHeight="1">
      <c r="B694" s="14"/>
    </row>
    <row r="695" spans="2:2" ht="15.75" customHeight="1">
      <c r="B695" s="14"/>
    </row>
    <row r="696" spans="2:2" ht="15.75" customHeight="1">
      <c r="B696" s="14"/>
    </row>
    <row r="697" spans="2:2" ht="15.75" customHeight="1">
      <c r="B697" s="14"/>
    </row>
    <row r="698" spans="2:2" ht="15.75" customHeight="1">
      <c r="B698" s="14"/>
    </row>
    <row r="699" spans="2:2" ht="15.75" customHeight="1">
      <c r="B699" s="14"/>
    </row>
    <row r="700" spans="2:2" ht="15.75" customHeight="1">
      <c r="B700" s="14"/>
    </row>
    <row r="701" spans="2:2" ht="15.75" customHeight="1">
      <c r="B701" s="14"/>
    </row>
    <row r="702" spans="2:2" ht="15.75" customHeight="1">
      <c r="B702" s="14"/>
    </row>
    <row r="703" spans="2:2" ht="15.75" customHeight="1">
      <c r="B703" s="14"/>
    </row>
    <row r="704" spans="2:2" ht="15.75" customHeight="1">
      <c r="B704" s="14"/>
    </row>
    <row r="705" spans="2:2" ht="15.75" customHeight="1">
      <c r="B705" s="14"/>
    </row>
    <row r="706" spans="2:2" ht="15.75" customHeight="1">
      <c r="B706" s="14"/>
    </row>
    <row r="707" spans="2:2" ht="15.75" customHeight="1">
      <c r="B707" s="14"/>
    </row>
    <row r="708" spans="2:2" ht="15.75" customHeight="1">
      <c r="B708" s="14"/>
    </row>
    <row r="709" spans="2:2" ht="15.75" customHeight="1">
      <c r="B709" s="14"/>
    </row>
    <row r="710" spans="2:2" ht="15.75" customHeight="1">
      <c r="B710" s="14"/>
    </row>
    <row r="711" spans="2:2" ht="15.75" customHeight="1">
      <c r="B711" s="14"/>
    </row>
    <row r="712" spans="2:2" ht="15.75" customHeight="1">
      <c r="B712" s="14"/>
    </row>
    <row r="713" spans="2:2" ht="15.75" customHeight="1">
      <c r="B713" s="14"/>
    </row>
    <row r="714" spans="2:2" ht="15.75" customHeight="1">
      <c r="B714" s="14"/>
    </row>
    <row r="715" spans="2:2" ht="15.75" customHeight="1">
      <c r="B715" s="14"/>
    </row>
    <row r="716" spans="2:2" ht="15.75" customHeight="1">
      <c r="B716" s="14"/>
    </row>
    <row r="717" spans="2:2" ht="15.75" customHeight="1">
      <c r="B717" s="14"/>
    </row>
    <row r="718" spans="2:2" ht="15.75" customHeight="1">
      <c r="B718" s="14"/>
    </row>
    <row r="719" spans="2:2" ht="15.75" customHeight="1">
      <c r="B719" s="14"/>
    </row>
    <row r="720" spans="2:2" ht="15.75" customHeight="1">
      <c r="B720" s="14"/>
    </row>
    <row r="721" spans="2:2" ht="15.75" customHeight="1">
      <c r="B721" s="14"/>
    </row>
    <row r="722" spans="2:2" ht="15.75" customHeight="1">
      <c r="B722" s="14"/>
    </row>
    <row r="723" spans="2:2" ht="15.75" customHeight="1">
      <c r="B723" s="14"/>
    </row>
    <row r="724" spans="2:2" ht="15.75" customHeight="1">
      <c r="B724" s="14"/>
    </row>
    <row r="725" spans="2:2" ht="15.75" customHeight="1">
      <c r="B725" s="14"/>
    </row>
    <row r="726" spans="2:2" ht="15.75" customHeight="1">
      <c r="B726" s="14"/>
    </row>
    <row r="727" spans="2:2" ht="15.75" customHeight="1">
      <c r="B727" s="14"/>
    </row>
    <row r="728" spans="2:2" ht="15.75" customHeight="1">
      <c r="B728" s="14"/>
    </row>
    <row r="729" spans="2:2" ht="15.75" customHeight="1">
      <c r="B729" s="14"/>
    </row>
    <row r="730" spans="2:2" ht="15.75" customHeight="1">
      <c r="B730" s="14"/>
    </row>
    <row r="731" spans="2:2" ht="15.75" customHeight="1">
      <c r="B731" s="14"/>
    </row>
    <row r="732" spans="2:2" ht="15.75" customHeight="1">
      <c r="B732" s="14"/>
    </row>
    <row r="733" spans="2:2" ht="15.75" customHeight="1">
      <c r="B733" s="14"/>
    </row>
    <row r="734" spans="2:2" ht="15.75" customHeight="1">
      <c r="B734" s="14"/>
    </row>
    <row r="735" spans="2:2" ht="15.75" customHeight="1">
      <c r="B735" s="14"/>
    </row>
    <row r="736" spans="2:2" ht="15.75" customHeight="1">
      <c r="B736" s="14"/>
    </row>
    <row r="737" spans="2:2" ht="15.75" customHeight="1">
      <c r="B737" s="14"/>
    </row>
    <row r="738" spans="2:2" ht="15.75" customHeight="1">
      <c r="B738" s="14"/>
    </row>
    <row r="739" spans="2:2" ht="15.75" customHeight="1">
      <c r="B739" s="14"/>
    </row>
    <row r="740" spans="2:2" ht="15.75" customHeight="1">
      <c r="B740" s="14"/>
    </row>
    <row r="741" spans="2:2" ht="15.75" customHeight="1">
      <c r="B741" s="14"/>
    </row>
    <row r="742" spans="2:2" ht="15.75" customHeight="1">
      <c r="B742" s="14"/>
    </row>
    <row r="743" spans="2:2" ht="15.75" customHeight="1">
      <c r="B743" s="14"/>
    </row>
    <row r="744" spans="2:2" ht="15.75" customHeight="1">
      <c r="B744" s="14"/>
    </row>
    <row r="745" spans="2:2" ht="15.75" customHeight="1">
      <c r="B745" s="14"/>
    </row>
    <row r="746" spans="2:2" ht="15.75" customHeight="1">
      <c r="B746" s="14"/>
    </row>
    <row r="747" spans="2:2" ht="15.75" customHeight="1">
      <c r="B747" s="14"/>
    </row>
    <row r="748" spans="2:2" ht="15.75" customHeight="1">
      <c r="B748" s="14"/>
    </row>
    <row r="749" spans="2:2" ht="15.75" customHeight="1">
      <c r="B749" s="14"/>
    </row>
    <row r="750" spans="2:2" ht="15.75" customHeight="1">
      <c r="B750" s="14"/>
    </row>
    <row r="751" spans="2:2" ht="15.75" customHeight="1">
      <c r="B751" s="14"/>
    </row>
    <row r="752" spans="2:2" ht="15.75" customHeight="1">
      <c r="B752" s="14"/>
    </row>
    <row r="753" spans="2:2" ht="15.75" customHeight="1">
      <c r="B753" s="14"/>
    </row>
    <row r="754" spans="2:2" ht="15.75" customHeight="1">
      <c r="B754" s="14"/>
    </row>
    <row r="755" spans="2:2" ht="15.75" customHeight="1">
      <c r="B755" s="14"/>
    </row>
    <row r="756" spans="2:2" ht="15.75" customHeight="1">
      <c r="B756" s="14"/>
    </row>
    <row r="757" spans="2:2" ht="15.75" customHeight="1">
      <c r="B757" s="14"/>
    </row>
    <row r="758" spans="2:2" ht="15.75" customHeight="1">
      <c r="B758" s="14"/>
    </row>
    <row r="759" spans="2:2" ht="15.75" customHeight="1">
      <c r="B759" s="14"/>
    </row>
    <row r="760" spans="2:2" ht="15.75" customHeight="1">
      <c r="B760" s="14"/>
    </row>
    <row r="761" spans="2:2" ht="15.75" customHeight="1">
      <c r="B761" s="14"/>
    </row>
    <row r="762" spans="2:2" ht="15.75" customHeight="1">
      <c r="B762" s="14"/>
    </row>
    <row r="763" spans="2:2" ht="15.75" customHeight="1">
      <c r="B763" s="14"/>
    </row>
    <row r="764" spans="2:2" ht="15.75" customHeight="1">
      <c r="B764" s="14"/>
    </row>
    <row r="765" spans="2:2" ht="15.75" customHeight="1">
      <c r="B765" s="14"/>
    </row>
    <row r="766" spans="2:2" ht="15.75" customHeight="1">
      <c r="B766" s="14"/>
    </row>
    <row r="767" spans="2:2" ht="15.75" customHeight="1">
      <c r="B767" s="14"/>
    </row>
    <row r="768" spans="2:2" ht="15.75" customHeight="1">
      <c r="B768" s="14"/>
    </row>
    <row r="769" spans="2:2" ht="15.75" customHeight="1">
      <c r="B769" s="14"/>
    </row>
    <row r="770" spans="2:2" ht="15.75" customHeight="1">
      <c r="B770" s="14"/>
    </row>
    <row r="771" spans="2:2" ht="15.75" customHeight="1">
      <c r="B771" s="14"/>
    </row>
    <row r="772" spans="2:2" ht="15.75" customHeight="1">
      <c r="B772" s="14"/>
    </row>
    <row r="773" spans="2:2" ht="15.75" customHeight="1">
      <c r="B773" s="14"/>
    </row>
    <row r="774" spans="2:2" ht="15.75" customHeight="1">
      <c r="B774" s="14"/>
    </row>
    <row r="775" spans="2:2" ht="15.75" customHeight="1">
      <c r="B775" s="14"/>
    </row>
    <row r="776" spans="2:2" ht="15.75" customHeight="1">
      <c r="B776" s="14"/>
    </row>
    <row r="777" spans="2:2" ht="15.75" customHeight="1">
      <c r="B777" s="14"/>
    </row>
    <row r="778" spans="2:2" ht="15.75" customHeight="1">
      <c r="B778" s="14"/>
    </row>
    <row r="779" spans="2:2" ht="15.75" customHeight="1">
      <c r="B779" s="14"/>
    </row>
    <row r="780" spans="2:2" ht="15.75" customHeight="1">
      <c r="B780" s="14"/>
    </row>
    <row r="781" spans="2:2" ht="15.75" customHeight="1">
      <c r="B781" s="14"/>
    </row>
    <row r="782" spans="2:2" ht="15.75" customHeight="1">
      <c r="B782" s="14"/>
    </row>
    <row r="783" spans="2:2" ht="15.75" customHeight="1">
      <c r="B783" s="14"/>
    </row>
    <row r="784" spans="2:2" ht="15.75" customHeight="1">
      <c r="B784" s="14"/>
    </row>
    <row r="785" spans="2:2" ht="15.75" customHeight="1">
      <c r="B785" s="14"/>
    </row>
    <row r="786" spans="2:2" ht="15.75" customHeight="1">
      <c r="B786" s="14"/>
    </row>
    <row r="787" spans="2:2" ht="15.75" customHeight="1">
      <c r="B787" s="14"/>
    </row>
    <row r="788" spans="2:2" ht="15.75" customHeight="1">
      <c r="B788" s="14"/>
    </row>
    <row r="789" spans="2:2" ht="15.75" customHeight="1">
      <c r="B789" s="14"/>
    </row>
    <row r="790" spans="2:2" ht="15.75" customHeight="1">
      <c r="B790" s="14"/>
    </row>
    <row r="791" spans="2:2" ht="15.75" customHeight="1">
      <c r="B791" s="14"/>
    </row>
    <row r="792" spans="2:2" ht="15.75" customHeight="1">
      <c r="B792" s="14"/>
    </row>
    <row r="793" spans="2:2" ht="15.75" customHeight="1">
      <c r="B793" s="14"/>
    </row>
    <row r="794" spans="2:2" ht="15.75" customHeight="1">
      <c r="B794" s="14"/>
    </row>
    <row r="795" spans="2:2" ht="15.75" customHeight="1">
      <c r="B795" s="14"/>
    </row>
    <row r="796" spans="2:2" ht="15.75" customHeight="1">
      <c r="B796" s="14"/>
    </row>
    <row r="797" spans="2:2" ht="15.75" customHeight="1">
      <c r="B797" s="14"/>
    </row>
    <row r="798" spans="2:2" ht="15.75" customHeight="1">
      <c r="B798" s="14"/>
    </row>
    <row r="799" spans="2:2" ht="15.75" customHeight="1">
      <c r="B799" s="14"/>
    </row>
    <row r="800" spans="2:2" ht="15.75" customHeight="1">
      <c r="B800" s="14"/>
    </row>
    <row r="801" spans="2:2" ht="15.75" customHeight="1">
      <c r="B801" s="14"/>
    </row>
    <row r="802" spans="2:2" ht="15.75" customHeight="1">
      <c r="B802" s="14"/>
    </row>
    <row r="803" spans="2:2" ht="15.75" customHeight="1">
      <c r="B803" s="14"/>
    </row>
    <row r="804" spans="2:2" ht="15.75" customHeight="1">
      <c r="B804" s="14"/>
    </row>
    <row r="805" spans="2:2" ht="15.75" customHeight="1">
      <c r="B805" s="14"/>
    </row>
    <row r="806" spans="2:2" ht="15.75" customHeight="1">
      <c r="B806" s="14"/>
    </row>
    <row r="807" spans="2:2" ht="15.75" customHeight="1">
      <c r="B807" s="14"/>
    </row>
    <row r="808" spans="2:2" ht="15.75" customHeight="1">
      <c r="B808" s="14"/>
    </row>
    <row r="809" spans="2:2" ht="15.75" customHeight="1">
      <c r="B809" s="14"/>
    </row>
    <row r="810" spans="2:2" ht="15.75" customHeight="1">
      <c r="B810" s="14"/>
    </row>
    <row r="811" spans="2:2" ht="15.75" customHeight="1">
      <c r="B811" s="14"/>
    </row>
    <row r="812" spans="2:2" ht="15.75" customHeight="1">
      <c r="B812" s="14"/>
    </row>
    <row r="813" spans="2:2" ht="15.75" customHeight="1">
      <c r="B813" s="14"/>
    </row>
    <row r="814" spans="2:2" ht="15.75" customHeight="1">
      <c r="B814" s="14"/>
    </row>
    <row r="815" spans="2:2" ht="15.75" customHeight="1">
      <c r="B815" s="14"/>
    </row>
    <row r="816" spans="2:2" ht="15.75" customHeight="1">
      <c r="B816" s="14"/>
    </row>
    <row r="817" spans="2:2" ht="15.75" customHeight="1">
      <c r="B817" s="14"/>
    </row>
    <row r="818" spans="2:2" ht="15.75" customHeight="1">
      <c r="B818" s="14"/>
    </row>
    <row r="819" spans="2:2" ht="15.75" customHeight="1">
      <c r="B819" s="14"/>
    </row>
    <row r="820" spans="2:2" ht="15.75" customHeight="1">
      <c r="B820" s="14"/>
    </row>
    <row r="821" spans="2:2" ht="15.75" customHeight="1">
      <c r="B821" s="14"/>
    </row>
    <row r="822" spans="2:2" ht="15.75" customHeight="1">
      <c r="B822" s="14"/>
    </row>
    <row r="823" spans="2:2" ht="15.75" customHeight="1">
      <c r="B823" s="14"/>
    </row>
    <row r="824" spans="2:2" ht="15.75" customHeight="1">
      <c r="B824" s="14"/>
    </row>
    <row r="825" spans="2:2" ht="15.75" customHeight="1">
      <c r="B825" s="14"/>
    </row>
    <row r="826" spans="2:2" ht="15.75" customHeight="1">
      <c r="B826" s="14"/>
    </row>
    <row r="827" spans="2:2" ht="15.75" customHeight="1">
      <c r="B827" s="14"/>
    </row>
    <row r="828" spans="2:2" ht="15.75" customHeight="1">
      <c r="B828" s="14"/>
    </row>
    <row r="829" spans="2:2" ht="15.75" customHeight="1">
      <c r="B829" s="14"/>
    </row>
    <row r="830" spans="2:2" ht="15.75" customHeight="1">
      <c r="B830" s="14"/>
    </row>
    <row r="831" spans="2:2" ht="15.75" customHeight="1">
      <c r="B831" s="14"/>
    </row>
    <row r="832" spans="2:2" ht="15.75" customHeight="1">
      <c r="B832" s="14"/>
    </row>
    <row r="833" spans="2:2" ht="15.75" customHeight="1">
      <c r="B833" s="14"/>
    </row>
    <row r="834" spans="2:2" ht="15.75" customHeight="1">
      <c r="B834" s="14"/>
    </row>
    <row r="835" spans="2:2" ht="15.75" customHeight="1">
      <c r="B835" s="14"/>
    </row>
    <row r="836" spans="2:2" ht="15.75" customHeight="1">
      <c r="B836" s="14"/>
    </row>
    <row r="837" spans="2:2" ht="15.75" customHeight="1">
      <c r="B837" s="14"/>
    </row>
    <row r="838" spans="2:2" ht="15.75" customHeight="1">
      <c r="B838" s="14"/>
    </row>
    <row r="839" spans="2:2" ht="15.75" customHeight="1">
      <c r="B839" s="14"/>
    </row>
    <row r="840" spans="2:2" ht="15.75" customHeight="1">
      <c r="B840" s="14"/>
    </row>
    <row r="841" spans="2:2" ht="15.75" customHeight="1">
      <c r="B841" s="14"/>
    </row>
    <row r="842" spans="2:2" ht="15.75" customHeight="1">
      <c r="B842" s="14"/>
    </row>
    <row r="843" spans="2:2" ht="15.75" customHeight="1">
      <c r="B843" s="14"/>
    </row>
    <row r="844" spans="2:2" ht="15.75" customHeight="1">
      <c r="B844" s="14"/>
    </row>
    <row r="845" spans="2:2" ht="15.75" customHeight="1">
      <c r="B845" s="14"/>
    </row>
    <row r="846" spans="2:2" ht="15.75" customHeight="1">
      <c r="B846" s="14"/>
    </row>
    <row r="847" spans="2:2" ht="15.75" customHeight="1">
      <c r="B847" s="14"/>
    </row>
    <row r="848" spans="2:2" ht="15.75" customHeight="1">
      <c r="B848" s="14"/>
    </row>
    <row r="849" spans="2:2" ht="15.75" customHeight="1">
      <c r="B849" s="14"/>
    </row>
    <row r="850" spans="2:2" ht="15.75" customHeight="1">
      <c r="B850" s="14"/>
    </row>
    <row r="851" spans="2:2" ht="15.75" customHeight="1">
      <c r="B851" s="14"/>
    </row>
    <row r="852" spans="2:2" ht="15.75" customHeight="1">
      <c r="B852" s="14"/>
    </row>
    <row r="853" spans="2:2" ht="15.75" customHeight="1">
      <c r="B853" s="14"/>
    </row>
    <row r="854" spans="2:2" ht="15.75" customHeight="1">
      <c r="B854" s="14"/>
    </row>
    <row r="855" spans="2:2" ht="15.75" customHeight="1">
      <c r="B855" s="14"/>
    </row>
    <row r="856" spans="2:2" ht="15.75" customHeight="1">
      <c r="B856" s="14"/>
    </row>
    <row r="857" spans="2:2" ht="15.75" customHeight="1">
      <c r="B857" s="14"/>
    </row>
    <row r="858" spans="2:2" ht="15.75" customHeight="1">
      <c r="B858" s="14"/>
    </row>
    <row r="859" spans="2:2" ht="15.75" customHeight="1">
      <c r="B859" s="14"/>
    </row>
    <row r="860" spans="2:2" ht="15.75" customHeight="1">
      <c r="B860" s="14"/>
    </row>
    <row r="861" spans="2:2" ht="15.75" customHeight="1">
      <c r="B861" s="14"/>
    </row>
    <row r="862" spans="2:2" ht="15.75" customHeight="1">
      <c r="B862" s="14"/>
    </row>
    <row r="863" spans="2:2" ht="15.75" customHeight="1">
      <c r="B863" s="14"/>
    </row>
    <row r="864" spans="2:2" ht="15.75" customHeight="1">
      <c r="B864" s="14"/>
    </row>
    <row r="865" spans="2:2" ht="15.75" customHeight="1">
      <c r="B865" s="14"/>
    </row>
    <row r="866" spans="2:2" ht="15.75" customHeight="1">
      <c r="B866" s="14"/>
    </row>
    <row r="867" spans="2:2" ht="15.75" customHeight="1">
      <c r="B867" s="14"/>
    </row>
    <row r="868" spans="2:2" ht="15.75" customHeight="1">
      <c r="B868" s="14"/>
    </row>
    <row r="869" spans="2:2" ht="15.75" customHeight="1">
      <c r="B869" s="14"/>
    </row>
    <row r="870" spans="2:2" ht="15.75" customHeight="1">
      <c r="B870" s="14"/>
    </row>
    <row r="871" spans="2:2" ht="15.75" customHeight="1">
      <c r="B871" s="14"/>
    </row>
    <row r="872" spans="2:2" ht="15.75" customHeight="1">
      <c r="B872" s="14"/>
    </row>
    <row r="873" spans="2:2" ht="15.75" customHeight="1">
      <c r="B873" s="14"/>
    </row>
    <row r="874" spans="2:2" ht="15.75" customHeight="1">
      <c r="B874" s="14"/>
    </row>
    <row r="875" spans="2:2" ht="15.75" customHeight="1">
      <c r="B875" s="14"/>
    </row>
    <row r="876" spans="2:2" ht="15.75" customHeight="1">
      <c r="B876" s="14"/>
    </row>
    <row r="877" spans="2:2" ht="15.75" customHeight="1">
      <c r="B877" s="14"/>
    </row>
    <row r="878" spans="2:2" ht="15.75" customHeight="1">
      <c r="B878" s="14"/>
    </row>
    <row r="879" spans="2:2" ht="15.75" customHeight="1">
      <c r="B879" s="14"/>
    </row>
    <row r="880" spans="2:2" ht="15.75" customHeight="1">
      <c r="B880" s="14"/>
    </row>
    <row r="881" spans="2:2" ht="15.75" customHeight="1">
      <c r="B881" s="14"/>
    </row>
    <row r="882" spans="2:2" ht="15.75" customHeight="1">
      <c r="B882" s="14"/>
    </row>
    <row r="883" spans="2:2" ht="15.75" customHeight="1">
      <c r="B883" s="14"/>
    </row>
    <row r="884" spans="2:2" ht="15.75" customHeight="1">
      <c r="B884" s="14"/>
    </row>
    <row r="885" spans="2:2" ht="15.75" customHeight="1">
      <c r="B885" s="14"/>
    </row>
    <row r="886" spans="2:2" ht="15.75" customHeight="1">
      <c r="B886" s="14"/>
    </row>
    <row r="887" spans="2:2" ht="15.75" customHeight="1">
      <c r="B887" s="14"/>
    </row>
    <row r="888" spans="2:2" ht="15.75" customHeight="1">
      <c r="B888" s="14"/>
    </row>
    <row r="889" spans="2:2" ht="15.75" customHeight="1">
      <c r="B889" s="14"/>
    </row>
    <row r="890" spans="2:2" ht="15.75" customHeight="1">
      <c r="B890" s="14"/>
    </row>
    <row r="891" spans="2:2" ht="15.75" customHeight="1">
      <c r="B891" s="14"/>
    </row>
    <row r="892" spans="2:2" ht="15.75" customHeight="1">
      <c r="B892" s="14"/>
    </row>
    <row r="893" spans="2:2" ht="15.75" customHeight="1">
      <c r="B893" s="14"/>
    </row>
    <row r="894" spans="2:2" ht="15.75" customHeight="1">
      <c r="B894" s="14"/>
    </row>
    <row r="895" spans="2:2" ht="15.75" customHeight="1">
      <c r="B895" s="14"/>
    </row>
    <row r="896" spans="2:2" ht="15.75" customHeight="1">
      <c r="B896" s="14"/>
    </row>
    <row r="897" spans="2:2" ht="15.75" customHeight="1">
      <c r="B897" s="14"/>
    </row>
    <row r="898" spans="2:2" ht="15.75" customHeight="1">
      <c r="B898" s="14"/>
    </row>
    <row r="899" spans="2:2" ht="15.75" customHeight="1">
      <c r="B899" s="14"/>
    </row>
    <row r="900" spans="2:2" ht="15.75" customHeight="1">
      <c r="B900" s="14"/>
    </row>
    <row r="901" spans="2:2" ht="15.75" customHeight="1">
      <c r="B901" s="14"/>
    </row>
    <row r="902" spans="2:2" ht="15.75" customHeight="1">
      <c r="B902" s="14"/>
    </row>
    <row r="903" spans="2:2" ht="15.75" customHeight="1">
      <c r="B903" s="14"/>
    </row>
    <row r="904" spans="2:2" ht="15.75" customHeight="1">
      <c r="B904" s="14"/>
    </row>
    <row r="905" spans="2:2" ht="15.75" customHeight="1">
      <c r="B905" s="14"/>
    </row>
    <row r="906" spans="2:2" ht="15.75" customHeight="1">
      <c r="B906" s="14"/>
    </row>
    <row r="907" spans="2:2" ht="15.75" customHeight="1">
      <c r="B907" s="14"/>
    </row>
    <row r="908" spans="2:2" ht="15.75" customHeight="1">
      <c r="B908" s="14"/>
    </row>
    <row r="909" spans="2:2" ht="15.75" customHeight="1">
      <c r="B909" s="14"/>
    </row>
    <row r="910" spans="2:2" ht="15.75" customHeight="1">
      <c r="B910" s="14"/>
    </row>
    <row r="911" spans="2:2" ht="15.75" customHeight="1">
      <c r="B911" s="14"/>
    </row>
    <row r="912" spans="2:2" ht="15.75" customHeight="1">
      <c r="B912" s="14"/>
    </row>
    <row r="913" spans="2:2" ht="15.75" customHeight="1">
      <c r="B913" s="14"/>
    </row>
    <row r="914" spans="2:2" ht="15.75" customHeight="1">
      <c r="B914" s="14"/>
    </row>
    <row r="915" spans="2:2" ht="15.75" customHeight="1">
      <c r="B915" s="14"/>
    </row>
    <row r="916" spans="2:2" ht="15.75" customHeight="1">
      <c r="B916" s="14"/>
    </row>
    <row r="917" spans="2:2" ht="15.75" customHeight="1">
      <c r="B917" s="14"/>
    </row>
    <row r="918" spans="2:2" ht="15.75" customHeight="1">
      <c r="B918" s="14"/>
    </row>
    <row r="919" spans="2:2" ht="15.75" customHeight="1">
      <c r="B919" s="14"/>
    </row>
    <row r="920" spans="2:2" ht="15.75" customHeight="1">
      <c r="B920" s="14"/>
    </row>
    <row r="921" spans="2:2" ht="15.75" customHeight="1">
      <c r="B921" s="14"/>
    </row>
    <row r="922" spans="2:2" ht="15.75" customHeight="1">
      <c r="B922" s="14"/>
    </row>
    <row r="923" spans="2:2" ht="15.75" customHeight="1">
      <c r="B923" s="14"/>
    </row>
    <row r="924" spans="2:2" ht="15.75" customHeight="1">
      <c r="B924" s="14"/>
    </row>
    <row r="925" spans="2:2" ht="15.75" customHeight="1">
      <c r="B925" s="14"/>
    </row>
    <row r="926" spans="2:2" ht="15.75" customHeight="1">
      <c r="B926" s="14"/>
    </row>
    <row r="927" spans="2:2" ht="15.75" customHeight="1">
      <c r="B927" s="14"/>
    </row>
    <row r="928" spans="2:2" ht="15.75" customHeight="1">
      <c r="B928" s="14"/>
    </row>
    <row r="929" spans="2:2" ht="15.75" customHeight="1">
      <c r="B929" s="14"/>
    </row>
    <row r="930" spans="2:2" ht="15.75" customHeight="1">
      <c r="B930" s="14"/>
    </row>
    <row r="931" spans="2:2" ht="15.75" customHeight="1">
      <c r="B931" s="14"/>
    </row>
    <row r="932" spans="2:2" ht="15.75" customHeight="1">
      <c r="B932" s="14"/>
    </row>
    <row r="933" spans="2:2" ht="15.75" customHeight="1">
      <c r="B933" s="14"/>
    </row>
    <row r="934" spans="2:2" ht="15.75" customHeight="1">
      <c r="B934" s="14"/>
    </row>
    <row r="935" spans="2:2" ht="15.75" customHeight="1">
      <c r="B935" s="14"/>
    </row>
    <row r="936" spans="2:2" ht="15.75" customHeight="1">
      <c r="B936" s="14"/>
    </row>
    <row r="937" spans="2:2" ht="15.75" customHeight="1">
      <c r="B937" s="14"/>
    </row>
    <row r="938" spans="2:2" ht="15.75" customHeight="1">
      <c r="B938" s="14"/>
    </row>
    <row r="939" spans="2:2" ht="15.75" customHeight="1">
      <c r="B939" s="14"/>
    </row>
    <row r="940" spans="2:2" ht="15.75" customHeight="1">
      <c r="B940" s="14"/>
    </row>
    <row r="941" spans="2:2" ht="15.75" customHeight="1">
      <c r="B941" s="14"/>
    </row>
    <row r="942" spans="2:2" ht="15.75" customHeight="1">
      <c r="B942" s="14"/>
    </row>
    <row r="943" spans="2:2" ht="15.75" customHeight="1">
      <c r="B943" s="14"/>
    </row>
    <row r="944" spans="2:2" ht="15.75" customHeight="1">
      <c r="B944" s="14"/>
    </row>
    <row r="945" spans="2:2" ht="15.75" customHeight="1">
      <c r="B945" s="14"/>
    </row>
    <row r="946" spans="2:2" ht="15.75" customHeight="1">
      <c r="B946" s="14"/>
    </row>
    <row r="947" spans="2:2" ht="15.75" customHeight="1">
      <c r="B947" s="14"/>
    </row>
    <row r="948" spans="2:2" ht="15.75" customHeight="1">
      <c r="B948" s="14"/>
    </row>
    <row r="949" spans="2:2" ht="15.75" customHeight="1">
      <c r="B949" s="14"/>
    </row>
    <row r="950" spans="2:2" ht="15.75" customHeight="1">
      <c r="B950" s="14"/>
    </row>
    <row r="951" spans="2:2" ht="15.75" customHeight="1">
      <c r="B951" s="14"/>
    </row>
    <row r="952" spans="2:2" ht="15.75" customHeight="1">
      <c r="B952" s="14"/>
    </row>
    <row r="953" spans="2:2" ht="15.75" customHeight="1">
      <c r="B953" s="14"/>
    </row>
    <row r="954" spans="2:2" ht="15.75" customHeight="1">
      <c r="B954" s="14"/>
    </row>
    <row r="955" spans="2:2" ht="15.75" customHeight="1">
      <c r="B955" s="14"/>
    </row>
    <row r="956" spans="2:2" ht="15.75" customHeight="1">
      <c r="B956" s="14"/>
    </row>
    <row r="957" spans="2:2" ht="15.75" customHeight="1">
      <c r="B957" s="14"/>
    </row>
    <row r="958" spans="2:2" ht="15.75" customHeight="1">
      <c r="B958" s="14"/>
    </row>
    <row r="959" spans="2:2" ht="15.75" customHeight="1">
      <c r="B959" s="14"/>
    </row>
    <row r="960" spans="2:2" ht="15.75" customHeight="1">
      <c r="B960" s="14"/>
    </row>
    <row r="961" spans="2:2" ht="15.75" customHeight="1">
      <c r="B961" s="14"/>
    </row>
    <row r="962" spans="2:2" ht="15.75" customHeight="1">
      <c r="B962" s="14"/>
    </row>
    <row r="963" spans="2:2" ht="15.75" customHeight="1">
      <c r="B963" s="14"/>
    </row>
    <row r="964" spans="2:2" ht="15.75" customHeight="1">
      <c r="B964" s="14"/>
    </row>
    <row r="965" spans="2:2" ht="15.75" customHeight="1">
      <c r="B965" s="14"/>
    </row>
    <row r="966" spans="2:2" ht="15.75" customHeight="1">
      <c r="B966" s="14"/>
    </row>
    <row r="967" spans="2:2" ht="15.75" customHeight="1">
      <c r="B967" s="14"/>
    </row>
    <row r="968" spans="2:2" ht="15.75" customHeight="1">
      <c r="B968" s="14"/>
    </row>
    <row r="969" spans="2:2" ht="15.75" customHeight="1">
      <c r="B969" s="14"/>
    </row>
    <row r="970" spans="2:2" ht="15.75" customHeight="1">
      <c r="B970" s="14"/>
    </row>
    <row r="971" spans="2:2" ht="15.75" customHeight="1">
      <c r="B971" s="14"/>
    </row>
    <row r="972" spans="2:2" ht="15.75" customHeight="1">
      <c r="B972" s="14"/>
    </row>
    <row r="973" spans="2:2" ht="15.75" customHeight="1">
      <c r="B973" s="14"/>
    </row>
    <row r="974" spans="2:2" ht="15.75" customHeight="1">
      <c r="B974" s="14"/>
    </row>
    <row r="975" spans="2:2" ht="15.75" customHeight="1">
      <c r="B975" s="14"/>
    </row>
    <row r="976" spans="2:2" ht="15.75" customHeight="1">
      <c r="B976" s="14"/>
    </row>
    <row r="977" spans="2:2" ht="15.75" customHeight="1">
      <c r="B977" s="14"/>
    </row>
    <row r="978" spans="2:2" ht="15.75" customHeight="1">
      <c r="B978" s="14"/>
    </row>
    <row r="979" spans="2:2" ht="15.75" customHeight="1">
      <c r="B979" s="14"/>
    </row>
    <row r="980" spans="2:2" ht="15.75" customHeight="1">
      <c r="B980" s="14"/>
    </row>
    <row r="981" spans="2:2" ht="15.75" customHeight="1">
      <c r="B981" s="14"/>
    </row>
    <row r="982" spans="2:2" ht="15.75" customHeight="1">
      <c r="B982" s="14"/>
    </row>
    <row r="983" spans="2:2" ht="15.75" customHeight="1">
      <c r="B983" s="14"/>
    </row>
    <row r="984" spans="2:2" ht="15.75" customHeight="1">
      <c r="B984" s="14"/>
    </row>
    <row r="985" spans="2:2" ht="15.75" customHeight="1">
      <c r="B985" s="14"/>
    </row>
    <row r="986" spans="2:2" ht="15.75" customHeight="1">
      <c r="B986" s="14"/>
    </row>
    <row r="987" spans="2:2" ht="15.75" customHeight="1">
      <c r="B987" s="14"/>
    </row>
    <row r="988" spans="2:2" ht="15.75" customHeight="1">
      <c r="B988" s="14"/>
    </row>
    <row r="989" spans="2:2" ht="15.75" customHeight="1">
      <c r="B989" s="14"/>
    </row>
    <row r="990" spans="2:2" ht="15.75" customHeight="1">
      <c r="B990" s="14"/>
    </row>
    <row r="991" spans="2:2" ht="15.75" customHeight="1">
      <c r="B991" s="14"/>
    </row>
    <row r="992" spans="2:2" ht="15.75" customHeight="1">
      <c r="B992" s="14"/>
    </row>
    <row r="993" spans="2:2" ht="15.75" customHeight="1">
      <c r="B993" s="14"/>
    </row>
    <row r="994" spans="2:2" ht="15.75" customHeight="1">
      <c r="B994" s="14"/>
    </row>
    <row r="995" spans="2:2" ht="15.75" customHeight="1">
      <c r="B995" s="14"/>
    </row>
    <row r="996" spans="2:2" ht="15.75" customHeight="1">
      <c r="B996" s="14"/>
    </row>
    <row r="997" spans="2:2" ht="15.75" customHeight="1">
      <c r="B997" s="14"/>
    </row>
    <row r="998" spans="2:2" ht="15.75" customHeight="1">
      <c r="B998" s="14"/>
    </row>
    <row r="999" spans="2:2" ht="15.75" customHeight="1">
      <c r="B999" s="14"/>
    </row>
    <row r="1000" spans="2:2" ht="15.75" customHeight="1">
      <c r="B1000" s="14"/>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518160</xdr:colOff>
                    <xdr:row>2</xdr:row>
                    <xdr:rowOff>167640</xdr:rowOff>
                  </from>
                  <to>
                    <xdr:col>3</xdr:col>
                    <xdr:colOff>1386840</xdr:colOff>
                    <xdr:row>5</xdr:row>
                    <xdr:rowOff>22860</xdr:rowOff>
                  </to>
                </anchor>
              </controlPr>
            </control>
          </mc:Choice>
        </mc:AlternateContent>
        <mc:AlternateContent xmlns:mc="http://schemas.openxmlformats.org/markup-compatibility/2006">
          <mc:Choice Requires="x14">
            <control shapeId="2051" r:id="rId5" name="Button 3">
              <controlPr defaultSize="0" print="0" autoFill="0" autoPict="0" macro="[0]!ReadMeSheet">
                <anchor moveWithCells="1" sizeWithCells="1">
                  <from>
                    <xdr:col>2</xdr:col>
                    <xdr:colOff>510540</xdr:colOff>
                    <xdr:row>6</xdr:row>
                    <xdr:rowOff>76200</xdr:rowOff>
                  </from>
                  <to>
                    <xdr:col>3</xdr:col>
                    <xdr:colOff>1348740</xdr:colOff>
                    <xdr:row>8</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AirBusMarketData">
                <anchor moveWithCells="1" sizeWithCells="1">
                  <from>
                    <xdr:col>2</xdr:col>
                    <xdr:colOff>495300</xdr:colOff>
                    <xdr:row>10</xdr:row>
                    <xdr:rowOff>38100</xdr:rowOff>
                  </from>
                  <to>
                    <xdr:col>3</xdr:col>
                    <xdr:colOff>1333500</xdr:colOff>
                    <xdr:row>11</xdr:row>
                    <xdr:rowOff>175260</xdr:rowOff>
                  </to>
                </anchor>
              </controlPr>
            </control>
          </mc:Choice>
        </mc:AlternateContent>
        <mc:AlternateContent xmlns:mc="http://schemas.openxmlformats.org/markup-compatibility/2006">
          <mc:Choice Requires="x14">
            <control shapeId="2053" r:id="rId7" name="Button 5">
              <controlPr defaultSize="0" print="0" autoFill="0" autoPict="0" macro="[0]!CurrentMarketData">
                <anchor moveWithCells="1" sizeWithCells="1">
                  <from>
                    <xdr:col>2</xdr:col>
                    <xdr:colOff>495300</xdr:colOff>
                    <xdr:row>13</xdr:row>
                    <xdr:rowOff>76200</xdr:rowOff>
                  </from>
                  <to>
                    <xdr:col>3</xdr:col>
                    <xdr:colOff>1333500</xdr:colOff>
                    <xdr:row>15</xdr:row>
                    <xdr:rowOff>137160</xdr:rowOff>
                  </to>
                </anchor>
              </controlPr>
            </control>
          </mc:Choice>
        </mc:AlternateContent>
        <mc:AlternateContent xmlns:mc="http://schemas.openxmlformats.org/markup-compatibility/2006">
          <mc:Choice Requires="x14">
            <control shapeId="2054" r:id="rId8" name="Button 6">
              <controlPr defaultSize="0" print="0" autoFill="0" autoPict="0" macro="[0]!MonteCarloSheet">
                <anchor moveWithCells="1" sizeWithCells="1">
                  <from>
                    <xdr:col>2</xdr:col>
                    <xdr:colOff>495300</xdr:colOff>
                    <xdr:row>17</xdr:row>
                    <xdr:rowOff>7620</xdr:rowOff>
                  </from>
                  <to>
                    <xdr:col>3</xdr:col>
                    <xdr:colOff>1333500</xdr:colOff>
                    <xdr:row>19</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ErrorMessage="1" xr:uid="{00000000-0002-0000-0100-000000000000}">
          <x14:formula1>
            <xm:f>Aux!$A$3:$A$4</xm:f>
          </x14:formula1>
          <xm:sqref>B4</xm:sqref>
        </x14:dataValidation>
        <x14:dataValidation type="list" allowBlank="1" showErrorMessage="1" xr:uid="{1DCF8725-E7D9-4C72-998F-74FC6668E14F}">
          <x14:formula1>
            <xm:f>Aux!$C$3:$C$4</xm:f>
          </x14:formula1>
          <xm:sqref>B14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DE93C-7533-5C41-838B-9C835E10944A}">
  <sheetPr codeName="Sheet8"/>
  <dimension ref="A1:AH1113"/>
  <sheetViews>
    <sheetView showGridLines="0" topLeftCell="G1" zoomScale="56" zoomScaleNormal="25" workbookViewId="0">
      <selection activeCell="M9" sqref="M9"/>
    </sheetView>
  </sheetViews>
  <sheetFormatPr baseColWidth="10" defaultColWidth="12.69921875" defaultRowHeight="15" customHeight="1"/>
  <cols>
    <col min="1" max="1" width="18.5" style="92" customWidth="1"/>
    <col min="2" max="2" width="15.69921875" style="92" customWidth="1"/>
    <col min="3" max="3" width="11.19921875" style="92" customWidth="1"/>
    <col min="4" max="4" width="19" style="92" customWidth="1"/>
    <col min="5" max="5" width="14" style="92" customWidth="1"/>
    <col min="6" max="6" width="12.19921875" style="92" bestFit="1" customWidth="1"/>
    <col min="7" max="7" width="13.5" style="92" bestFit="1" customWidth="1"/>
    <col min="8" max="9" width="12.19921875" style="92" bestFit="1" customWidth="1"/>
    <col min="10" max="10" width="13" style="92" customWidth="1"/>
    <col min="11" max="11" width="11.19921875" style="92" customWidth="1"/>
    <col min="12" max="12" width="12" style="92" customWidth="1"/>
    <col min="13" max="13" width="13.19921875" style="92" customWidth="1"/>
    <col min="14" max="14" width="10.69921875" style="92" bestFit="1" customWidth="1"/>
    <col min="15" max="21" width="11.19921875" style="92" customWidth="1"/>
    <col min="22" max="31" width="12.19921875" style="92" bestFit="1" customWidth="1"/>
    <col min="32" max="40" width="11.19921875" style="92" customWidth="1"/>
    <col min="41" max="16384" width="12.69921875" style="92"/>
  </cols>
  <sheetData>
    <row r="1" spans="1:31" ht="18.75" customHeight="1"/>
    <row r="2" spans="1:31" ht="39.75" customHeight="1">
      <c r="D2" s="93" t="s">
        <v>72</v>
      </c>
      <c r="E2" s="93"/>
      <c r="G2" s="94"/>
      <c r="O2" s="95"/>
    </row>
    <row r="3" spans="1:31" ht="18.75" customHeight="1"/>
    <row r="4" spans="1:31" ht="18.75" customHeight="1" thickBot="1"/>
    <row r="5" spans="1:31" ht="35.25" customHeight="1" thickBot="1">
      <c r="B5" s="96" t="s">
        <v>73</v>
      </c>
      <c r="E5" s="97" t="s">
        <v>20</v>
      </c>
      <c r="G5" s="98" t="s">
        <v>21</v>
      </c>
      <c r="H5" s="99">
        <f>IF([0]!bs_option_type="Put",A132,A203)</f>
        <v>10.411001776626952</v>
      </c>
      <c r="J5" s="98" t="s">
        <v>46</v>
      </c>
      <c r="K5" s="100">
        <v>2.128771197464892</v>
      </c>
    </row>
    <row r="6" spans="1:31" ht="18.75" customHeight="1">
      <c r="A6" s="101" t="s">
        <v>22</v>
      </c>
      <c r="B6" s="148">
        <f>EXP((Inputs!Rate-dividend_rate)*((Time/365)/n_periods)+Inputs!Sigma*SQRT((Time/365)/n_periods))</f>
        <v>1.026234887269609</v>
      </c>
      <c r="D6" s="102" t="s">
        <v>74</v>
      </c>
      <c r="E6" s="148">
        <f>EXP(-(Rate-dividend_rate)*((Time/365)/n_periods))</f>
        <v>1.0000115069155191</v>
      </c>
    </row>
    <row r="7" spans="1:31" ht="18.75" customHeight="1">
      <c r="A7" s="101" t="s">
        <v>23</v>
      </c>
      <c r="B7" s="148">
        <f>EXP((Rate-dividend_rate)*((Time/365)/n_periods)-Sigma*SQRT((Time/365)/n_periods))</f>
        <v>0.97441336186368843</v>
      </c>
      <c r="D7" s="101" t="s">
        <v>24</v>
      </c>
      <c r="E7" s="148">
        <f>(EXP((Rate-dividend_rate)*((Time/365)/n_periods))-down_factor)/(up_factor-down_factor)</f>
        <v>0.49352332168666857</v>
      </c>
    </row>
    <row r="8" spans="1:31" ht="18.75" customHeight="1"/>
    <row r="9" spans="1:31" ht="31.5" customHeight="1"/>
    <row r="10" spans="1:31" ht="31.5" customHeight="1"/>
    <row r="11" spans="1:31" ht="31.5" customHeight="1"/>
    <row r="12" spans="1:31" ht="31.5" customHeight="1"/>
    <row r="13" spans="1:31" ht="31.5" customHeight="1"/>
    <row r="14" spans="1:31" ht="31.5" customHeight="1"/>
    <row r="15" spans="1:31" ht="18.75" customHeight="1"/>
    <row r="16" spans="1:31" ht="18.75" customHeight="1" thickBot="1">
      <c r="A16" s="103">
        <v>0</v>
      </c>
      <c r="B16" s="103">
        <v>1</v>
      </c>
      <c r="C16" s="103">
        <v>2</v>
      </c>
      <c r="D16" s="103">
        <v>3</v>
      </c>
      <c r="E16" s="103">
        <v>4</v>
      </c>
      <c r="F16" s="103">
        <v>5</v>
      </c>
      <c r="G16" s="103">
        <v>6</v>
      </c>
      <c r="H16" s="103">
        <v>7</v>
      </c>
      <c r="I16" s="103">
        <v>8</v>
      </c>
      <c r="J16" s="103">
        <v>9</v>
      </c>
      <c r="K16" s="103">
        <v>10</v>
      </c>
      <c r="L16" s="103">
        <v>11</v>
      </c>
      <c r="M16" s="103">
        <v>12</v>
      </c>
      <c r="N16" s="103">
        <f>M16+1</f>
        <v>13</v>
      </c>
      <c r="O16" s="103">
        <f t="shared" ref="O16:AE16" si="0">N16+1</f>
        <v>14</v>
      </c>
      <c r="P16" s="103">
        <f t="shared" si="0"/>
        <v>15</v>
      </c>
      <c r="Q16" s="103">
        <f t="shared" si="0"/>
        <v>16</v>
      </c>
      <c r="R16" s="103">
        <f t="shared" si="0"/>
        <v>17</v>
      </c>
      <c r="S16" s="103">
        <f t="shared" si="0"/>
        <v>18</v>
      </c>
      <c r="T16" s="103">
        <f t="shared" si="0"/>
        <v>19</v>
      </c>
      <c r="U16" s="103">
        <f t="shared" si="0"/>
        <v>20</v>
      </c>
      <c r="V16" s="103">
        <f t="shared" si="0"/>
        <v>21</v>
      </c>
      <c r="W16" s="103">
        <f t="shared" si="0"/>
        <v>22</v>
      </c>
      <c r="X16" s="103">
        <f t="shared" si="0"/>
        <v>23</v>
      </c>
      <c r="Y16" s="103">
        <f t="shared" si="0"/>
        <v>24</v>
      </c>
      <c r="Z16" s="103">
        <f t="shared" si="0"/>
        <v>25</v>
      </c>
      <c r="AA16" s="103">
        <f t="shared" si="0"/>
        <v>26</v>
      </c>
      <c r="AB16" s="103">
        <f t="shared" si="0"/>
        <v>27</v>
      </c>
      <c r="AC16" s="103">
        <f t="shared" si="0"/>
        <v>28</v>
      </c>
      <c r="AD16" s="103">
        <f t="shared" si="0"/>
        <v>29</v>
      </c>
      <c r="AE16" s="103">
        <f t="shared" si="0"/>
        <v>30</v>
      </c>
    </row>
    <row r="17" spans="1:31" ht="18.75" customHeight="1" thickBot="1">
      <c r="A17" s="161" t="s">
        <v>25</v>
      </c>
      <c r="B17" s="162"/>
      <c r="C17" s="162"/>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3"/>
    </row>
    <row r="18" spans="1:31" ht="18.75" customHeight="1">
      <c r="AE18" s="104"/>
    </row>
    <row r="19" spans="1:31" ht="18.75" customHeight="1">
      <c r="AD19" s="104"/>
      <c r="AE19" s="105">
        <f>AD20*$B$6</f>
        <v>249.87526418352695</v>
      </c>
    </row>
    <row r="20" spans="1:31" ht="18.75" customHeight="1">
      <c r="AC20" s="104"/>
      <c r="AD20" s="105">
        <f>AC21*$B$6</f>
        <v>243.48739970080607</v>
      </c>
      <c r="AE20" s="105"/>
    </row>
    <row r="21" spans="1:31" ht="18.75" customHeight="1">
      <c r="AB21" s="104"/>
      <c r="AC21" s="105">
        <f>AB22*$B$6</f>
        <v>237.26283594648237</v>
      </c>
      <c r="AD21" s="104"/>
      <c r="AE21" s="105">
        <f>AD20*down_factor</f>
        <v>237.25737571391008</v>
      </c>
    </row>
    <row r="22" spans="1:31" ht="18.75" customHeight="1">
      <c r="A22" s="106"/>
      <c r="B22" s="106"/>
      <c r="C22" s="106"/>
      <c r="D22" s="106"/>
      <c r="E22" s="106"/>
      <c r="F22" s="106"/>
      <c r="G22" s="106"/>
      <c r="H22" s="106"/>
      <c r="I22" s="106"/>
      <c r="J22" s="106"/>
      <c r="K22" s="106"/>
      <c r="L22" s="106"/>
      <c r="M22" s="106"/>
      <c r="AA22" s="104"/>
      <c r="AB22" s="105">
        <f>AA23*$B$6</f>
        <v>231.19739826594832</v>
      </c>
      <c r="AC22" s="104"/>
      <c r="AD22" s="105">
        <f>AC21*down_factor</f>
        <v>231.19207761992467</v>
      </c>
      <c r="AE22" s="105"/>
    </row>
    <row r="23" spans="1:31" ht="18.75" customHeight="1">
      <c r="A23" s="106"/>
      <c r="B23" s="106"/>
      <c r="C23" s="106"/>
      <c r="D23" s="106"/>
      <c r="E23" s="106"/>
      <c r="F23" s="106"/>
      <c r="G23" s="106"/>
      <c r="H23" s="106"/>
      <c r="I23" s="106"/>
      <c r="J23" s="106"/>
      <c r="K23" s="106"/>
      <c r="L23" s="106"/>
      <c r="M23" s="106"/>
      <c r="Z23" s="104"/>
      <c r="AA23" s="105">
        <f>Z24*$B$6</f>
        <v>225.28701872635608</v>
      </c>
      <c r="AB23" s="104"/>
      <c r="AC23" s="105">
        <f>AB22*down_factor</f>
        <v>225.28183409846079</v>
      </c>
      <c r="AD23" s="104"/>
      <c r="AE23" s="105">
        <f>AD22*down_factor</f>
        <v>225.2766495898816</v>
      </c>
    </row>
    <row r="24" spans="1:31" ht="18.75" customHeight="1">
      <c r="A24" s="106"/>
      <c r="B24" s="106"/>
      <c r="C24" s="106"/>
      <c r="D24" s="106"/>
      <c r="E24" s="106"/>
      <c r="F24" s="106"/>
      <c r="G24" s="106"/>
      <c r="H24" s="106"/>
      <c r="I24" s="106"/>
      <c r="J24" s="106"/>
      <c r="K24" s="106"/>
      <c r="L24" s="106"/>
      <c r="M24" s="106"/>
      <c r="Y24" s="104"/>
      <c r="Z24" s="105">
        <f>Y25*$B$6</f>
        <v>219.52773338835968</v>
      </c>
      <c r="AA24" s="104"/>
      <c r="AB24" s="105">
        <f>AA23*down_factor</f>
        <v>219.52268130139635</v>
      </c>
      <c r="AC24" s="104"/>
      <c r="AD24" s="105">
        <f>AC23*down_factor</f>
        <v>219.5176293306989</v>
      </c>
      <c r="AE24" s="105"/>
    </row>
    <row r="25" spans="1:31" ht="18.75" customHeight="1">
      <c r="A25" s="106"/>
      <c r="B25" s="106"/>
      <c r="C25" s="106"/>
      <c r="D25" s="106"/>
      <c r="E25" s="106"/>
      <c r="F25" s="106"/>
      <c r="G25" s="106"/>
      <c r="H25" s="106"/>
      <c r="I25" s="106"/>
      <c r="J25" s="106"/>
      <c r="K25" s="106"/>
      <c r="L25" s="106"/>
      <c r="M25" s="106"/>
      <c r="X25" s="104"/>
      <c r="Y25" s="105">
        <f>X26*$B$6</f>
        <v>213.91567964760301</v>
      </c>
      <c r="Z25" s="104"/>
      <c r="AA25" s="105">
        <f>Z24*down_factor</f>
        <v>213.91075671326703</v>
      </c>
      <c r="AB25" s="104"/>
      <c r="AC25" s="105">
        <f>AB24*down_factor</f>
        <v>213.90583389222468</v>
      </c>
      <c r="AD25" s="104"/>
      <c r="AE25" s="105">
        <f>AD24*$B$7</f>
        <v>213.90091118447333</v>
      </c>
    </row>
    <row r="26" spans="1:31" ht="18.75" customHeight="1">
      <c r="A26" s="106"/>
      <c r="B26" s="106"/>
      <c r="C26" s="106"/>
      <c r="D26" s="106"/>
      <c r="E26" s="106"/>
      <c r="F26" s="106"/>
      <c r="G26" s="106"/>
      <c r="H26" s="106"/>
      <c r="I26" s="106"/>
      <c r="J26" s="106"/>
      <c r="K26" s="106"/>
      <c r="L26" s="106"/>
      <c r="M26" s="106"/>
      <c r="W26" s="104"/>
      <c r="X26" s="105">
        <f>W27*$B$6</f>
        <v>208.44709364417056</v>
      </c>
      <c r="Y26" s="104"/>
      <c r="Z26" s="105">
        <f>Y25*down_factor</f>
        <v>208.44229656077664</v>
      </c>
      <c r="AA26" s="104"/>
      <c r="AB26" s="105">
        <f>AA25*down_factor</f>
        <v>208.43749958778008</v>
      </c>
      <c r="AC26" s="104"/>
      <c r="AD26" s="105">
        <f>AC25*$B$7</f>
        <v>208.43270272517836</v>
      </c>
      <c r="AE26" s="105"/>
    </row>
    <row r="27" spans="1:31" ht="18.75" customHeight="1">
      <c r="A27" s="106"/>
      <c r="B27" s="106"/>
      <c r="C27" s="106"/>
      <c r="D27" s="106"/>
      <c r="E27" s="106"/>
      <c r="F27" s="106"/>
      <c r="G27" s="106"/>
      <c r="H27" s="106"/>
      <c r="I27" s="106"/>
      <c r="J27" s="106"/>
      <c r="K27" s="106"/>
      <c r="L27" s="106"/>
      <c r="M27" s="106"/>
      <c r="V27" s="104"/>
      <c r="W27" s="105">
        <f>V28*$B$6</f>
        <v>203.11830773826347</v>
      </c>
      <c r="X27" s="104"/>
      <c r="Y27" s="105">
        <f>X26*down_factor</f>
        <v>203.11363328853133</v>
      </c>
      <c r="Z27" s="104"/>
      <c r="AA27" s="105">
        <f>Z26*down_factor</f>
        <v>203.10895894637432</v>
      </c>
      <c r="AB27" s="104"/>
      <c r="AC27" s="105">
        <f>AB26*$B$7</f>
        <v>203.10428471178997</v>
      </c>
      <c r="AD27" s="104"/>
      <c r="AE27" s="105">
        <f>AD26*$B$7</f>
        <v>203.09961058477583</v>
      </c>
    </row>
    <row r="28" spans="1:31" ht="18.75" customHeight="1">
      <c r="A28" s="106"/>
      <c r="B28" s="106"/>
      <c r="C28" s="106"/>
      <c r="D28" s="106"/>
      <c r="E28" s="106"/>
      <c r="F28" s="106"/>
      <c r="G28" s="106"/>
      <c r="H28" s="106"/>
      <c r="I28" s="106"/>
      <c r="J28" s="106"/>
      <c r="K28" s="106"/>
      <c r="L28" s="106"/>
      <c r="M28" s="106"/>
      <c r="U28" s="104"/>
      <c r="V28" s="105">
        <f>U29*$B$6</f>
        <v>197.92574805040798</v>
      </c>
      <c r="W28" s="104"/>
      <c r="X28" s="105">
        <f>W27*down_factor</f>
        <v>197.92119309930456</v>
      </c>
      <c r="Y28" s="104"/>
      <c r="Z28" s="105">
        <f>Y27*down_factor</f>
        <v>197.91663825302621</v>
      </c>
      <c r="AA28" s="104"/>
      <c r="AB28" s="105">
        <f>AA27*$B$7</f>
        <v>197.91208351157047</v>
      </c>
      <c r="AC28" s="104"/>
      <c r="AD28" s="105">
        <f>AC27*$B$7</f>
        <v>197.907528874935</v>
      </c>
      <c r="AE28" s="105"/>
    </row>
    <row r="29" spans="1:31" ht="18.75" customHeight="1">
      <c r="A29" s="106"/>
      <c r="B29" s="106"/>
      <c r="C29" s="106"/>
      <c r="D29" s="106"/>
      <c r="E29" s="106"/>
      <c r="F29" s="106"/>
      <c r="G29" s="106"/>
      <c r="H29" s="106"/>
      <c r="I29" s="106"/>
      <c r="J29" s="106"/>
      <c r="K29" s="106"/>
      <c r="L29" s="106"/>
      <c r="M29" s="106"/>
      <c r="T29" s="104"/>
      <c r="U29" s="105">
        <f>T30*$B$6</f>
        <v>192.86593206454654</v>
      </c>
      <c r="V29" s="104"/>
      <c r="W29" s="105">
        <f>V28*down_factor</f>
        <v>192.86149355718342</v>
      </c>
      <c r="X29" s="104"/>
      <c r="Y29" s="105">
        <f>X28*down_factor</f>
        <v>192.8570551519656</v>
      </c>
      <c r="Z29" s="104"/>
      <c r="AA29" s="105">
        <f>Z28*$B$7</f>
        <v>192.85261684889073</v>
      </c>
      <c r="AB29" s="104"/>
      <c r="AC29" s="105">
        <f>AB28*$B$7</f>
        <v>192.84817864795644</v>
      </c>
      <c r="AD29" s="104"/>
      <c r="AE29" s="105">
        <f>AD28*$B$7</f>
        <v>192.8437405491604</v>
      </c>
    </row>
    <row r="30" spans="1:31" ht="18.75" customHeight="1">
      <c r="A30" s="106"/>
      <c r="B30" s="106"/>
      <c r="C30" s="106"/>
      <c r="D30" s="106"/>
      <c r="E30" s="106"/>
      <c r="F30" s="106"/>
      <c r="G30" s="106"/>
      <c r="H30" s="106"/>
      <c r="I30" s="106"/>
      <c r="J30" s="106"/>
      <c r="K30" s="106"/>
      <c r="L30" s="106"/>
      <c r="M30" s="106"/>
      <c r="S30" s="104"/>
      <c r="T30" s="105">
        <f>S31*$B$6</f>
        <v>187.93546629240393</v>
      </c>
      <c r="U30" s="104"/>
      <c r="V30" s="105">
        <f>U29*down_factor</f>
        <v>187.93114125198855</v>
      </c>
      <c r="W30" s="104"/>
      <c r="X30" s="105">
        <f>W29*down_factor</f>
        <v>187.92681631110719</v>
      </c>
      <c r="Y30" s="104"/>
      <c r="Z30" s="105">
        <f>Y29*$B$7</f>
        <v>187.92249146975757</v>
      </c>
      <c r="AA30" s="104"/>
      <c r="AB30" s="105">
        <f>AA29*$B$7</f>
        <v>187.91816672793743</v>
      </c>
      <c r="AC30" s="104"/>
      <c r="AD30" s="105">
        <f>AC29*$B$7</f>
        <v>187.9138420856444</v>
      </c>
      <c r="AE30" s="105"/>
    </row>
    <row r="31" spans="1:31" ht="18.75" customHeight="1">
      <c r="A31" s="106"/>
      <c r="B31" s="106"/>
      <c r="C31" s="106"/>
      <c r="D31" s="106"/>
      <c r="E31" s="106"/>
      <c r="F31" s="106"/>
      <c r="G31" s="106"/>
      <c r="H31" s="106"/>
      <c r="I31" s="106"/>
      <c r="J31" s="106"/>
      <c r="K31" s="106"/>
      <c r="L31" s="106"/>
      <c r="M31" s="106"/>
      <c r="R31" s="104"/>
      <c r="S31" s="105">
        <f>R32*$B$6</f>
        <v>183.13104399756207</v>
      </c>
      <c r="T31" s="104"/>
      <c r="U31" s="105">
        <f>T30*down_factor</f>
        <v>183.1268295234012</v>
      </c>
      <c r="V31" s="104"/>
      <c r="W31" s="105">
        <f>V30*down_factor</f>
        <v>183.12261514622986</v>
      </c>
      <c r="X31" s="104"/>
      <c r="Y31" s="105">
        <f>X30*$B$7</f>
        <v>183.11840086604579</v>
      </c>
      <c r="Z31" s="104"/>
      <c r="AA31" s="105">
        <f>Z30*$B$7</f>
        <v>183.11418668284679</v>
      </c>
      <c r="AB31" s="104"/>
      <c r="AC31" s="105">
        <f>AB30*$B$7</f>
        <v>183.10997259663063</v>
      </c>
      <c r="AD31" s="104"/>
      <c r="AE31" s="105">
        <f>AD30*$B$7</f>
        <v>183.10575860739502</v>
      </c>
    </row>
    <row r="32" spans="1:31" ht="18.75" customHeight="1">
      <c r="A32" s="106"/>
      <c r="B32" s="106"/>
      <c r="C32" s="106"/>
      <c r="D32" s="106"/>
      <c r="E32" s="106"/>
      <c r="F32" s="106"/>
      <c r="G32" s="106"/>
      <c r="H32" s="106"/>
      <c r="I32" s="106"/>
      <c r="J32" s="106"/>
      <c r="K32" s="106"/>
      <c r="L32" s="106"/>
      <c r="M32" s="106"/>
      <c r="Q32" s="104"/>
      <c r="R32" s="105">
        <f>Q33*$B$6</f>
        <v>178.44944297771715</v>
      </c>
      <c r="S32" s="104"/>
      <c r="T32" s="105">
        <f>S31*down_factor</f>
        <v>178.4453362432715</v>
      </c>
      <c r="U32" s="104"/>
      <c r="V32" s="105">
        <f>U31*down_factor</f>
        <v>178.44122960333593</v>
      </c>
      <c r="W32" s="104"/>
      <c r="X32" s="105">
        <f>W31*$B$7</f>
        <v>178.43712305790822</v>
      </c>
      <c r="Y32" s="104"/>
      <c r="Z32" s="105">
        <f>Y31*$B$7</f>
        <v>178.43301660698623</v>
      </c>
      <c r="AA32" s="104"/>
      <c r="AB32" s="105">
        <f>AA31*$B$7</f>
        <v>178.42891025056778</v>
      </c>
      <c r="AC32" s="104"/>
      <c r="AD32" s="105">
        <f>AC31*$B$7</f>
        <v>178.42480398865072</v>
      </c>
      <c r="AE32" s="105"/>
    </row>
    <row r="33" spans="1:31" ht="18.75" customHeight="1">
      <c r="A33" s="106"/>
      <c r="B33" s="106"/>
      <c r="C33" s="106"/>
      <c r="D33" s="106"/>
      <c r="E33" s="106"/>
      <c r="F33" s="106"/>
      <c r="G33" s="106"/>
      <c r="H33" s="106"/>
      <c r="I33" s="106"/>
      <c r="J33" s="106"/>
      <c r="K33" s="106"/>
      <c r="L33" s="106"/>
      <c r="M33" s="106"/>
      <c r="N33" s="106"/>
      <c r="O33" s="107"/>
      <c r="P33" s="104"/>
      <c r="Q33" s="105">
        <f>P34*$B$6</f>
        <v>173.88752340363138</v>
      </c>
      <c r="R33" s="104"/>
      <c r="S33" s="105">
        <f>R32*down_factor</f>
        <v>173.88352165461993</v>
      </c>
      <c r="T33" s="104"/>
      <c r="U33" s="105">
        <f>T32*down_factor</f>
        <v>173.87951999770246</v>
      </c>
      <c r="V33" s="104"/>
      <c r="W33" s="105">
        <f>V32*$B$7</f>
        <v>173.87551843287687</v>
      </c>
      <c r="X33" s="104"/>
      <c r="Y33" s="105">
        <f>X32*$B$7</f>
        <v>173.87151696014104</v>
      </c>
      <c r="Z33" s="104"/>
      <c r="AA33" s="105">
        <f>Z32*$B$7</f>
        <v>173.86751557949279</v>
      </c>
      <c r="AB33" s="104"/>
      <c r="AC33" s="105">
        <f>AB32*$B$7</f>
        <v>173.86351429093008</v>
      </c>
      <c r="AD33" s="104"/>
      <c r="AE33" s="105">
        <f>AD32*$B$7</f>
        <v>173.85951309445079</v>
      </c>
    </row>
    <row r="34" spans="1:31" ht="18.75" customHeight="1">
      <c r="A34" s="106"/>
      <c r="B34" s="106"/>
      <c r="C34" s="106"/>
      <c r="D34" s="106"/>
      <c r="E34" s="106"/>
      <c r="F34" s="106"/>
      <c r="G34" s="106"/>
      <c r="H34" s="106"/>
      <c r="I34" s="106"/>
      <c r="J34" s="106"/>
      <c r="K34" s="106"/>
      <c r="L34" s="106"/>
      <c r="M34" s="106"/>
      <c r="N34" s="106"/>
      <c r="O34" s="104"/>
      <c r="P34" s="105">
        <f>O35*$B$6</f>
        <v>169.44222571333052</v>
      </c>
      <c r="Q34" s="104"/>
      <c r="R34" s="105">
        <f>Q33*down_factor</f>
        <v>169.43832626588326</v>
      </c>
      <c r="S34" s="104"/>
      <c r="T34" s="105">
        <f>S33*down_factor</f>
        <v>169.43442690817568</v>
      </c>
      <c r="U34" s="104"/>
      <c r="V34" s="105">
        <f>U33*$B$7</f>
        <v>169.4305276402057</v>
      </c>
      <c r="W34" s="104"/>
      <c r="X34" s="105">
        <f>W33*$B$7</f>
        <v>169.42662846197129</v>
      </c>
      <c r="Y34" s="104"/>
      <c r="Z34" s="105">
        <f>Y33*$B$7</f>
        <v>169.42272937347036</v>
      </c>
      <c r="AA34" s="104"/>
      <c r="AB34" s="105">
        <f>AA33*$B$7</f>
        <v>169.4188303747008</v>
      </c>
      <c r="AC34" s="104"/>
      <c r="AD34" s="105">
        <f>AC33*$B$7</f>
        <v>169.41493146566063</v>
      </c>
      <c r="AE34" s="105"/>
    </row>
    <row r="35" spans="1:31" ht="18.75" customHeight="1">
      <c r="A35" s="106"/>
      <c r="B35" s="106"/>
      <c r="C35" s="106"/>
      <c r="D35" s="106"/>
      <c r="E35" s="106"/>
      <c r="F35" s="106"/>
      <c r="G35" s="106"/>
      <c r="H35" s="106"/>
      <c r="I35" s="106"/>
      <c r="J35" s="106"/>
      <c r="K35" s="106"/>
      <c r="L35" s="106"/>
      <c r="M35" s="106"/>
      <c r="N35" s="104"/>
      <c r="O35" s="105">
        <f>N36*up_factor</f>
        <v>165.11056856013434</v>
      </c>
      <c r="P35" s="104"/>
      <c r="Q35" s="105">
        <f>P34*down_factor</f>
        <v>165.10676879899231</v>
      </c>
      <c r="R35" s="104"/>
      <c r="S35" s="105">
        <f>R34*down_factor</f>
        <v>165.1029691252958</v>
      </c>
      <c r="T35" s="104"/>
      <c r="U35" s="105">
        <f>T34*$B$7</f>
        <v>165.09916953904286</v>
      </c>
      <c r="V35" s="104"/>
      <c r="W35" s="105">
        <f>V34*$B$7</f>
        <v>165.09537004023142</v>
      </c>
      <c r="X35" s="104"/>
      <c r="Y35" s="105">
        <f>X34*$B$7</f>
        <v>165.09157062885953</v>
      </c>
      <c r="Z35" s="104"/>
      <c r="AA35" s="105">
        <f>Z34*$B$7</f>
        <v>165.08777130492513</v>
      </c>
      <c r="AB35" s="104"/>
      <c r="AC35" s="105">
        <f>AB34*$B$7</f>
        <v>165.08397206842619</v>
      </c>
      <c r="AD35" s="104"/>
      <c r="AE35" s="105">
        <f>AD34*$B$7</f>
        <v>165.08017291936073</v>
      </c>
    </row>
    <row r="36" spans="1:31" ht="19.95" customHeight="1">
      <c r="M36" s="104"/>
      <c r="N36" s="105">
        <f>M37*up_factor</f>
        <v>160.88964681314428</v>
      </c>
      <c r="O36" s="104"/>
      <c r="P36" s="105">
        <f>O35*down_factor</f>
        <v>160.88594418990553</v>
      </c>
      <c r="Q36" s="104"/>
      <c r="R36" s="105">
        <f>Q35*down_factor</f>
        <v>160.88224165187683</v>
      </c>
      <c r="S36" s="104"/>
      <c r="T36" s="105">
        <f>S35*$B$7</f>
        <v>160.87853919905623</v>
      </c>
      <c r="U36" s="104"/>
      <c r="V36" s="105">
        <f>U35*$B$7</f>
        <v>160.87483683144183</v>
      </c>
      <c r="W36" s="104"/>
      <c r="X36" s="105">
        <f>W35*$B$7</f>
        <v>160.87113454903155</v>
      </c>
      <c r="Y36" s="104"/>
      <c r="Z36" s="105">
        <f>Y35*$B$7</f>
        <v>160.86743235182357</v>
      </c>
      <c r="AA36" s="104"/>
      <c r="AB36" s="105">
        <f>AA35*$B$7</f>
        <v>160.86373023981585</v>
      </c>
      <c r="AC36" s="104"/>
      <c r="AD36" s="105">
        <f>AC35*$B$7</f>
        <v>160.86002821300642</v>
      </c>
      <c r="AE36" s="105"/>
    </row>
    <row r="37" spans="1:31" ht="18" customHeight="1">
      <c r="A37" s="107"/>
      <c r="B37" s="107"/>
      <c r="C37" s="107"/>
      <c r="D37" s="107"/>
      <c r="E37" s="107"/>
      <c r="F37" s="107"/>
      <c r="G37" s="107"/>
      <c r="H37" s="107"/>
      <c r="I37" s="107"/>
      <c r="J37" s="107"/>
      <c r="K37" s="107"/>
      <c r="L37" s="104"/>
      <c r="M37" s="105">
        <f>L38*up_factor</f>
        <v>156.77662960884695</v>
      </c>
      <c r="N37" s="104"/>
      <c r="O37" s="105">
        <f>N36*down_factor</f>
        <v>156.77302164025738</v>
      </c>
      <c r="P37" s="104"/>
      <c r="Q37" s="105">
        <f>P36*down_factor</f>
        <v>156.7694137546996</v>
      </c>
      <c r="R37" s="104"/>
      <c r="S37" s="105">
        <f>R36*$B$7</f>
        <v>156.76580595217163</v>
      </c>
      <c r="T37" s="104"/>
      <c r="U37" s="105">
        <f>T36*$B$7</f>
        <v>156.76219823267158</v>
      </c>
      <c r="V37" s="104"/>
      <c r="W37" s="105">
        <f>V36*$B$7</f>
        <v>156.75859059619756</v>
      </c>
      <c r="X37" s="104"/>
      <c r="Y37" s="105">
        <f>X36*$B$7</f>
        <v>156.7549830427476</v>
      </c>
      <c r="Z37" s="104"/>
      <c r="AA37" s="105">
        <f>Z36*$B$7</f>
        <v>156.75137557231989</v>
      </c>
      <c r="AB37" s="104"/>
      <c r="AC37" s="105">
        <f>AB36*$B$7</f>
        <v>156.74776818491245</v>
      </c>
      <c r="AD37" s="104"/>
      <c r="AE37" s="105">
        <f>AD36*$B$7</f>
        <v>156.74416088052334</v>
      </c>
    </row>
    <row r="38" spans="1:31" ht="18.75" customHeight="1">
      <c r="A38" s="107"/>
      <c r="B38" s="107"/>
      <c r="C38" s="107"/>
      <c r="D38" s="107"/>
      <c r="E38" s="107"/>
      <c r="F38" s="107"/>
      <c r="G38" s="107"/>
      <c r="H38" s="107"/>
      <c r="I38" s="104"/>
      <c r="J38" s="107"/>
      <c r="K38" s="104"/>
      <c r="L38" s="105">
        <f>K39*$B$6</f>
        <v>152.76875845252678</v>
      </c>
      <c r="M38" s="104"/>
      <c r="N38" s="105">
        <f>M37*down_factor</f>
        <v>152.76524271881482</v>
      </c>
      <c r="O38" s="104"/>
      <c r="P38" s="105">
        <f>O37*down_factor</f>
        <v>152.76172706601199</v>
      </c>
      <c r="Q38" s="104"/>
      <c r="R38" s="105">
        <f>Q37*$B$7</f>
        <v>152.75821149411638</v>
      </c>
      <c r="S38" s="104"/>
      <c r="T38" s="105">
        <f>S37*$B$7</f>
        <v>152.75469600312618</v>
      </c>
      <c r="U38" s="104"/>
      <c r="V38" s="105">
        <f>U37*$B$7</f>
        <v>152.75118059303946</v>
      </c>
      <c r="W38" s="104"/>
      <c r="X38" s="105">
        <f>W37*$B$7</f>
        <v>152.74766526385443</v>
      </c>
      <c r="Y38" s="104"/>
      <c r="Z38" s="105">
        <f>Y37*$B$7</f>
        <v>152.74415001556915</v>
      </c>
      <c r="AA38" s="104"/>
      <c r="AB38" s="105">
        <f>AA37*$B$7</f>
        <v>152.74063484818186</v>
      </c>
      <c r="AC38" s="104"/>
      <c r="AD38" s="105">
        <f>AC37*$B$7</f>
        <v>152.73711976169065</v>
      </c>
      <c r="AE38" s="105"/>
    </row>
    <row r="39" spans="1:31" ht="18.75" customHeight="1">
      <c r="A39" s="107"/>
      <c r="B39" s="107"/>
      <c r="C39" s="107"/>
      <c r="D39" s="107"/>
      <c r="E39" s="107"/>
      <c r="F39" s="107"/>
      <c r="G39" s="107"/>
      <c r="H39" s="107"/>
      <c r="I39" s="107"/>
      <c r="J39" s="104"/>
      <c r="K39" s="105">
        <f>J40*$B$6</f>
        <v>148.86334536821479</v>
      </c>
      <c r="L39" s="104"/>
      <c r="M39" s="105">
        <f>L38*down_factor</f>
        <v>148.85991951146838</v>
      </c>
      <c r="N39" s="104"/>
      <c r="O39" s="105">
        <f>N38*down_factor</f>
        <v>148.8564937335627</v>
      </c>
      <c r="P39" s="104"/>
      <c r="Q39" s="105">
        <f>P38*$B$7</f>
        <v>148.85306803449595</v>
      </c>
      <c r="R39" s="104"/>
      <c r="S39" s="105">
        <f>R38*$B$7</f>
        <v>148.84964241426627</v>
      </c>
      <c r="T39" s="104"/>
      <c r="U39" s="105">
        <f>T38*$B$7</f>
        <v>148.84621687287191</v>
      </c>
      <c r="V39" s="104"/>
      <c r="W39" s="105">
        <f>V38*$B$7</f>
        <v>148.84279141031098</v>
      </c>
      <c r="X39" s="104"/>
      <c r="Y39" s="105">
        <f>X38*$B$7</f>
        <v>148.83936602658173</v>
      </c>
      <c r="Z39" s="104"/>
      <c r="AA39" s="105">
        <f>Z38*$B$7</f>
        <v>148.83594072168228</v>
      </c>
      <c r="AB39" s="104"/>
      <c r="AC39" s="105">
        <f>AB38*$B$7</f>
        <v>148.83251549561092</v>
      </c>
      <c r="AD39" s="104"/>
      <c r="AE39" s="105">
        <f>AD38*$B$7</f>
        <v>148.82909034836578</v>
      </c>
    </row>
    <row r="40" spans="1:31" ht="18.75" customHeight="1">
      <c r="A40" s="107"/>
      <c r="B40" s="108"/>
      <c r="C40" s="107"/>
      <c r="D40" s="107"/>
      <c r="E40" s="107"/>
      <c r="F40" s="107"/>
      <c r="G40" s="107"/>
      <c r="H40" s="107"/>
      <c r="I40" s="104"/>
      <c r="J40" s="105">
        <f>I41*$B$6</f>
        <v>145.05777109593225</v>
      </c>
      <c r="K40" s="104"/>
      <c r="L40" s="105">
        <f>K39*$B$7</f>
        <v>145.05443281851751</v>
      </c>
      <c r="M40" s="104"/>
      <c r="N40" s="105">
        <f>M39*down_factor</f>
        <v>145.05109461792796</v>
      </c>
      <c r="O40" s="104"/>
      <c r="P40" s="105">
        <f>O39*$B$7</f>
        <v>145.04775649416189</v>
      </c>
      <c r="Q40" s="104"/>
      <c r="R40" s="105">
        <f>Q39*$B$7</f>
        <v>145.04441844721754</v>
      </c>
      <c r="S40" s="104"/>
      <c r="T40" s="105">
        <f>S39*$B$7</f>
        <v>145.04108047709306</v>
      </c>
      <c r="U40" s="104"/>
      <c r="V40" s="105">
        <f>U39*$B$7</f>
        <v>145.03774258378678</v>
      </c>
      <c r="W40" s="104"/>
      <c r="X40" s="105">
        <f>W39*$B$7</f>
        <v>145.03440476729685</v>
      </c>
      <c r="Y40" s="104"/>
      <c r="Z40" s="105">
        <f>Y39*$B$7</f>
        <v>145.03106702762156</v>
      </c>
      <c r="AA40" s="104"/>
      <c r="AB40" s="105">
        <f>AA39*$B$7</f>
        <v>145.02772936475907</v>
      </c>
      <c r="AC40" s="104"/>
      <c r="AD40" s="105">
        <f>AC39*$B$7</f>
        <v>145.02439177870775</v>
      </c>
      <c r="AE40" s="105"/>
    </row>
    <row r="41" spans="1:31" ht="18.75" customHeight="1">
      <c r="A41" s="107"/>
      <c r="B41" s="107"/>
      <c r="C41" s="107"/>
      <c r="D41" s="107"/>
      <c r="E41" s="107"/>
      <c r="F41" s="107"/>
      <c r="G41" s="107"/>
      <c r="H41" s="104"/>
      <c r="I41" s="105">
        <f>H42*$B$6</f>
        <v>141.34948333502052</v>
      </c>
      <c r="J41" s="104"/>
      <c r="K41" s="105">
        <f>J40*$B$7</f>
        <v>141.34623039804072</v>
      </c>
      <c r="L41" s="104"/>
      <c r="M41" s="105">
        <f>L40*$B$7</f>
        <v>141.34297753592219</v>
      </c>
      <c r="N41" s="104"/>
      <c r="O41" s="105">
        <f>N40*$B$7</f>
        <v>141.33972474866314</v>
      </c>
      <c r="P41" s="104"/>
      <c r="Q41" s="105">
        <f>P40*$B$7</f>
        <v>141.33647203626194</v>
      </c>
      <c r="R41" s="104"/>
      <c r="S41" s="105">
        <f>R40*$B$7</f>
        <v>141.33321939871684</v>
      </c>
      <c r="T41" s="104"/>
      <c r="U41" s="105">
        <f>T40*$B$7</f>
        <v>141.32996683602605</v>
      </c>
      <c r="V41" s="104"/>
      <c r="W41" s="105">
        <f>V40*$B$7</f>
        <v>141.32671434818792</v>
      </c>
      <c r="X41" s="104"/>
      <c r="Y41" s="105">
        <f>X40*$B$7</f>
        <v>141.32346193520067</v>
      </c>
      <c r="Z41" s="104"/>
      <c r="AA41" s="105">
        <f>Z40*$B$7</f>
        <v>141.32020959706267</v>
      </c>
      <c r="AB41" s="104"/>
      <c r="AC41" s="105">
        <f>AB40*$B$7</f>
        <v>141.31695733377205</v>
      </c>
      <c r="AD41" s="104"/>
      <c r="AE41" s="105">
        <f>AD40*$B$7</f>
        <v>141.31370514532728</v>
      </c>
    </row>
    <row r="42" spans="1:31" ht="18.75" customHeight="1">
      <c r="A42" s="107"/>
      <c r="B42" s="108"/>
      <c r="C42" s="107"/>
      <c r="D42" s="107"/>
      <c r="E42" s="107"/>
      <c r="F42" s="107"/>
      <c r="G42" s="104"/>
      <c r="H42" s="105">
        <f>G43*$B$6</f>
        <v>137.73599503237864</v>
      </c>
      <c r="I42" s="104"/>
      <c r="J42" s="105">
        <f>I41*$B$7</f>
        <v>137.73282525417275</v>
      </c>
      <c r="K42" s="104"/>
      <c r="L42" s="105">
        <f>K41*$B$7</f>
        <v>137.72965554891434</v>
      </c>
      <c r="M42" s="104"/>
      <c r="N42" s="105">
        <f>M41*$B$7</f>
        <v>137.72648591660175</v>
      </c>
      <c r="O42" s="104"/>
      <c r="P42" s="105">
        <f>O41*$B$7</f>
        <v>137.72331635723322</v>
      </c>
      <c r="Q42" s="104"/>
      <c r="R42" s="105">
        <f>Q41*$B$7</f>
        <v>137.72014687080718</v>
      </c>
      <c r="S42" s="104"/>
      <c r="T42" s="105">
        <f>S41*$B$7</f>
        <v>137.71697745732195</v>
      </c>
      <c r="U42" s="104"/>
      <c r="V42" s="105">
        <f>U41*$B$7</f>
        <v>137.71380811677574</v>
      </c>
      <c r="W42" s="104"/>
      <c r="X42" s="105">
        <f>W41*$B$7</f>
        <v>137.71063884916697</v>
      </c>
      <c r="Y42" s="104"/>
      <c r="Z42" s="105">
        <f>Y41*$B$7</f>
        <v>137.70746965449388</v>
      </c>
      <c r="AA42" s="104"/>
      <c r="AB42" s="105">
        <f>AA41*$B$7</f>
        <v>137.70430053275493</v>
      </c>
      <c r="AC42" s="104"/>
      <c r="AD42" s="105">
        <f>AC41*$B$7</f>
        <v>137.70113148394825</v>
      </c>
      <c r="AE42" s="105"/>
    </row>
    <row r="43" spans="1:31" ht="18.75" customHeight="1">
      <c r="A43" s="107"/>
      <c r="B43" s="107"/>
      <c r="C43" s="107"/>
      <c r="D43" s="107"/>
      <c r="E43" s="107"/>
      <c r="F43" s="104"/>
      <c r="G43" s="105">
        <f>F44*$B$6</f>
        <v>134.21488271446097</v>
      </c>
      <c r="H43" s="104"/>
      <c r="I43" s="105">
        <f>H42*$B$7</f>
        <v>134.21179396914036</v>
      </c>
      <c r="J43" s="104"/>
      <c r="K43" s="105">
        <f>J42*$B$7</f>
        <v>134.20870529490239</v>
      </c>
      <c r="L43" s="104"/>
      <c r="M43" s="105">
        <f>L42*$B$7</f>
        <v>134.20561669174543</v>
      </c>
      <c r="N43" s="104"/>
      <c r="O43" s="105">
        <f>N42*$B$7</f>
        <v>134.20252815966785</v>
      </c>
      <c r="P43" s="104"/>
      <c r="Q43" s="105">
        <f>P42*$B$7</f>
        <v>134.19943969866793</v>
      </c>
      <c r="R43" s="104"/>
      <c r="S43" s="105">
        <f>R42*$B$7</f>
        <v>134.19635130874417</v>
      </c>
      <c r="T43" s="104"/>
      <c r="U43" s="105">
        <f>T42*$B$7</f>
        <v>134.19326298989486</v>
      </c>
      <c r="V43" s="104"/>
      <c r="W43" s="105">
        <f>V42*$B$7</f>
        <v>134.19017474211836</v>
      </c>
      <c r="X43" s="104"/>
      <c r="Y43" s="105">
        <f>X42*$B$7</f>
        <v>134.18708656541304</v>
      </c>
      <c r="Z43" s="104"/>
      <c r="AA43" s="105">
        <f>Z42*$B$7</f>
        <v>134.18399845977723</v>
      </c>
      <c r="AB43" s="104"/>
      <c r="AC43" s="105">
        <f>AB42*$B$7</f>
        <v>134.18091042520942</v>
      </c>
      <c r="AD43" s="104"/>
      <c r="AE43" s="105">
        <f>AD42*$B$7</f>
        <v>134.17782246170779</v>
      </c>
    </row>
    <row r="44" spans="1:31" ht="18.75" customHeight="1">
      <c r="A44" s="107"/>
      <c r="B44" s="108"/>
      <c r="C44" s="107"/>
      <c r="D44" s="107"/>
      <c r="E44" s="109"/>
      <c r="F44" s="105">
        <f>E45*$B$6</f>
        <v>130.78378486191582</v>
      </c>
      <c r="G44" s="104"/>
      <c r="H44" s="105">
        <f>G43*$B$7</f>
        <v>130.78077507793856</v>
      </c>
      <c r="I44" s="104"/>
      <c r="J44" s="105">
        <f>I43*$B$7</f>
        <v>130.77776536322676</v>
      </c>
      <c r="K44" s="104"/>
      <c r="L44" s="105">
        <f>K43*$B$7</f>
        <v>130.77475571777885</v>
      </c>
      <c r="M44" s="104"/>
      <c r="N44" s="105">
        <f>M43*$B$7</f>
        <v>130.77174614159321</v>
      </c>
      <c r="O44" s="104"/>
      <c r="P44" s="105">
        <f>O43*$B$7</f>
        <v>130.76873663466827</v>
      </c>
      <c r="Q44" s="104"/>
      <c r="R44" s="105">
        <f>Q43*$B$7</f>
        <v>130.76572719700235</v>
      </c>
      <c r="S44" s="104"/>
      <c r="T44" s="105">
        <f>S43*$B$7</f>
        <v>130.76271782859399</v>
      </c>
      <c r="U44" s="104"/>
      <c r="V44" s="105">
        <f>U43*$B$7</f>
        <v>130.75970852944153</v>
      </c>
      <c r="W44" s="104"/>
      <c r="X44" s="105">
        <f>W43*$B$7</f>
        <v>130.75669929954336</v>
      </c>
      <c r="Y44" s="104"/>
      <c r="Z44" s="105">
        <f>Y43*$B$7</f>
        <v>130.75369013889789</v>
      </c>
      <c r="AA44" s="104"/>
      <c r="AB44" s="105">
        <f>AA43*$B$7</f>
        <v>130.75068104750352</v>
      </c>
      <c r="AC44" s="104"/>
      <c r="AD44" s="105">
        <f>AC43*$B$7</f>
        <v>130.74767202535875</v>
      </c>
      <c r="AE44" s="105"/>
    </row>
    <row r="45" spans="1:31" ht="18.75" customHeight="1">
      <c r="A45" s="107"/>
      <c r="B45" s="107"/>
      <c r="C45" s="107"/>
      <c r="D45" s="109"/>
      <c r="E45" s="105">
        <f>D46*$B$6</f>
        <v>127.44040032577526</v>
      </c>
      <c r="F45" s="104"/>
      <c r="G45" s="105">
        <f>F44*$B$7</f>
        <v>127.43746748455676</v>
      </c>
      <c r="H45" s="104"/>
      <c r="I45" s="105">
        <f>H44*$B$7</f>
        <v>127.43453471083299</v>
      </c>
      <c r="J45" s="104"/>
      <c r="K45" s="105">
        <f>J44*$B$7</f>
        <v>127.43160200460242</v>
      </c>
      <c r="L45" s="104"/>
      <c r="M45" s="105">
        <f>L44*$B$7</f>
        <v>127.4286693658635</v>
      </c>
      <c r="N45" s="104"/>
      <c r="O45" s="105">
        <f>N44*$B$7</f>
        <v>127.42573679461466</v>
      </c>
      <c r="P45" s="104"/>
      <c r="Q45" s="105">
        <f>P44*$B$7</f>
        <v>127.42280429085439</v>
      </c>
      <c r="R45" s="104"/>
      <c r="S45" s="105">
        <f>R44*$B$7</f>
        <v>127.41987185458102</v>
      </c>
      <c r="T45" s="104"/>
      <c r="U45" s="105">
        <f>T44*$B$7</f>
        <v>127.41693948579314</v>
      </c>
      <c r="V45" s="104"/>
      <c r="W45" s="105">
        <f>V44*$B$7</f>
        <v>127.41400718448914</v>
      </c>
      <c r="X45" s="104"/>
      <c r="Y45" s="105">
        <f>X44*$B$7</f>
        <v>127.41107495066744</v>
      </c>
      <c r="Z45" s="104"/>
      <c r="AA45" s="105">
        <f>Z44*$B$7</f>
        <v>127.4081427843265</v>
      </c>
      <c r="AB45" s="104"/>
      <c r="AC45" s="105">
        <f>AB44*$B$7</f>
        <v>127.40521068546475</v>
      </c>
      <c r="AD45" s="104"/>
      <c r="AE45" s="105">
        <f>AD44*$B$7</f>
        <v>127.40227865408075</v>
      </c>
    </row>
    <row r="46" spans="1:31" ht="18.75" customHeight="1">
      <c r="A46" s="107"/>
      <c r="B46" s="107"/>
      <c r="C46" s="109"/>
      <c r="D46" s="105">
        <f>C47*$B$6</f>
        <v>124.1824867841338</v>
      </c>
      <c r="E46" s="109"/>
      <c r="F46" s="105">
        <f>E45*$B$7</f>
        <v>124.17962891869297</v>
      </c>
      <c r="G46" s="104"/>
      <c r="H46" s="105">
        <f>G45*$B$7</f>
        <v>124.17677111902144</v>
      </c>
      <c r="I46" s="104"/>
      <c r="J46" s="105">
        <f>I45*$B$7</f>
        <v>124.17391338511767</v>
      </c>
      <c r="K46" s="104"/>
      <c r="L46" s="105">
        <f>K45*$B$7</f>
        <v>124.17105571698019</v>
      </c>
      <c r="M46" s="104"/>
      <c r="N46" s="105">
        <f>M45*$B$7</f>
        <v>124.16819811460746</v>
      </c>
      <c r="O46" s="104"/>
      <c r="P46" s="105">
        <f>O45*$B$7</f>
        <v>124.16534057799798</v>
      </c>
      <c r="Q46" s="104"/>
      <c r="R46" s="105">
        <f>Q45*$B$7</f>
        <v>124.16248310715025</v>
      </c>
      <c r="S46" s="104"/>
      <c r="T46" s="105">
        <f>S45*$B$7</f>
        <v>124.15962570206267</v>
      </c>
      <c r="U46" s="104"/>
      <c r="V46" s="105">
        <f>U45*$B$7</f>
        <v>124.15676836273384</v>
      </c>
      <c r="W46" s="104"/>
      <c r="X46" s="105">
        <f>W45*$B$7</f>
        <v>124.15391108916221</v>
      </c>
      <c r="Y46" s="104"/>
      <c r="Z46" s="105">
        <f>Y45*$B$7</f>
        <v>124.15105388134624</v>
      </c>
      <c r="AA46" s="104"/>
      <c r="AB46" s="105">
        <f>AA45*$B$7</f>
        <v>124.14819673928442</v>
      </c>
      <c r="AC46" s="104"/>
      <c r="AD46" s="105">
        <f>AC45*$B$7</f>
        <v>124.14533966297523</v>
      </c>
      <c r="AE46" s="105"/>
    </row>
    <row r="47" spans="1:31" ht="18.75" customHeight="1">
      <c r="A47" s="110"/>
      <c r="B47" s="109"/>
      <c r="C47" s="105">
        <f>B48*$B$6</f>
        <v>121.00785923828079</v>
      </c>
      <c r="D47" s="109"/>
      <c r="E47" s="105">
        <f>D46*$B$7</f>
        <v>121.00507443192087</v>
      </c>
      <c r="F47" s="104"/>
      <c r="G47" s="105">
        <f>F46*$B$7</f>
        <v>121.00228968964892</v>
      </c>
      <c r="H47" s="104"/>
      <c r="I47" s="105">
        <f>H46*$B$7</f>
        <v>120.99950501146346</v>
      </c>
      <c r="J47" s="104"/>
      <c r="K47" s="105">
        <f>J46*$B$7</f>
        <v>120.99672039736296</v>
      </c>
      <c r="L47" s="104"/>
      <c r="M47" s="105">
        <f>L46*$B$7</f>
        <v>120.99393584734604</v>
      </c>
      <c r="N47" s="104"/>
      <c r="O47" s="105">
        <f>N46*$B$7</f>
        <v>120.99115136141116</v>
      </c>
      <c r="P47" s="104"/>
      <c r="Q47" s="105">
        <f>P46*$B$7</f>
        <v>120.98836693955687</v>
      </c>
      <c r="R47" s="104"/>
      <c r="S47" s="105">
        <f>R46*$B$7</f>
        <v>120.9855825817817</v>
      </c>
      <c r="T47" s="104"/>
      <c r="U47" s="105">
        <f>T46*$B$7</f>
        <v>120.9827982880841</v>
      </c>
      <c r="V47" s="104"/>
      <c r="W47" s="105">
        <f>V46*$B$7</f>
        <v>120.98001405846271</v>
      </c>
      <c r="X47" s="104"/>
      <c r="Y47" s="105">
        <f>X46*$B$7</f>
        <v>120.97722989291601</v>
      </c>
      <c r="Z47" s="104"/>
      <c r="AA47" s="105">
        <f>Z46*$B$7</f>
        <v>120.97444579144252</v>
      </c>
      <c r="AB47" s="104"/>
      <c r="AC47" s="105">
        <f>AB46*$B$7</f>
        <v>120.97166175404072</v>
      </c>
      <c r="AD47" s="104"/>
      <c r="AE47" s="105">
        <f>AD46*$B$7</f>
        <v>120.96887778070919</v>
      </c>
    </row>
    <row r="48" spans="1:31" ht="18.75" customHeight="1">
      <c r="A48" s="111"/>
      <c r="B48" s="105">
        <f>A49*$B$6</f>
        <v>117.91438854727808</v>
      </c>
      <c r="C48" s="109"/>
      <c r="D48" s="105">
        <f>C47*$B$7</f>
        <v>117.91167493230117</v>
      </c>
      <c r="E48" s="109"/>
      <c r="F48" s="105">
        <f>E47*$B$7</f>
        <v>117.90896137977387</v>
      </c>
      <c r="G48" s="104"/>
      <c r="H48" s="105">
        <f>G47*$B$7</f>
        <v>117.90624788969473</v>
      </c>
      <c r="I48" s="104"/>
      <c r="J48" s="105">
        <f>I47*$B$7</f>
        <v>117.90353446206232</v>
      </c>
      <c r="K48" s="104"/>
      <c r="L48" s="105">
        <f>K47*$B$7</f>
        <v>117.90082109687516</v>
      </c>
      <c r="M48" s="104"/>
      <c r="N48" s="105">
        <f>M47*$B$7</f>
        <v>117.8981077941319</v>
      </c>
      <c r="O48" s="104"/>
      <c r="P48" s="105">
        <f>O47*$B$7</f>
        <v>117.89539455383103</v>
      </c>
      <c r="Q48" s="104"/>
      <c r="R48" s="105">
        <f>Q47*$B$7</f>
        <v>117.89268137597115</v>
      </c>
      <c r="S48" s="104"/>
      <c r="T48" s="105">
        <f>S47*$B$7</f>
        <v>117.88996826055082</v>
      </c>
      <c r="U48" s="104"/>
      <c r="V48" s="105">
        <f>U47*$B$7</f>
        <v>117.88725520756851</v>
      </c>
      <c r="W48" s="104"/>
      <c r="X48" s="105">
        <f>W47*$B$7</f>
        <v>117.88454221702294</v>
      </c>
      <c r="Y48" s="104"/>
      <c r="Z48" s="105">
        <f>Y47*$B$7</f>
        <v>117.8818292889126</v>
      </c>
      <c r="AA48" s="104"/>
      <c r="AB48" s="105">
        <f>AA47*$B$7</f>
        <v>117.87911642323604</v>
      </c>
      <c r="AC48" s="104"/>
      <c r="AD48" s="105">
        <f>AC47*$B$7</f>
        <v>117.87640361999181</v>
      </c>
      <c r="AE48" s="105"/>
    </row>
    <row r="49" spans="1:31" ht="18.75" customHeight="1">
      <c r="A49" s="105">
        <f>Stock</f>
        <v>114.9</v>
      </c>
      <c r="B49" s="109"/>
      <c r="C49" s="105">
        <f>B48*$B$7</f>
        <v>114.89735575645443</v>
      </c>
      <c r="D49" s="109"/>
      <c r="E49" s="105">
        <f>D48*$B$7</f>
        <v>114.89471157376198</v>
      </c>
      <c r="F49" s="104"/>
      <c r="G49" s="105">
        <f>F48*$B$7</f>
        <v>114.89206745192126</v>
      </c>
      <c r="H49" s="112"/>
      <c r="I49" s="105">
        <f>H48*$B$7</f>
        <v>114.88942339093086</v>
      </c>
      <c r="J49" s="104"/>
      <c r="K49" s="105">
        <f>J48*$B$7</f>
        <v>114.8867793907894</v>
      </c>
      <c r="L49" s="104"/>
      <c r="M49" s="105">
        <f>L48*$B$7</f>
        <v>114.88413545149541</v>
      </c>
      <c r="N49" s="104"/>
      <c r="O49" s="105">
        <f>N48*$B$7</f>
        <v>114.8814915730476</v>
      </c>
      <c r="P49" s="104"/>
      <c r="Q49" s="105">
        <f>P48*$B$7</f>
        <v>114.87884775544447</v>
      </c>
      <c r="R49" s="104"/>
      <c r="S49" s="105">
        <f>R48*$B$7</f>
        <v>114.8762039986847</v>
      </c>
      <c r="T49" s="104"/>
      <c r="U49" s="105">
        <f>T48*$B$7</f>
        <v>114.87356030276685</v>
      </c>
      <c r="V49" s="104"/>
      <c r="W49" s="105">
        <f>V48*$B$7</f>
        <v>114.87091666768944</v>
      </c>
      <c r="X49" s="104"/>
      <c r="Y49" s="105">
        <f>X48*$B$7</f>
        <v>114.86827309345124</v>
      </c>
      <c r="Z49" s="104"/>
      <c r="AA49" s="105">
        <f>Z48*$B$7</f>
        <v>114.86562958005074</v>
      </c>
      <c r="AB49" s="104"/>
      <c r="AC49" s="105">
        <f>AB48*$B$7</f>
        <v>114.86298612748656</v>
      </c>
      <c r="AD49" s="104"/>
      <c r="AE49" s="105">
        <f>AD48*$B$7</f>
        <v>114.86034273575727</v>
      </c>
    </row>
    <row r="50" spans="1:31" ht="18.75" customHeight="1">
      <c r="A50" s="113"/>
      <c r="B50" s="105">
        <f>A49*$B$7</f>
        <v>111.9600952781378</v>
      </c>
      <c r="C50" s="109"/>
      <c r="D50" s="105">
        <f>C49*$B$7</f>
        <v>111.95751869189498</v>
      </c>
      <c r="E50" s="109"/>
      <c r="F50" s="105">
        <f>E49*$B$7</f>
        <v>111.95494216494825</v>
      </c>
      <c r="G50" s="104"/>
      <c r="H50" s="105">
        <f>G49*$B$7</f>
        <v>111.95236569729626</v>
      </c>
      <c r="I50" s="104"/>
      <c r="J50" s="105">
        <f>I49*$B$7</f>
        <v>111.94978928893762</v>
      </c>
      <c r="K50" s="104"/>
      <c r="L50" s="105">
        <f>K49*$B$7</f>
        <v>111.94721293987101</v>
      </c>
      <c r="M50" s="104"/>
      <c r="N50" s="105">
        <f>M49*$B$7</f>
        <v>111.94463665009499</v>
      </c>
      <c r="O50" s="104"/>
      <c r="P50" s="105">
        <f>O49*$B$7</f>
        <v>111.9420604196083</v>
      </c>
      <c r="Q50" s="104"/>
      <c r="R50" s="105">
        <f>Q49*$B$7</f>
        <v>111.93948424840949</v>
      </c>
      <c r="S50" s="104"/>
      <c r="T50" s="105">
        <f>S49*$B$7</f>
        <v>111.93690813649725</v>
      </c>
      <c r="U50" s="104"/>
      <c r="V50" s="105">
        <f>U49*$B$7</f>
        <v>111.93433208387019</v>
      </c>
      <c r="W50" s="104"/>
      <c r="X50" s="105">
        <f>W49*$B$7</f>
        <v>111.93175609052687</v>
      </c>
      <c r="Y50" s="104"/>
      <c r="Z50" s="105">
        <f>Y49*$B$7</f>
        <v>111.92918015646609</v>
      </c>
      <c r="AA50" s="104"/>
      <c r="AB50" s="105">
        <f>AA49*$B$7</f>
        <v>111.92660428168637</v>
      </c>
      <c r="AC50" s="104"/>
      <c r="AD50" s="105">
        <f>AC49*$B$7</f>
        <v>111.92402846618639</v>
      </c>
      <c r="AE50" s="105"/>
    </row>
    <row r="51" spans="1:31" ht="18.75" customHeight="1">
      <c r="A51" s="107"/>
      <c r="B51" s="107"/>
      <c r="C51" s="105">
        <f>B50*$B$7</f>
        <v>109.09541283454912</v>
      </c>
      <c r="D51" s="109"/>
      <c r="E51" s="105">
        <f>D50*$B$7</f>
        <v>109.09290217448611</v>
      </c>
      <c r="F51" s="104"/>
      <c r="G51" s="105">
        <f>F50*$B$7</f>
        <v>109.09039157220202</v>
      </c>
      <c r="H51" s="104"/>
      <c r="I51" s="105">
        <f>H50*$B$7</f>
        <v>109.08788102769552</v>
      </c>
      <c r="J51" s="104"/>
      <c r="K51" s="105">
        <f>J50*$B$7</f>
        <v>109.08537054096524</v>
      </c>
      <c r="L51" s="104"/>
      <c r="M51" s="105">
        <f>L50*$B$7</f>
        <v>109.08286011200991</v>
      </c>
      <c r="N51" s="104"/>
      <c r="O51" s="105">
        <f>N50*$B$7</f>
        <v>109.08034974082813</v>
      </c>
      <c r="P51" s="104"/>
      <c r="Q51" s="105">
        <f>P50*$B$7</f>
        <v>109.07783942741865</v>
      </c>
      <c r="R51" s="104"/>
      <c r="S51" s="105">
        <f>R50*$B$7</f>
        <v>109.07532917178008</v>
      </c>
      <c r="T51" s="104"/>
      <c r="U51" s="105">
        <f>T50*$B$7</f>
        <v>109.07281897391114</v>
      </c>
      <c r="V51" s="104"/>
      <c r="W51" s="105">
        <f>V50*$B$7</f>
        <v>109.07030883381047</v>
      </c>
      <c r="X51" s="104"/>
      <c r="Y51" s="105">
        <f>X50*$B$7</f>
        <v>109.06779875147667</v>
      </c>
      <c r="Z51" s="104"/>
      <c r="AA51" s="105">
        <f>Z50*$B$7</f>
        <v>109.06528872690856</v>
      </c>
      <c r="AB51" s="104"/>
      <c r="AC51" s="105">
        <f>AB50*$B$7</f>
        <v>109.06277876010472</v>
      </c>
      <c r="AD51" s="104"/>
      <c r="AE51" s="105">
        <f>AD50*$B$7</f>
        <v>109.06026885106384</v>
      </c>
    </row>
    <row r="52" spans="1:31" ht="18.75" customHeight="1">
      <c r="A52" s="107"/>
      <c r="B52" s="107"/>
      <c r="C52" s="107"/>
      <c r="D52" s="105">
        <f>C51*$B$7</f>
        <v>106.30402798402</v>
      </c>
      <c r="E52" s="109"/>
      <c r="F52" s="105">
        <f>E51*$B$7</f>
        <v>106.30158156330749</v>
      </c>
      <c r="G52" s="104"/>
      <c r="H52" s="105">
        <f>G51*$B$7</f>
        <v>106.29913519889556</v>
      </c>
      <c r="I52" s="104"/>
      <c r="J52" s="105">
        <f>I51*$B$7</f>
        <v>106.29668889078286</v>
      </c>
      <c r="K52" s="104"/>
      <c r="L52" s="105">
        <f>K51*$B$7</f>
        <v>106.2942426389681</v>
      </c>
      <c r="M52" s="104"/>
      <c r="N52" s="105">
        <f>M51*$B$7</f>
        <v>106.29179644345002</v>
      </c>
      <c r="O52" s="104"/>
      <c r="P52" s="105">
        <f>O51*$B$7</f>
        <v>106.28935030422726</v>
      </c>
      <c r="Q52" s="104"/>
      <c r="R52" s="105">
        <f>Q51*$B$7</f>
        <v>106.2869042212986</v>
      </c>
      <c r="S52" s="104"/>
      <c r="T52" s="105">
        <f>S51*$B$7</f>
        <v>106.28445819466268</v>
      </c>
      <c r="U52" s="104"/>
      <c r="V52" s="105">
        <f>U51*$B$7</f>
        <v>106.28201222431825</v>
      </c>
      <c r="W52" s="104"/>
      <c r="X52" s="105">
        <f>W51*$B$7</f>
        <v>106.27956631026402</v>
      </c>
      <c r="Y52" s="104"/>
      <c r="Z52" s="105">
        <f>Y51*$B$7</f>
        <v>106.27712045249858</v>
      </c>
      <c r="AA52" s="104"/>
      <c r="AB52" s="105">
        <f>AA51*$B$7</f>
        <v>106.27467465102082</v>
      </c>
      <c r="AC52" s="104"/>
      <c r="AD52" s="105">
        <f>AC51*$B$7</f>
        <v>106.27222890582931</v>
      </c>
      <c r="AE52" s="105"/>
    </row>
    <row r="53" spans="1:31" ht="18.75" customHeight="1">
      <c r="A53" s="107"/>
      <c r="B53" s="107"/>
      <c r="C53" s="107"/>
      <c r="D53" s="107"/>
      <c r="E53" s="105">
        <f>D52*$B$7</f>
        <v>103.58406528756053</v>
      </c>
      <c r="F53" s="104"/>
      <c r="G53" s="105">
        <f>F52*$B$7</f>
        <v>103.58168146252953</v>
      </c>
      <c r="H53" s="105"/>
      <c r="I53" s="105">
        <f>H52*$B$7</f>
        <v>103.57929769235855</v>
      </c>
      <c r="J53" s="104"/>
      <c r="K53" s="105">
        <f>J52*$B$7</f>
        <v>103.5769139770463</v>
      </c>
      <c r="L53" s="104"/>
      <c r="M53" s="105">
        <f>L52*$B$7</f>
        <v>103.57453031659152</v>
      </c>
      <c r="N53" s="104"/>
      <c r="O53" s="105">
        <f>N52*$B$7</f>
        <v>103.57214671099298</v>
      </c>
      <c r="P53" s="104"/>
      <c r="Q53" s="105">
        <f>P52*$B$7</f>
        <v>103.56976316024934</v>
      </c>
      <c r="R53" s="104"/>
      <c r="S53" s="105">
        <f>R52*$B$7</f>
        <v>103.56737966435942</v>
      </c>
      <c r="T53" s="104"/>
      <c r="U53" s="105">
        <f>T52*$B$7</f>
        <v>103.56499622332191</v>
      </c>
      <c r="V53" s="104"/>
      <c r="W53" s="105">
        <f>V52*$B$7</f>
        <v>103.56261283713557</v>
      </c>
      <c r="X53" s="104"/>
      <c r="Y53" s="105">
        <f>X52*$B$7</f>
        <v>103.56022950579916</v>
      </c>
      <c r="Z53" s="104"/>
      <c r="AA53" s="105">
        <f>Z52*$B$7</f>
        <v>103.55784622931129</v>
      </c>
      <c r="AB53" s="104"/>
      <c r="AC53" s="105">
        <f>AB52*$B$7</f>
        <v>103.55546300767091</v>
      </c>
      <c r="AD53" s="104"/>
      <c r="AE53" s="105">
        <f>AD52*$B$7</f>
        <v>103.55307984087658</v>
      </c>
    </row>
    <row r="54" spans="1:31" ht="18.75" customHeight="1">
      <c r="A54" s="107"/>
      <c r="B54" s="107"/>
      <c r="C54" s="107"/>
      <c r="D54" s="107"/>
      <c r="E54" s="107"/>
      <c r="F54" s="105">
        <f>E53*$B$7</f>
        <v>100.93369729235965</v>
      </c>
      <c r="G54" s="104"/>
      <c r="H54" s="105">
        <f>G53*$B$7</f>
        <v>100.9313744613971</v>
      </c>
      <c r="I54" s="104"/>
      <c r="J54" s="105">
        <f>I53*$B$7</f>
        <v>100.92905168389088</v>
      </c>
      <c r="K54" s="104"/>
      <c r="L54" s="105">
        <f>K53*$B$7</f>
        <v>100.92672895983975</v>
      </c>
      <c r="M54" s="104"/>
      <c r="N54" s="105">
        <f>M53*$B$7</f>
        <v>100.92440628924246</v>
      </c>
      <c r="O54" s="104"/>
      <c r="P54" s="105">
        <f>O53*$B$7</f>
        <v>100.92208367209783</v>
      </c>
      <c r="Q54" s="104"/>
      <c r="R54" s="105">
        <f>Q53*$B$7</f>
        <v>100.91976110840454</v>
      </c>
      <c r="S54" s="104"/>
      <c r="T54" s="105">
        <f>S53*$B$7</f>
        <v>100.91743859816147</v>
      </c>
      <c r="U54" s="104"/>
      <c r="V54" s="105">
        <f>U53*$B$7</f>
        <v>100.91511614136731</v>
      </c>
      <c r="W54" s="104"/>
      <c r="X54" s="105">
        <f>W53*$B$7</f>
        <v>100.91279373802085</v>
      </c>
      <c r="Y54" s="104"/>
      <c r="Z54" s="105">
        <f>Y53*$B$7</f>
        <v>100.9104713881209</v>
      </c>
      <c r="AA54" s="104"/>
      <c r="AB54" s="105">
        <f>AA53*$B$7</f>
        <v>100.9081490916661</v>
      </c>
      <c r="AC54" s="104"/>
      <c r="AD54" s="105">
        <f>AC53*$B$7</f>
        <v>100.90582684865544</v>
      </c>
      <c r="AE54" s="105"/>
    </row>
    <row r="55" spans="1:31" ht="18.75" customHeight="1">
      <c r="A55" s="107"/>
      <c r="B55" s="107"/>
      <c r="C55" s="107"/>
      <c r="D55" s="107"/>
      <c r="E55" s="107"/>
      <c r="F55" s="107"/>
      <c r="G55" s="105">
        <f>F54*$B$7</f>
        <v>98.351143303980038</v>
      </c>
      <c r="H55" s="104"/>
      <c r="I55" s="105">
        <f>H54*$B$7</f>
        <v>98.348879906452765</v>
      </c>
      <c r="J55" s="104"/>
      <c r="K55" s="105">
        <f>J54*$B$7</f>
        <v>98.346616561014073</v>
      </c>
      <c r="L55" s="104"/>
      <c r="M55" s="105">
        <f>L54*$B$7</f>
        <v>98.34435326766274</v>
      </c>
      <c r="N55" s="104"/>
      <c r="O55" s="105">
        <f>N54*$B$7</f>
        <v>98.342090026397514</v>
      </c>
      <c r="P55" s="104"/>
      <c r="Q55" s="105">
        <f>P54*$B$7</f>
        <v>98.339826837217302</v>
      </c>
      <c r="R55" s="104"/>
      <c r="S55" s="105">
        <f>R54*$B$7</f>
        <v>98.337563700120782</v>
      </c>
      <c r="T55" s="104"/>
      <c r="U55" s="105">
        <f>T54*$B$7</f>
        <v>98.335300615106874</v>
      </c>
      <c r="V55" s="104"/>
      <c r="W55" s="105">
        <f>V54*$B$7</f>
        <v>98.333037582174285</v>
      </c>
      <c r="X55" s="104"/>
      <c r="Y55" s="105">
        <f>X54*$B$7</f>
        <v>98.330774601321863</v>
      </c>
      <c r="Z55" s="104"/>
      <c r="AA55" s="105">
        <f>Z54*$B$7</f>
        <v>98.32851167254843</v>
      </c>
      <c r="AB55" s="104"/>
      <c r="AC55" s="105">
        <f>AB54*$B$7</f>
        <v>98.326248795852663</v>
      </c>
      <c r="AD55" s="104"/>
      <c r="AE55" s="105">
        <f>AD54*$B$7</f>
        <v>98.323985971233583</v>
      </c>
    </row>
    <row r="56" spans="1:31" ht="18.75" customHeight="1">
      <c r="A56" s="107"/>
      <c r="B56" s="107"/>
      <c r="C56" s="107"/>
      <c r="D56" s="107"/>
      <c r="E56" s="107"/>
      <c r="F56" s="107"/>
      <c r="G56" s="107"/>
      <c r="H56" s="105">
        <f>G55*$B$7</f>
        <v>95.834668189968582</v>
      </c>
      <c r="I56" s="104"/>
      <c r="J56" s="105">
        <f>I55*$B$7</f>
        <v>95.832462705174791</v>
      </c>
      <c r="K56" s="104"/>
      <c r="L56" s="105">
        <f>K55*$B$7</f>
        <v>95.830257271136816</v>
      </c>
      <c r="M56" s="104"/>
      <c r="N56" s="105">
        <f>M55*$B$7</f>
        <v>95.828051887853462</v>
      </c>
      <c r="O56" s="104"/>
      <c r="P56" s="105">
        <f>O55*$B$7</f>
        <v>95.825846555323508</v>
      </c>
      <c r="Q56" s="104"/>
      <c r="R56" s="105">
        <f>Q55*$B$7</f>
        <v>95.823641273545888</v>
      </c>
      <c r="S56" s="104"/>
      <c r="T56" s="105">
        <f>S55*$B$7</f>
        <v>95.821436042519309</v>
      </c>
      <c r="U56" s="104"/>
      <c r="V56" s="105">
        <f>U55*$B$7</f>
        <v>95.819230862242719</v>
      </c>
      <c r="W56" s="104"/>
      <c r="X56" s="105">
        <f>W55*$B$7</f>
        <v>95.817025732714868</v>
      </c>
      <c r="Y56" s="104"/>
      <c r="Z56" s="105">
        <f>Y55*$B$7</f>
        <v>95.814820653934618</v>
      </c>
      <c r="AA56" s="104"/>
      <c r="AB56" s="105">
        <f>AA55*$B$7</f>
        <v>95.812615625900847</v>
      </c>
      <c r="AC56" s="104"/>
      <c r="AD56" s="105">
        <f>AC55*$B$7</f>
        <v>95.810410648612233</v>
      </c>
      <c r="AE56" s="105"/>
    </row>
    <row r="57" spans="1:31" ht="18.75" customHeight="1">
      <c r="A57" s="107"/>
      <c r="B57" s="107"/>
      <c r="C57" s="107"/>
      <c r="D57" s="107"/>
      <c r="E57" s="107"/>
      <c r="F57" s="107"/>
      <c r="G57" s="107"/>
      <c r="H57" s="107"/>
      <c r="I57" s="105">
        <f>H56*$B$7</f>
        <v>93.382581214078371</v>
      </c>
      <c r="J57" s="104"/>
      <c r="K57" s="105">
        <f>J56*$B$7</f>
        <v>93.380432160225908</v>
      </c>
      <c r="L57" s="104"/>
      <c r="M57" s="105">
        <f>L56*$B$7</f>
        <v>93.378283155830601</v>
      </c>
      <c r="N57" s="104"/>
      <c r="O57" s="105">
        <f>N56*$B$7</f>
        <v>93.376134200891272</v>
      </c>
      <c r="P57" s="104"/>
      <c r="Q57" s="105">
        <f>P56*$B$7</f>
        <v>93.373985295406726</v>
      </c>
      <c r="R57" s="104"/>
      <c r="S57" s="105">
        <f>R56*$B$7</f>
        <v>93.37183643937594</v>
      </c>
      <c r="T57" s="104"/>
      <c r="U57" s="105">
        <f>T56*$B$7</f>
        <v>93.36968763279765</v>
      </c>
      <c r="V57" s="104"/>
      <c r="W57" s="105">
        <f>V56*$B$7</f>
        <v>93.367538875670817</v>
      </c>
      <c r="X57" s="104"/>
      <c r="Y57" s="105">
        <f>X56*$B$7</f>
        <v>93.365390167994235</v>
      </c>
      <c r="Z57" s="104"/>
      <c r="AA57" s="105">
        <f>Z56*$B$7</f>
        <v>93.363241509766794</v>
      </c>
      <c r="AB57" s="104"/>
      <c r="AC57" s="105">
        <f>AB56*$B$7</f>
        <v>93.361092900987416</v>
      </c>
      <c r="AD57" s="104"/>
      <c r="AE57" s="105">
        <f>AD56*$B$7</f>
        <v>93.358944341654777</v>
      </c>
    </row>
    <row r="58" spans="1:31" ht="18.75" customHeight="1">
      <c r="A58" s="107"/>
      <c r="B58" s="107"/>
      <c r="C58" s="107"/>
      <c r="D58" s="107"/>
      <c r="E58" s="107"/>
      <c r="F58" s="107"/>
      <c r="G58" s="107"/>
      <c r="H58" s="107"/>
      <c r="I58" s="107"/>
      <c r="J58" s="105">
        <f>I57*$B$7</f>
        <v>90.993234900319024</v>
      </c>
      <c r="K58" s="104"/>
      <c r="L58" s="105">
        <f>K57*$B$7</f>
        <v>90.991140833529812</v>
      </c>
      <c r="M58" s="104"/>
      <c r="N58" s="105">
        <f>M57*$B$7</f>
        <v>90.989046814932323</v>
      </c>
      <c r="O58" s="104"/>
      <c r="P58" s="105">
        <f>O57*$B$7</f>
        <v>90.986952844525405</v>
      </c>
      <c r="Q58" s="104"/>
      <c r="R58" s="105">
        <f>Q57*$B$7</f>
        <v>90.984858922307879</v>
      </c>
      <c r="S58" s="104"/>
      <c r="T58" s="105">
        <f>S57*$B$7</f>
        <v>90.982765048278765</v>
      </c>
      <c r="U58" s="104"/>
      <c r="V58" s="105">
        <f>U57*$B$7</f>
        <v>90.980671222436811</v>
      </c>
      <c r="W58" s="104"/>
      <c r="X58" s="105">
        <f>W57*$B$7</f>
        <v>90.978577444781024</v>
      </c>
      <c r="Y58" s="104"/>
      <c r="Z58" s="105">
        <f>Y57*$B$7</f>
        <v>90.976483715310223</v>
      </c>
      <c r="AA58" s="104"/>
      <c r="AB58" s="105">
        <f>AA57*$B$7</f>
        <v>90.97439003402333</v>
      </c>
      <c r="AC58" s="104"/>
      <c r="AD58" s="105">
        <f>AC57*$B$7</f>
        <v>90.972296400919291</v>
      </c>
      <c r="AE58" s="105"/>
    </row>
    <row r="59" spans="1:31" ht="18.75" customHeight="1">
      <c r="A59" s="107"/>
      <c r="B59" s="107"/>
      <c r="C59" s="107"/>
      <c r="D59" s="107"/>
      <c r="E59" s="107"/>
      <c r="F59" s="107"/>
      <c r="G59" s="107"/>
      <c r="H59" s="107"/>
      <c r="I59" s="107"/>
      <c r="J59" s="107"/>
      <c r="K59" s="105">
        <f>J58*$B$7</f>
        <v>88.665023926072166</v>
      </c>
      <c r="L59" s="104"/>
      <c r="M59" s="105">
        <f>L58*$B$7</f>
        <v>88.662983439412116</v>
      </c>
      <c r="N59" s="104"/>
      <c r="O59" s="105">
        <f>N58*$B$7</f>
        <v>88.660942999710741</v>
      </c>
      <c r="P59" s="104"/>
      <c r="Q59" s="105">
        <f>P58*$B$7</f>
        <v>88.65890260696689</v>
      </c>
      <c r="R59" s="104"/>
      <c r="S59" s="105">
        <f>R58*$B$7</f>
        <v>88.656862261179427</v>
      </c>
      <c r="T59" s="104"/>
      <c r="U59" s="105">
        <f>T58*$B$7</f>
        <v>88.654821962347398</v>
      </c>
      <c r="V59" s="104"/>
      <c r="W59" s="105">
        <f>V58*$B$7</f>
        <v>88.652781710469583</v>
      </c>
      <c r="X59" s="104"/>
      <c r="Y59" s="105">
        <f>X58*$B$7</f>
        <v>88.650741505545014</v>
      </c>
      <c r="Z59" s="104"/>
      <c r="AA59" s="105">
        <f>Z58*$B$7</f>
        <v>88.64870134757254</v>
      </c>
      <c r="AB59" s="104"/>
      <c r="AC59" s="105">
        <f>AB58*$B$7</f>
        <v>88.646661236551111</v>
      </c>
      <c r="AD59" s="104"/>
      <c r="AE59" s="105">
        <f>AD58*$B$7</f>
        <v>88.644621172479688</v>
      </c>
    </row>
    <row r="60" spans="1:31" ht="18.75" customHeight="1">
      <c r="A60" s="107"/>
      <c r="B60" s="107"/>
      <c r="C60" s="107"/>
      <c r="D60" s="107"/>
      <c r="E60" s="107"/>
      <c r="F60" s="107"/>
      <c r="G60" s="107"/>
      <c r="H60" s="107"/>
      <c r="I60" s="107"/>
      <c r="J60" s="107"/>
      <c r="K60" s="107"/>
      <c r="L60" s="105">
        <f>K59*$B$7</f>
        <v>86.396384043528357</v>
      </c>
      <c r="M60" s="104"/>
      <c r="N60" s="105">
        <f>M59*$B$7</f>
        <v>86.39439576606209</v>
      </c>
      <c r="O60" s="104"/>
      <c r="P60" s="105">
        <f>O59*$B$7</f>
        <v>86.392407534352998</v>
      </c>
      <c r="Q60" s="104"/>
      <c r="R60" s="105">
        <f>Q59*$B$7</f>
        <v>86.390419348399945</v>
      </c>
      <c r="S60" s="104"/>
      <c r="T60" s="105">
        <f>S59*$B$7</f>
        <v>86.388431208201808</v>
      </c>
      <c r="U60" s="104"/>
      <c r="V60" s="105">
        <f>U59*$B$7</f>
        <v>86.386443113757693</v>
      </c>
      <c r="W60" s="104"/>
      <c r="X60" s="105">
        <f>W59*$B$7</f>
        <v>86.384455065066376</v>
      </c>
      <c r="Y60" s="104"/>
      <c r="Z60" s="105">
        <f>Y59*$B$7</f>
        <v>86.382467062126935</v>
      </c>
      <c r="AA60" s="104"/>
      <c r="AB60" s="105">
        <f>AA59*$B$7</f>
        <v>86.380479104938246</v>
      </c>
      <c r="AC60" s="104"/>
      <c r="AD60" s="105">
        <f>AC59*$B$7</f>
        <v>86.378491193499286</v>
      </c>
      <c r="AE60" s="105"/>
    </row>
    <row r="61" spans="1:31" ht="18.75" customHeight="1">
      <c r="A61" s="107"/>
      <c r="B61" s="107"/>
      <c r="C61" s="107"/>
      <c r="D61" s="107"/>
      <c r="E61" s="107"/>
      <c r="F61" s="107"/>
      <c r="G61" s="107"/>
      <c r="H61" s="107"/>
      <c r="I61" s="107"/>
      <c r="J61" s="107"/>
      <c r="K61" s="107"/>
      <c r="L61" s="107"/>
      <c r="M61" s="105">
        <f>L60*$B$7</f>
        <v>84.1857910287208</v>
      </c>
      <c r="N61" s="104"/>
      <c r="O61" s="105">
        <f>N60*$B$7</f>
        <v>84.183853624590569</v>
      </c>
      <c r="P61" s="104"/>
      <c r="Q61" s="105">
        <f>P60*$B$7</f>
        <v>84.181916265046752</v>
      </c>
      <c r="R61" s="104"/>
      <c r="S61" s="105">
        <f>R60*$B$7</f>
        <v>84.179978950088227</v>
      </c>
      <c r="T61" s="104"/>
      <c r="U61" s="105">
        <f>T60*$B$7</f>
        <v>84.1780416797139</v>
      </c>
      <c r="V61" s="104"/>
      <c r="W61" s="105">
        <f>V60*$B$7</f>
        <v>84.176104453922918</v>
      </c>
      <c r="X61" s="104"/>
      <c r="Y61" s="105">
        <f>X60*$B$7</f>
        <v>84.174167272714058</v>
      </c>
      <c r="Z61" s="104"/>
      <c r="AA61" s="105">
        <f>Z60*$B$7</f>
        <v>84.172230136086441</v>
      </c>
      <c r="AB61" s="104"/>
      <c r="AC61" s="105">
        <f>AB60*$B$7</f>
        <v>84.170293044038971</v>
      </c>
      <c r="AD61" s="104"/>
      <c r="AE61" s="105">
        <f>AD60*$B$7</f>
        <v>84.168355996570639</v>
      </c>
    </row>
    <row r="62" spans="1:31" ht="18.75" customHeight="1">
      <c r="A62" s="107"/>
      <c r="B62" s="107"/>
      <c r="C62" s="107"/>
      <c r="D62" s="107"/>
      <c r="E62" s="107"/>
      <c r="F62" s="107"/>
      <c r="G62" s="107"/>
      <c r="H62" s="107"/>
      <c r="I62" s="107"/>
      <c r="J62" s="107"/>
      <c r="K62" s="107"/>
      <c r="L62" s="107"/>
      <c r="M62" s="114"/>
      <c r="N62" s="105">
        <f>M61*$B$7</f>
        <v>82.031759657449783</v>
      </c>
      <c r="O62" s="104"/>
      <c r="P62" s="105">
        <f>O61*$B$7</f>
        <v>82.029871824977945</v>
      </c>
      <c r="Q62" s="104"/>
      <c r="R62" s="105">
        <f>Q61*$B$7</f>
        <v>82.027984035951718</v>
      </c>
      <c r="S62" s="104"/>
      <c r="T62" s="105">
        <f>S61*$B$7</f>
        <v>82.026096290369992</v>
      </c>
      <c r="U62" s="104"/>
      <c r="V62" s="105">
        <f>U61*$B$7</f>
        <v>82.024208588231701</v>
      </c>
      <c r="W62" s="104"/>
      <c r="X62" s="105">
        <f>W61*$B$7</f>
        <v>82.022320929536022</v>
      </c>
      <c r="Y62" s="104"/>
      <c r="Z62" s="105">
        <f>Y61*$B$7</f>
        <v>82.02043331428176</v>
      </c>
      <c r="AA62" s="104"/>
      <c r="AB62" s="105">
        <f>AA61*$B$7</f>
        <v>82.018545742468064</v>
      </c>
      <c r="AC62" s="104"/>
      <c r="AD62" s="105">
        <f>AC61*$B$7</f>
        <v>82.016658214093837</v>
      </c>
      <c r="AE62" s="105"/>
    </row>
    <row r="63" spans="1:31" ht="18.75" customHeight="1">
      <c r="A63" s="107"/>
      <c r="B63" s="107"/>
      <c r="C63" s="107"/>
      <c r="D63" s="107"/>
      <c r="E63" s="107"/>
      <c r="F63" s="107"/>
      <c r="G63" s="107"/>
      <c r="H63" s="107"/>
      <c r="I63" s="107"/>
      <c r="J63" s="107"/>
      <c r="K63" s="107"/>
      <c r="L63" s="107"/>
      <c r="M63" s="114"/>
      <c r="N63" s="107"/>
      <c r="O63" s="105">
        <f>N62*$B$7</f>
        <v>79.932842707409733</v>
      </c>
      <c r="P63" s="104"/>
      <c r="Q63" s="105">
        <f>P62*$B$7</f>
        <v>79.931003178224216</v>
      </c>
      <c r="R63" s="104"/>
      <c r="S63" s="105">
        <f>R62*$B$7</f>
        <v>79.929163691372679</v>
      </c>
      <c r="T63" s="104"/>
      <c r="U63" s="105">
        <f>T62*$B$7</f>
        <v>79.927324246854042</v>
      </c>
      <c r="V63" s="104"/>
      <c r="W63" s="105">
        <f>V62*$B$7</f>
        <v>79.925484844667281</v>
      </c>
      <c r="X63" s="104"/>
      <c r="Y63" s="105">
        <f>X62*$B$7</f>
        <v>79.923645484811573</v>
      </c>
      <c r="Z63" s="104"/>
      <c r="AA63" s="105">
        <f>Z62*$B$7</f>
        <v>79.921806167285766</v>
      </c>
      <c r="AB63" s="104"/>
      <c r="AC63" s="105">
        <f>AB62*$B$7</f>
        <v>79.919966892089022</v>
      </c>
      <c r="AD63" s="104"/>
      <c r="AE63" s="105">
        <f>AD62*$B$7</f>
        <v>79.918127659220275</v>
      </c>
    </row>
    <row r="64" spans="1:31" ht="18.75" customHeight="1">
      <c r="A64" s="107"/>
      <c r="B64" s="107"/>
      <c r="C64" s="107"/>
      <c r="D64" s="107"/>
      <c r="E64" s="107"/>
      <c r="F64" s="107"/>
      <c r="G64" s="107"/>
      <c r="H64" s="107"/>
      <c r="I64" s="107"/>
      <c r="J64" s="107"/>
      <c r="K64" s="107"/>
      <c r="L64" s="107"/>
      <c r="M64" s="114"/>
      <c r="N64" s="107"/>
      <c r="O64" s="107"/>
      <c r="P64" s="105">
        <f>O63*$B$7</f>
        <v>77.887629985848534</v>
      </c>
      <c r="Q64" s="104"/>
      <c r="R64" s="105">
        <f>Q63*$B$7</f>
        <v>77.88583752403062</v>
      </c>
      <c r="S64" s="104"/>
      <c r="T64" s="105">
        <f>S63*$B$7</f>
        <v>77.884045103463507</v>
      </c>
      <c r="U64" s="104"/>
      <c r="V64" s="105">
        <f>U63*$B$7</f>
        <v>77.882252724146142</v>
      </c>
      <c r="W64" s="104"/>
      <c r="X64" s="105">
        <f>W63*$B$7</f>
        <v>77.88046038607753</v>
      </c>
      <c r="Y64" s="104"/>
      <c r="Z64" s="105">
        <f>Y63*$B$7</f>
        <v>77.878668089256848</v>
      </c>
      <c r="AA64" s="104"/>
      <c r="AB64" s="105">
        <f>AA63*$B$7</f>
        <v>77.876875833682988</v>
      </c>
      <c r="AC64" s="104"/>
      <c r="AD64" s="105">
        <f>AC63*$B$7</f>
        <v>77.875083619355138</v>
      </c>
      <c r="AE64" s="105"/>
    </row>
    <row r="65" spans="1:31" ht="18.75" customHeight="1">
      <c r="A65" s="107"/>
      <c r="B65" s="107"/>
      <c r="C65" s="107"/>
      <c r="D65" s="107"/>
      <c r="E65" s="107"/>
      <c r="F65" s="107"/>
      <c r="G65" s="107"/>
      <c r="H65" s="107"/>
      <c r="I65" s="107"/>
      <c r="J65" s="107"/>
      <c r="K65" s="107"/>
      <c r="L65" s="107"/>
      <c r="M65" s="114"/>
      <c r="N65" s="107"/>
      <c r="O65" s="107"/>
      <c r="Q65" s="105">
        <f>P64*$B$7</f>
        <v>75.894747382105692</v>
      </c>
      <c r="R65" s="104"/>
      <c r="S65" s="105">
        <f>R64*$B$7</f>
        <v>75.893000783359696</v>
      </c>
      <c r="T65" s="104"/>
      <c r="U65" s="105">
        <f>T64*$B$7</f>
        <v>75.891254224809018</v>
      </c>
      <c r="V65" s="104"/>
      <c r="W65" s="105">
        <f>V64*$B$7</f>
        <v>75.889507706452648</v>
      </c>
      <c r="X65" s="104"/>
      <c r="Y65" s="105">
        <f>X64*$B$7</f>
        <v>75.887761228289619</v>
      </c>
      <c r="Z65" s="104"/>
      <c r="AA65" s="105">
        <f>Z64*$B$7</f>
        <v>75.886014790319123</v>
      </c>
      <c r="AB65" s="104"/>
      <c r="AC65" s="105">
        <f>AB64*$B$7</f>
        <v>75.884268392540079</v>
      </c>
      <c r="AD65" s="104"/>
      <c r="AE65" s="105">
        <f>AD64*$B$7</f>
        <v>75.882522034951691</v>
      </c>
    </row>
    <row r="66" spans="1:31" ht="18.75" customHeight="1">
      <c r="A66" s="107"/>
      <c r="B66" s="107"/>
      <c r="C66" s="107"/>
      <c r="D66" s="107"/>
      <c r="E66" s="107"/>
      <c r="F66" s="107"/>
      <c r="G66" s="107"/>
      <c r="H66" s="107"/>
      <c r="I66" s="107"/>
      <c r="J66" s="107"/>
      <c r="K66" s="107"/>
      <c r="L66" s="107"/>
      <c r="M66" s="114"/>
      <c r="N66" s="107"/>
      <c r="O66" s="107"/>
      <c r="P66" s="107"/>
      <c r="Q66" s="107"/>
      <c r="R66" s="105">
        <f>Q65*$B$7</f>
        <v>73.952855944392979</v>
      </c>
      <c r="S66" s="104"/>
      <c r="T66" s="105">
        <f>S65*$B$7</f>
        <v>73.951154035237067</v>
      </c>
      <c r="U66" s="104"/>
      <c r="V66" s="105">
        <f>U65*$B$7</f>
        <v>73.949452165248005</v>
      </c>
      <c r="W66" s="104"/>
      <c r="X66" s="105">
        <f>W65*$B$7</f>
        <v>73.947750334424811</v>
      </c>
      <c r="Y66" s="104"/>
      <c r="Z66" s="105">
        <f>Y65*$B$7</f>
        <v>73.946048542766562</v>
      </c>
      <c r="AA66" s="104"/>
      <c r="AB66" s="105">
        <f>AA65*$B$7</f>
        <v>73.944346790272434</v>
      </c>
      <c r="AC66" s="104"/>
      <c r="AD66" s="105">
        <f>AC65*$B$7</f>
        <v>73.942645076941417</v>
      </c>
      <c r="AE66" s="105"/>
    </row>
    <row r="67" spans="1:31" ht="18.75" customHeight="1">
      <c r="A67" s="107"/>
      <c r="B67" s="107"/>
      <c r="C67" s="107"/>
      <c r="D67" s="107"/>
      <c r="E67" s="107"/>
      <c r="F67" s="107"/>
      <c r="G67" s="107"/>
      <c r="H67" s="107"/>
      <c r="I67" s="107"/>
      <c r="J67" s="107"/>
      <c r="K67" s="107"/>
      <c r="L67" s="107"/>
      <c r="M67" s="114"/>
      <c r="N67" s="107"/>
      <c r="O67" s="107"/>
      <c r="R67" s="107"/>
      <c r="S67" s="105">
        <f>R66*$B$7</f>
        <v>72.060650980197025</v>
      </c>
      <c r="T67" s="104"/>
      <c r="U67" s="105">
        <f>T66*$B$7</f>
        <v>72.058992617174823</v>
      </c>
      <c r="V67" s="104"/>
      <c r="W67" s="105">
        <f>V66*$B$7</f>
        <v>72.057334292317321</v>
      </c>
      <c r="X67" s="104"/>
      <c r="Y67" s="105">
        <f>X66*$B$7</f>
        <v>72.055676005623567</v>
      </c>
      <c r="Z67" s="104"/>
      <c r="AA67" s="105">
        <f>Z66*$B$7</f>
        <v>72.054017757092666</v>
      </c>
      <c r="AB67" s="104"/>
      <c r="AC67" s="105">
        <f>AB66*$B$7</f>
        <v>72.052359546723807</v>
      </c>
      <c r="AD67" s="104"/>
      <c r="AE67" s="105">
        <f>AD66*$B$7</f>
        <v>72.050701374515995</v>
      </c>
    </row>
    <row r="68" spans="1:31" ht="18.75" customHeight="1">
      <c r="A68" s="107"/>
      <c r="B68" s="107"/>
      <c r="C68" s="107"/>
      <c r="D68" s="107"/>
      <c r="E68" s="107"/>
      <c r="F68" s="107"/>
      <c r="G68" s="107"/>
      <c r="H68" s="107"/>
      <c r="I68" s="107"/>
      <c r="J68" s="107"/>
      <c r="K68" s="107"/>
      <c r="L68" s="107"/>
      <c r="M68" s="114"/>
      <c r="N68" s="107"/>
      <c r="O68" s="107"/>
      <c r="R68" s="107"/>
      <c r="S68" s="107"/>
      <c r="T68" s="105">
        <f>S67*$B$7</f>
        <v>70.216861179699677</v>
      </c>
      <c r="U68" s="104"/>
      <c r="V68" s="105">
        <f>U67*$B$7</f>
        <v>70.215245248612021</v>
      </c>
      <c r="W68" s="104"/>
      <c r="X68" s="105">
        <f>W67*$B$7</f>
        <v>70.213629354712566</v>
      </c>
      <c r="Y68" s="104"/>
      <c r="Z68" s="105">
        <f>Y67*$B$7</f>
        <v>70.212013498000374</v>
      </c>
      <c r="AA68" s="104"/>
      <c r="AB68" s="105">
        <f>AA67*$B$7</f>
        <v>70.210397678474564</v>
      </c>
      <c r="AC68" s="104"/>
      <c r="AD68" s="105">
        <f>AC67*$B$7</f>
        <v>70.208781896134369</v>
      </c>
      <c r="AE68" s="105"/>
    </row>
    <row r="69" spans="1:31" ht="18.75" customHeight="1">
      <c r="A69" s="107"/>
      <c r="B69" s="107"/>
      <c r="C69" s="107"/>
      <c r="D69" s="107"/>
      <c r="E69" s="107"/>
      <c r="F69" s="107"/>
      <c r="G69" s="107"/>
      <c r="H69" s="107"/>
      <c r="I69" s="107"/>
      <c r="J69" s="107"/>
      <c r="K69" s="107"/>
      <c r="L69" s="107"/>
      <c r="M69" s="114"/>
      <c r="N69" s="107"/>
      <c r="O69" s="107"/>
      <c r="T69" s="107"/>
      <c r="U69" s="105">
        <f>T68*$B$7</f>
        <v>68.420247761627081</v>
      </c>
      <c r="V69" s="104"/>
      <c r="W69" s="105">
        <f>V68*$B$7</f>
        <v>68.418673176783415</v>
      </c>
      <c r="X69" s="104"/>
      <c r="Y69" s="105">
        <f>X68*$B$7</f>
        <v>68.417098628176433</v>
      </c>
      <c r="Z69" s="104"/>
      <c r="AA69" s="105">
        <f>Z68*$B$7</f>
        <v>68.415524115805212</v>
      </c>
      <c r="AB69" s="104"/>
      <c r="AC69" s="105">
        <f>AB68*$B$7</f>
        <v>68.4139496396689</v>
      </c>
      <c r="AD69" s="104"/>
      <c r="AE69" s="105">
        <f>AD68*$B$7</f>
        <v>68.412375199766757</v>
      </c>
    </row>
    <row r="70" spans="1:31" ht="18.75" customHeight="1">
      <c r="A70" s="107"/>
      <c r="B70" s="107"/>
      <c r="C70" s="107"/>
      <c r="D70" s="107"/>
      <c r="E70" s="107"/>
      <c r="F70" s="107"/>
      <c r="G70" s="107"/>
      <c r="H70" s="107"/>
      <c r="I70" s="107"/>
      <c r="J70" s="107"/>
      <c r="K70" s="107"/>
      <c r="L70" s="107"/>
      <c r="M70" s="114"/>
      <c r="N70" s="107"/>
      <c r="O70" s="107"/>
      <c r="S70" s="107"/>
      <c r="T70" s="107"/>
      <c r="U70" s="107"/>
      <c r="V70" s="105">
        <f>U69*$B$7</f>
        <v>66.669603640953554</v>
      </c>
      <c r="W70" s="104"/>
      <c r="X70" s="105">
        <f>W69*$B$7</f>
        <v>66.668069344442486</v>
      </c>
      <c r="Y70" s="104"/>
      <c r="Z70" s="105">
        <f>Y69*$B$7</f>
        <v>66.666535083240944</v>
      </c>
      <c r="AA70" s="104"/>
      <c r="AB70" s="105">
        <f>AA69*$B$7</f>
        <v>66.665000857348005</v>
      </c>
      <c r="AC70" s="104"/>
      <c r="AD70" s="105">
        <f>AC69*$B$7</f>
        <v>66.663466666762844</v>
      </c>
      <c r="AE70" s="105"/>
    </row>
    <row r="71" spans="1:31" ht="18.75" customHeight="1">
      <c r="A71" s="107"/>
      <c r="B71" s="107"/>
      <c r="C71" s="107"/>
      <c r="D71" s="107"/>
      <c r="E71" s="107"/>
      <c r="F71" s="107"/>
      <c r="G71" s="107"/>
      <c r="H71" s="107"/>
      <c r="I71" s="107"/>
      <c r="J71" s="107"/>
      <c r="K71" s="107"/>
      <c r="L71" s="107"/>
      <c r="M71" s="114"/>
      <c r="N71" s="107"/>
      <c r="O71" s="107"/>
      <c r="T71" s="107"/>
      <c r="U71" s="107"/>
      <c r="V71" s="107"/>
      <c r="W71" s="105">
        <f>V70*$B$7</f>
        <v>64.96375261790115</v>
      </c>
      <c r="X71" s="104"/>
      <c r="Y71" s="105">
        <f>X70*$B$7</f>
        <v>64.962257578879715</v>
      </c>
      <c r="Z71" s="104"/>
      <c r="AA71" s="105">
        <f>Z70*$B$7</f>
        <v>64.960762574264336</v>
      </c>
      <c r="AB71" s="104"/>
      <c r="AC71" s="105">
        <f>AB70*$B$7</f>
        <v>64.959267604054148</v>
      </c>
      <c r="AD71" s="104"/>
      <c r="AE71" s="105">
        <f>AD70*$B$7</f>
        <v>64.95777266824831</v>
      </c>
    </row>
    <row r="72" spans="1:31" ht="18.75" customHeight="1">
      <c r="A72" s="107"/>
      <c r="B72" s="107"/>
      <c r="C72" s="107"/>
      <c r="D72" s="107"/>
      <c r="E72" s="107"/>
      <c r="F72" s="107"/>
      <c r="G72" s="107"/>
      <c r="H72" s="107"/>
      <c r="I72" s="107"/>
      <c r="J72" s="107"/>
      <c r="K72" s="107"/>
      <c r="L72" s="107"/>
      <c r="M72" s="114"/>
      <c r="N72" s="107"/>
      <c r="O72" s="107"/>
      <c r="T72" s="107"/>
      <c r="U72" s="107"/>
      <c r="V72" s="107"/>
      <c r="W72" s="107"/>
      <c r="X72" s="105">
        <f>W71*$B$7</f>
        <v>63.30154858769005</v>
      </c>
      <c r="Y72" s="104"/>
      <c r="Z72" s="105">
        <f>Y71*$B$7</f>
        <v>63.300091801691053</v>
      </c>
      <c r="AA72" s="104"/>
      <c r="AB72" s="105">
        <f>AA71*$B$7</f>
        <v>63.298635049217786</v>
      </c>
      <c r="AC72" s="104"/>
      <c r="AD72" s="105">
        <f>AC71*$B$7</f>
        <v>63.297178330269389</v>
      </c>
      <c r="AE72" s="105"/>
    </row>
    <row r="73" spans="1:31" ht="18.75" customHeight="1">
      <c r="A73" s="107"/>
      <c r="B73" s="107"/>
      <c r="C73" s="107"/>
      <c r="D73" s="107"/>
      <c r="E73" s="107"/>
      <c r="F73" s="107"/>
      <c r="G73" s="107"/>
      <c r="H73" s="107"/>
      <c r="I73" s="107"/>
      <c r="J73" s="107"/>
      <c r="K73" s="107"/>
      <c r="L73" s="107"/>
      <c r="M73" s="114"/>
      <c r="N73" s="107"/>
      <c r="O73" s="107"/>
      <c r="T73" s="107"/>
      <c r="U73" s="107"/>
      <c r="V73" s="107"/>
      <c r="W73" s="107"/>
      <c r="X73" s="107"/>
      <c r="Y73" s="105">
        <f>X72*$B$7</f>
        <v>61.681874770508678</v>
      </c>
      <c r="Z73" s="104"/>
      <c r="AA73" s="105">
        <f>Z72*$B$7</f>
        <v>61.680455258765882</v>
      </c>
      <c r="AB73" s="104"/>
      <c r="AC73" s="105">
        <f>AB72*$B$7</f>
        <v>61.679035779691006</v>
      </c>
      <c r="AD73" s="104"/>
      <c r="AE73" s="105">
        <f>AD72*$B$7</f>
        <v>61.677616333283204</v>
      </c>
    </row>
    <row r="74" spans="1:31" ht="18.75" customHeight="1">
      <c r="A74" s="107"/>
      <c r="B74" s="107"/>
      <c r="C74" s="107"/>
      <c r="D74" s="107"/>
      <c r="E74" s="107"/>
      <c r="F74" s="107"/>
      <c r="G74" s="107"/>
      <c r="H74" s="107"/>
      <c r="I74" s="107"/>
      <c r="J74" s="107"/>
      <c r="K74" s="107"/>
      <c r="L74" s="107"/>
      <c r="M74" s="114"/>
      <c r="N74" s="107"/>
      <c r="O74" s="107"/>
      <c r="Z74" s="105">
        <f>Y73*$B$7</f>
        <v>60.103642961186388</v>
      </c>
      <c r="AA74" s="104"/>
      <c r="AB74" s="105">
        <f>AA73*$B$7</f>
        <v>60.102259769976882</v>
      </c>
      <c r="AC74" s="104"/>
      <c r="AD74" s="105">
        <f>AC73*$B$7</f>
        <v>60.100876610599435</v>
      </c>
      <c r="AE74" s="105"/>
    </row>
    <row r="75" spans="1:31" ht="18.75" customHeight="1">
      <c r="A75" s="107"/>
      <c r="B75" s="107"/>
      <c r="C75" s="107"/>
      <c r="D75" s="107"/>
      <c r="E75" s="107"/>
      <c r="F75" s="107"/>
      <c r="G75" s="107"/>
      <c r="H75" s="107"/>
      <c r="I75" s="107"/>
      <c r="J75" s="107"/>
      <c r="K75" s="107"/>
      <c r="L75" s="107"/>
      <c r="M75" s="114"/>
      <c r="N75" s="107"/>
      <c r="O75" s="107"/>
      <c r="Z75" s="107"/>
      <c r="AA75" s="105">
        <f>Z74*$B$7</f>
        <v>58.565792798064443</v>
      </c>
      <c r="AB75" s="104"/>
      <c r="AC75" s="105">
        <f>AB74*$B$7</f>
        <v>58.564444998067884</v>
      </c>
      <c r="AD75" s="104"/>
      <c r="AE75" s="105">
        <f>AD74*$B$7</f>
        <v>58.563097229088918</v>
      </c>
    </row>
    <row r="76" spans="1:31" ht="18.75" customHeight="1">
      <c r="A76" s="107"/>
      <c r="B76" s="107"/>
      <c r="C76" s="107"/>
      <c r="D76" s="107"/>
      <c r="E76" s="107"/>
      <c r="F76" s="107"/>
      <c r="G76" s="107"/>
      <c r="H76" s="107"/>
      <c r="I76" s="107"/>
      <c r="J76" s="107"/>
      <c r="K76" s="107"/>
      <c r="L76" s="107"/>
      <c r="M76" s="114"/>
      <c r="N76" s="107"/>
      <c r="O76" s="107"/>
      <c r="Z76" s="107"/>
      <c r="AA76" s="107"/>
      <c r="AB76" s="105">
        <f>AA75*$B$7</f>
        <v>57.067291050574163</v>
      </c>
      <c r="AC76" s="104"/>
      <c r="AD76" s="105">
        <f>AC75*$B$7</f>
        <v>57.065977736248399</v>
      </c>
      <c r="AE76" s="105"/>
    </row>
    <row r="77" spans="1:31" ht="18.75" customHeight="1">
      <c r="A77" s="107"/>
      <c r="B77" s="107"/>
      <c r="C77" s="107"/>
      <c r="D77" s="107"/>
      <c r="E77" s="107"/>
      <c r="F77" s="107"/>
      <c r="G77" s="107"/>
      <c r="H77" s="107"/>
      <c r="I77" s="107"/>
      <c r="J77" s="107"/>
      <c r="K77" s="107"/>
      <c r="L77" s="107"/>
      <c r="M77" s="114"/>
      <c r="N77" s="107"/>
      <c r="O77" s="107"/>
      <c r="Z77" s="107"/>
      <c r="AA77" s="107"/>
      <c r="AB77" s="107"/>
      <c r="AC77" s="105">
        <f>AB76*$B$7</f>
        <v>55.607130925043549</v>
      </c>
      <c r="AD77" s="104"/>
      <c r="AE77" s="105">
        <f>AD76*$B$7</f>
        <v>55.605851214016198</v>
      </c>
    </row>
    <row r="78" spans="1:31" ht="14.4">
      <c r="A78" s="107"/>
      <c r="B78" s="107"/>
      <c r="C78" s="107"/>
      <c r="D78" s="107"/>
      <c r="E78" s="107"/>
      <c r="F78" s="107"/>
      <c r="G78" s="107"/>
      <c r="H78" s="107"/>
      <c r="I78" s="107"/>
      <c r="J78" s="107"/>
      <c r="K78" s="107"/>
      <c r="L78" s="107"/>
      <c r="M78" s="114"/>
      <c r="N78" s="107"/>
      <c r="O78" s="107"/>
      <c r="Z78" s="107"/>
      <c r="AA78" s="107"/>
      <c r="AB78" s="107"/>
      <c r="AC78" s="107"/>
      <c r="AD78" s="105">
        <f>AC77*$B$7</f>
        <v>54.18433138826596</v>
      </c>
      <c r="AE78" s="105"/>
    </row>
    <row r="79" spans="1:31" ht="18.75" customHeight="1">
      <c r="N79" s="107"/>
      <c r="O79" s="107"/>
      <c r="Z79" s="107"/>
      <c r="AA79" s="107"/>
      <c r="AB79" s="107"/>
      <c r="AC79" s="107"/>
      <c r="AD79" s="107"/>
      <c r="AE79" s="105">
        <f>AD78*$B$7</f>
        <v>52.797936508376409</v>
      </c>
    </row>
    <row r="80" spans="1:31" ht="18.75" customHeight="1">
      <c r="N80" s="107"/>
      <c r="O80" s="107"/>
      <c r="Z80" s="107"/>
      <c r="AA80" s="107"/>
      <c r="AB80" s="107"/>
      <c r="AC80" s="107"/>
      <c r="AD80" s="107"/>
      <c r="AE80" s="107"/>
    </row>
    <row r="81" spans="1:34" ht="18.75" customHeight="1" thickBot="1">
      <c r="A81" s="92">
        <v>30</v>
      </c>
      <c r="B81" s="92">
        <v>29</v>
      </c>
      <c r="C81" s="92">
        <v>28</v>
      </c>
      <c r="D81" s="92">
        <v>27</v>
      </c>
      <c r="E81" s="92">
        <v>26</v>
      </c>
      <c r="F81" s="92">
        <v>25</v>
      </c>
      <c r="G81" s="92">
        <v>24</v>
      </c>
      <c r="H81" s="92">
        <v>23</v>
      </c>
      <c r="I81" s="92">
        <v>22</v>
      </c>
      <c r="J81" s="92">
        <v>21</v>
      </c>
      <c r="K81" s="92">
        <v>20</v>
      </c>
      <c r="L81" s="92">
        <v>19</v>
      </c>
      <c r="M81" s="92">
        <v>18</v>
      </c>
      <c r="N81" s="92">
        <v>17</v>
      </c>
      <c r="O81" s="92">
        <v>16</v>
      </c>
      <c r="P81" s="92">
        <v>15</v>
      </c>
      <c r="Q81" s="92">
        <v>14</v>
      </c>
      <c r="R81" s="92">
        <v>13</v>
      </c>
      <c r="S81" s="92">
        <v>12</v>
      </c>
      <c r="T81" s="92">
        <v>11</v>
      </c>
      <c r="U81" s="92">
        <v>10</v>
      </c>
      <c r="V81" s="92">
        <v>9</v>
      </c>
      <c r="W81" s="92">
        <v>8</v>
      </c>
      <c r="X81" s="92">
        <v>7</v>
      </c>
      <c r="Y81" s="92">
        <v>6</v>
      </c>
      <c r="Z81" s="92">
        <v>5</v>
      </c>
      <c r="AA81" s="92">
        <v>4</v>
      </c>
      <c r="AB81" s="92">
        <v>3</v>
      </c>
      <c r="AC81" s="92">
        <v>2</v>
      </c>
      <c r="AD81" s="92">
        <v>1</v>
      </c>
      <c r="AE81" s="92">
        <v>0</v>
      </c>
    </row>
    <row r="82" spans="1:34" ht="18.75" customHeight="1">
      <c r="A82" s="122">
        <f>MAX($A$19:A79)</f>
        <v>114.9</v>
      </c>
      <c r="B82" s="123">
        <f>MAX($A$19:B79)</f>
        <v>117.91438854727808</v>
      </c>
      <c r="C82" s="123">
        <f>MAX($A$19:C79)</f>
        <v>121.00785923828079</v>
      </c>
      <c r="D82" s="123">
        <f>MAX($A$19:D79)</f>
        <v>124.1824867841338</v>
      </c>
      <c r="E82" s="123">
        <f>MAX($A$19:E79)</f>
        <v>127.44040032577526</v>
      </c>
      <c r="F82" s="123">
        <f>MAX($A$19:F79)</f>
        <v>130.78378486191582</v>
      </c>
      <c r="G82" s="123">
        <f>MAX($A$19:G79)</f>
        <v>134.21488271446097</v>
      </c>
      <c r="H82" s="123">
        <f>MAX($A$19:H79)</f>
        <v>137.73599503237864</v>
      </c>
      <c r="I82" s="123">
        <f>MAX($A$19:I79)</f>
        <v>141.34948333502052</v>
      </c>
      <c r="J82" s="123">
        <f>MAX($A$19:J79)</f>
        <v>145.05777109593225</v>
      </c>
      <c r="K82" s="123">
        <f>MAX($A$19:K79)</f>
        <v>148.86334536821479</v>
      </c>
      <c r="L82" s="123">
        <f>MAX($A$19:L79)</f>
        <v>152.76875845252678</v>
      </c>
      <c r="M82" s="123">
        <f>MAX($A$19:M79)</f>
        <v>156.77662960884695</v>
      </c>
      <c r="N82" s="123">
        <f>MAX($A$19:N79)</f>
        <v>160.88964681314428</v>
      </c>
      <c r="O82" s="123">
        <f>MAX($A$19:O79)</f>
        <v>165.11056856013434</v>
      </c>
      <c r="P82" s="123">
        <f>MAX($A$19:P79)</f>
        <v>169.44222571333052</v>
      </c>
      <c r="Q82" s="123">
        <f>MAX($A$19:Q79)</f>
        <v>173.88752340363138</v>
      </c>
      <c r="R82" s="123">
        <f>MAX($A$19:R79)</f>
        <v>178.44944297771715</v>
      </c>
      <c r="S82" s="123">
        <f>MAX($A$19:S79)</f>
        <v>183.13104399756207</v>
      </c>
      <c r="T82" s="123">
        <f>MAX($A$19:T79)</f>
        <v>187.93546629240393</v>
      </c>
      <c r="U82" s="123">
        <f>MAX($A$19:U79)</f>
        <v>192.86593206454654</v>
      </c>
      <c r="V82" s="123">
        <f>MAX($A$19:V79)</f>
        <v>197.92574805040798</v>
      </c>
      <c r="W82" s="123">
        <f>MAX($A$19:W79)</f>
        <v>203.11830773826347</v>
      </c>
      <c r="X82" s="123">
        <f>MAX($A$19:X79)</f>
        <v>208.44709364417056</v>
      </c>
      <c r="Y82" s="123">
        <f>MAX($A$19:Y79)</f>
        <v>213.91567964760301</v>
      </c>
      <c r="Z82" s="123">
        <f>MAX($A$19:Z79)</f>
        <v>219.52773338835968</v>
      </c>
      <c r="AA82" s="123">
        <f>MAX($A$19:AA79)</f>
        <v>225.28701872635608</v>
      </c>
      <c r="AB82" s="123">
        <f>MAX($A$19:AB79)</f>
        <v>231.19739826594832</v>
      </c>
      <c r="AC82" s="123">
        <f>MAX($A$19:AC79)</f>
        <v>237.26283594648237</v>
      </c>
      <c r="AD82" s="123">
        <f>MAX($A$19:AD79)</f>
        <v>243.48739970080607</v>
      </c>
      <c r="AE82" s="124">
        <f>MAX($A$19:AE79)</f>
        <v>249.87526418352695</v>
      </c>
      <c r="AF82" s="92" t="s">
        <v>93</v>
      </c>
    </row>
    <row r="83" spans="1:34" ht="18.600000000000001" customHeight="1">
      <c r="A83" s="146">
        <f>MIN($A$19:A80)</f>
        <v>114.9</v>
      </c>
      <c r="B83" s="147">
        <f>MIN($A$19:B80)</f>
        <v>111.9600952781378</v>
      </c>
      <c r="C83" s="147">
        <f>MIN($A$19:C80)</f>
        <v>109.09541283454912</v>
      </c>
      <c r="D83" s="147">
        <f>MIN($A$19:D80)</f>
        <v>106.30402798402</v>
      </c>
      <c r="E83" s="147">
        <f>MIN($A$19:E80)</f>
        <v>103.58406528756053</v>
      </c>
      <c r="F83" s="147">
        <f>MIN($A$19:F80)</f>
        <v>100.93369729235965</v>
      </c>
      <c r="G83" s="147">
        <f>MIN($A$19:G80)</f>
        <v>98.351143303980038</v>
      </c>
      <c r="H83" s="147">
        <f>MIN($A$19:H80)</f>
        <v>95.834668189968582</v>
      </c>
      <c r="I83" s="147">
        <f>MIN($A$19:I80)</f>
        <v>93.382581214078371</v>
      </c>
      <c r="J83" s="147">
        <f>MIN($A$19:J80)</f>
        <v>90.993234900319024</v>
      </c>
      <c r="K83" s="147">
        <f>MIN($A$19:K80)</f>
        <v>88.665023926072166</v>
      </c>
      <c r="L83" s="147">
        <f>MIN($A$19:L80)</f>
        <v>86.396384043528357</v>
      </c>
      <c r="M83" s="147">
        <f>MIN($A$19:M80)</f>
        <v>84.1857910287208</v>
      </c>
      <c r="N83" s="147">
        <f>MIN($A$19:N80)</f>
        <v>82.031759657449783</v>
      </c>
      <c r="O83" s="147">
        <f>MIN($A$19:O80)</f>
        <v>79.932842707409733</v>
      </c>
      <c r="P83" s="147">
        <f>MIN($A$19:P80)</f>
        <v>77.887629985848534</v>
      </c>
      <c r="Q83" s="147">
        <f>MIN($A$19:Q80)</f>
        <v>75.894747382105692</v>
      </c>
      <c r="R83" s="147">
        <f>MIN($A$19:R80)</f>
        <v>73.952855944392979</v>
      </c>
      <c r="S83" s="147">
        <f>MIN($A$19:S80)</f>
        <v>72.060650980197025</v>
      </c>
      <c r="T83" s="147">
        <f>MIN($A$19:T80)</f>
        <v>70.216861179699677</v>
      </c>
      <c r="U83" s="147">
        <f>MIN($A$19:U80)</f>
        <v>68.420247761627081</v>
      </c>
      <c r="V83" s="147">
        <f>MIN($A$19:V80)</f>
        <v>66.669603640953554</v>
      </c>
      <c r="W83" s="147">
        <f>MIN($A$19:W80)</f>
        <v>64.96375261790115</v>
      </c>
      <c r="X83" s="147">
        <f>MIN($A$19:X80)</f>
        <v>63.30154858769005</v>
      </c>
      <c r="Y83" s="147">
        <f>MIN($A$19:Y80)</f>
        <v>61.681874770508678</v>
      </c>
      <c r="Z83" s="147">
        <f>MIN($A$19:Z80)</f>
        <v>60.103642961186388</v>
      </c>
      <c r="AA83" s="147">
        <f>MIN($A$19:AA80)</f>
        <v>58.565792798064443</v>
      </c>
      <c r="AB83" s="147">
        <f>MIN($A$19:AB80)</f>
        <v>57.067291050574163</v>
      </c>
      <c r="AC83" s="147">
        <f>MIN($A$19:AC80)</f>
        <v>55.607130925043549</v>
      </c>
      <c r="AD83" s="147">
        <f>MIN($A$19:AD80)</f>
        <v>54.18433138826596</v>
      </c>
      <c r="AE83" s="125">
        <f>MIN($A$19:AE80)</f>
        <v>52.797936508376409</v>
      </c>
      <c r="AF83" s="92" t="s">
        <v>94</v>
      </c>
    </row>
    <row r="84" spans="1:34" ht="18.75" customHeight="1" thickBot="1">
      <c r="A84" s="126">
        <f>AVERAGE($A$19:A79)</f>
        <v>114.9</v>
      </c>
      <c r="B84" s="127">
        <f>AVERAGE($A$19:B79)</f>
        <v>114.9248279418053</v>
      </c>
      <c r="C84" s="127">
        <f>AVERAGE($A$19:C79)</f>
        <v>114.96251860911671</v>
      </c>
      <c r="D84" s="127">
        <f>AVERAGE($A$19:D79)</f>
        <v>115.01308200470501</v>
      </c>
      <c r="E84" s="127">
        <f>AVERAGE($A$19:E79)</f>
        <v>115.07653158937033</v>
      </c>
      <c r="F84" s="127">
        <f>AVERAGE($A$19:F79)</f>
        <v>115.15288428674064</v>
      </c>
      <c r="G84" s="127">
        <f>AVERAGE($A$19:G79)</f>
        <v>115.24216048931616</v>
      </c>
      <c r="H84" s="127">
        <f>AVERAGE($A$19:H79)</f>
        <v>115.34438406576231</v>
      </c>
      <c r="I84" s="127">
        <f>AVERAGE($A$19:I79)</f>
        <v>115.45958236945371</v>
      </c>
      <c r="J84" s="127">
        <f>AVERAGE($A$19:J79)</f>
        <v>115.58778624827335</v>
      </c>
      <c r="K84" s="127">
        <f>AVERAGE($A$19:K79)</f>
        <v>115.72903005567076</v>
      </c>
      <c r="L84" s="127">
        <f>AVERAGE($A$19:L79)</f>
        <v>115.8833516629838</v>
      </c>
      <c r="M84" s="127">
        <f>AVERAGE($A$19:M79)</f>
        <v>116.05079247302908</v>
      </c>
      <c r="N84" s="127">
        <f>AVERAGE($A$19:N79)</f>
        <v>116.23139743496714</v>
      </c>
      <c r="O84" s="127">
        <f>AVERAGE($A$19:O79)</f>
        <v>116.42521506044777</v>
      </c>
      <c r="P84" s="127">
        <f>AVERAGE($A$19:P79)</f>
        <v>116.63229744104289</v>
      </c>
      <c r="Q84" s="127">
        <f>AVERAGE($A$19:Q79)</f>
        <v>116.8527002669744</v>
      </c>
      <c r="R84" s="127">
        <f>AVERAGE($A$19:R79)</f>
        <v>117.08648284714363</v>
      </c>
      <c r="S84" s="127">
        <f>AVERAGE($A$19:S79)</f>
        <v>117.33370813047274</v>
      </c>
      <c r="T84" s="127">
        <f>AVERAGE($A$19:T79)</f>
        <v>117.59444272856462</v>
      </c>
      <c r="U84" s="127">
        <f>AVERAGE($A$19:U79)</f>
        <v>117.8687569396928</v>
      </c>
      <c r="V84" s="127">
        <f>AVERAGE($A$19:V79)</f>
        <v>118.15672477413024</v>
      </c>
      <c r="W84" s="127">
        <f>AVERAGE($A$19:W79)</f>
        <v>118.45842398082785</v>
      </c>
      <c r="X84" s="127">
        <f>AVERAGE($A$19:X79)</f>
        <v>118.77393607545422</v>
      </c>
      <c r="Y84" s="127">
        <f>AVERAGE($A$19:Y79)</f>
        <v>119.10334636980782</v>
      </c>
      <c r="Z84" s="127">
        <f>AVERAGE($A$19:Z79)</f>
        <v>119.44674400261391</v>
      </c>
      <c r="AA84" s="127">
        <f>AVERAGE($A$19:AA79)</f>
        <v>119.80422197171985</v>
      </c>
      <c r="AB84" s="127">
        <f>AVERAGE(A19:AB79)</f>
        <v>120.17587716770151</v>
      </c>
      <c r="AC84" s="127">
        <f>AVERAGE(A19:AC79)</f>
        <v>120.56181040889498</v>
      </c>
      <c r="AD84" s="127">
        <f>AVERAGE(A19:AD79)</f>
        <v>120.96212647786858</v>
      </c>
      <c r="AE84" s="128">
        <f>AVERAGE(A19:AE79)</f>
        <v>121.37693415935013</v>
      </c>
      <c r="AF84" s="92" t="s">
        <v>89</v>
      </c>
    </row>
    <row r="85" spans="1:34" ht="18.75" hidden="1" customHeight="1" thickBot="1">
      <c r="A85" s="126">
        <f t="shared" ref="A85:AE85" si="1">IF(bs_option_type="Put",IF(A82&gt;A84,A82-A84,0),IF(A82&lt;A84,A84-A82,0))</f>
        <v>0</v>
      </c>
      <c r="B85" s="127">
        <f t="shared" si="1"/>
        <v>0</v>
      </c>
      <c r="C85" s="127">
        <f t="shared" si="1"/>
        <v>0</v>
      </c>
      <c r="D85" s="127">
        <f t="shared" si="1"/>
        <v>0</v>
      </c>
      <c r="E85" s="127">
        <f t="shared" si="1"/>
        <v>0</v>
      </c>
      <c r="F85" s="127">
        <f t="shared" si="1"/>
        <v>0</v>
      </c>
      <c r="G85" s="127">
        <f t="shared" si="1"/>
        <v>0</v>
      </c>
      <c r="H85" s="127">
        <f t="shared" si="1"/>
        <v>0</v>
      </c>
      <c r="I85" s="127">
        <f t="shared" si="1"/>
        <v>0</v>
      </c>
      <c r="J85" s="127">
        <f t="shared" si="1"/>
        <v>0</v>
      </c>
      <c r="K85" s="127">
        <f t="shared" si="1"/>
        <v>0</v>
      </c>
      <c r="L85" s="127">
        <f t="shared" si="1"/>
        <v>0</v>
      </c>
      <c r="M85" s="127">
        <f t="shared" si="1"/>
        <v>0</v>
      </c>
      <c r="N85" s="127">
        <f t="shared" si="1"/>
        <v>0</v>
      </c>
      <c r="O85" s="127">
        <f t="shared" si="1"/>
        <v>0</v>
      </c>
      <c r="P85" s="127">
        <f t="shared" si="1"/>
        <v>0</v>
      </c>
      <c r="Q85" s="127">
        <f t="shared" si="1"/>
        <v>0</v>
      </c>
      <c r="R85" s="127">
        <f t="shared" si="1"/>
        <v>0</v>
      </c>
      <c r="S85" s="127">
        <f t="shared" si="1"/>
        <v>0</v>
      </c>
      <c r="T85" s="127">
        <f t="shared" si="1"/>
        <v>0</v>
      </c>
      <c r="U85" s="127">
        <f t="shared" si="1"/>
        <v>0</v>
      </c>
      <c r="V85" s="127">
        <f t="shared" si="1"/>
        <v>0</v>
      </c>
      <c r="W85" s="127">
        <f t="shared" si="1"/>
        <v>0</v>
      </c>
      <c r="X85" s="127">
        <f t="shared" si="1"/>
        <v>0</v>
      </c>
      <c r="Y85" s="127">
        <f t="shared" si="1"/>
        <v>0</v>
      </c>
      <c r="Z85" s="127">
        <f t="shared" si="1"/>
        <v>0</v>
      </c>
      <c r="AA85" s="127">
        <f t="shared" si="1"/>
        <v>0</v>
      </c>
      <c r="AB85" s="127">
        <f t="shared" si="1"/>
        <v>0</v>
      </c>
      <c r="AC85" s="127">
        <f t="shared" si="1"/>
        <v>0</v>
      </c>
      <c r="AD85" s="127">
        <f t="shared" si="1"/>
        <v>0</v>
      </c>
      <c r="AE85" s="128">
        <f t="shared" si="1"/>
        <v>0</v>
      </c>
      <c r="AF85" s="92" t="s">
        <v>45</v>
      </c>
    </row>
    <row r="86" spans="1:34" ht="18.75" hidden="1" customHeight="1">
      <c r="A86" s="130">
        <f t="shared" ref="A86:AE86" ca="1" si="2">OFFSET(A86,-2,A81)</f>
        <v>121.37693415935013</v>
      </c>
      <c r="B86" s="130">
        <f t="shared" ca="1" si="2"/>
        <v>121.37693415935013</v>
      </c>
      <c r="C86" s="130">
        <f t="shared" ca="1" si="2"/>
        <v>121.37693415935013</v>
      </c>
      <c r="D86" s="130">
        <f t="shared" ca="1" si="2"/>
        <v>121.37693415935013</v>
      </c>
      <c r="E86" s="130">
        <f t="shared" ca="1" si="2"/>
        <v>121.37693415935013</v>
      </c>
      <c r="F86" s="130">
        <f t="shared" ca="1" si="2"/>
        <v>121.37693415935013</v>
      </c>
      <c r="G86" s="130">
        <f t="shared" ca="1" si="2"/>
        <v>121.37693415935013</v>
      </c>
      <c r="H86" s="130">
        <f t="shared" ca="1" si="2"/>
        <v>121.37693415935013</v>
      </c>
      <c r="I86" s="130">
        <f t="shared" ca="1" si="2"/>
        <v>121.37693415935013</v>
      </c>
      <c r="J86" s="130">
        <f t="shared" ca="1" si="2"/>
        <v>121.37693415935013</v>
      </c>
      <c r="K86" s="130">
        <f t="shared" ca="1" si="2"/>
        <v>121.37693415935013</v>
      </c>
      <c r="L86" s="130">
        <f t="shared" ca="1" si="2"/>
        <v>121.37693415935013</v>
      </c>
      <c r="M86" s="130">
        <f t="shared" ca="1" si="2"/>
        <v>121.37693415935013</v>
      </c>
      <c r="N86" s="130">
        <f t="shared" ca="1" si="2"/>
        <v>121.37693415935013</v>
      </c>
      <c r="O86" s="130">
        <f t="shared" ca="1" si="2"/>
        <v>121.37693415935013</v>
      </c>
      <c r="P86" s="130">
        <f t="shared" ca="1" si="2"/>
        <v>121.37693415935013</v>
      </c>
      <c r="Q86" s="130">
        <f t="shared" ca="1" si="2"/>
        <v>121.37693415935013</v>
      </c>
      <c r="R86" s="130">
        <f t="shared" ca="1" si="2"/>
        <v>121.37693415935013</v>
      </c>
      <c r="S86" s="130">
        <f t="shared" ca="1" si="2"/>
        <v>121.37693415935013</v>
      </c>
      <c r="T86" s="130">
        <f t="shared" ca="1" si="2"/>
        <v>121.37693415935013</v>
      </c>
      <c r="U86" s="130">
        <f t="shared" ca="1" si="2"/>
        <v>121.37693415935013</v>
      </c>
      <c r="V86" s="130">
        <f t="shared" ca="1" si="2"/>
        <v>121.37693415935013</v>
      </c>
      <c r="W86" s="130">
        <f t="shared" ca="1" si="2"/>
        <v>121.37693415935013</v>
      </c>
      <c r="X86" s="130">
        <f t="shared" ca="1" si="2"/>
        <v>121.37693415935013</v>
      </c>
      <c r="Y86" s="130">
        <f t="shared" ca="1" si="2"/>
        <v>121.37693415935013</v>
      </c>
      <c r="Z86" s="130">
        <f t="shared" ca="1" si="2"/>
        <v>121.37693415935013</v>
      </c>
      <c r="AA86" s="130">
        <f t="shared" ca="1" si="2"/>
        <v>121.37693415935013</v>
      </c>
      <c r="AB86" s="130">
        <f t="shared" ca="1" si="2"/>
        <v>121.37693415935013</v>
      </c>
      <c r="AC86" s="130">
        <f t="shared" ca="1" si="2"/>
        <v>121.37693415935013</v>
      </c>
      <c r="AD86" s="130">
        <f t="shared" ca="1" si="2"/>
        <v>121.37693415935013</v>
      </c>
      <c r="AE86" s="130">
        <f t="shared" ca="1" si="2"/>
        <v>121.37693415935013</v>
      </c>
      <c r="AF86" s="92" t="s">
        <v>88</v>
      </c>
    </row>
    <row r="87" spans="1:34" ht="18.75" hidden="1" customHeight="1">
      <c r="A87" s="92">
        <f t="shared" ref="A87:AE87" si="3">Stock</f>
        <v>114.9</v>
      </c>
      <c r="B87" s="92">
        <f t="shared" si="3"/>
        <v>114.9</v>
      </c>
      <c r="C87" s="92">
        <f t="shared" si="3"/>
        <v>114.9</v>
      </c>
      <c r="D87" s="92">
        <f t="shared" si="3"/>
        <v>114.9</v>
      </c>
      <c r="E87" s="92">
        <f t="shared" si="3"/>
        <v>114.9</v>
      </c>
      <c r="F87" s="92">
        <f t="shared" si="3"/>
        <v>114.9</v>
      </c>
      <c r="G87" s="92">
        <f t="shared" si="3"/>
        <v>114.9</v>
      </c>
      <c r="H87" s="92">
        <f t="shared" si="3"/>
        <v>114.9</v>
      </c>
      <c r="I87" s="92">
        <f t="shared" si="3"/>
        <v>114.9</v>
      </c>
      <c r="J87" s="92">
        <f t="shared" si="3"/>
        <v>114.9</v>
      </c>
      <c r="K87" s="92">
        <f t="shared" si="3"/>
        <v>114.9</v>
      </c>
      <c r="L87" s="92">
        <f t="shared" si="3"/>
        <v>114.9</v>
      </c>
      <c r="M87" s="92">
        <f t="shared" si="3"/>
        <v>114.9</v>
      </c>
      <c r="N87" s="92">
        <f t="shared" si="3"/>
        <v>114.9</v>
      </c>
      <c r="O87" s="92">
        <f t="shared" si="3"/>
        <v>114.9</v>
      </c>
      <c r="P87" s="92">
        <f t="shared" si="3"/>
        <v>114.9</v>
      </c>
      <c r="Q87" s="92">
        <f t="shared" si="3"/>
        <v>114.9</v>
      </c>
      <c r="R87" s="92">
        <f t="shared" si="3"/>
        <v>114.9</v>
      </c>
      <c r="S87" s="92">
        <f t="shared" si="3"/>
        <v>114.9</v>
      </c>
      <c r="T87" s="92">
        <f t="shared" si="3"/>
        <v>114.9</v>
      </c>
      <c r="U87" s="92">
        <f t="shared" si="3"/>
        <v>114.9</v>
      </c>
      <c r="V87" s="92">
        <f t="shared" si="3"/>
        <v>114.9</v>
      </c>
      <c r="W87" s="92">
        <f t="shared" si="3"/>
        <v>114.9</v>
      </c>
      <c r="X87" s="92">
        <f t="shared" si="3"/>
        <v>114.9</v>
      </c>
      <c r="Y87" s="92">
        <f t="shared" si="3"/>
        <v>114.9</v>
      </c>
      <c r="Z87" s="92">
        <f t="shared" si="3"/>
        <v>114.9</v>
      </c>
      <c r="AA87" s="92">
        <f t="shared" si="3"/>
        <v>114.9</v>
      </c>
      <c r="AB87" s="92">
        <f t="shared" si="3"/>
        <v>114.9</v>
      </c>
      <c r="AC87" s="92">
        <f t="shared" si="3"/>
        <v>114.9</v>
      </c>
      <c r="AD87" s="92">
        <f t="shared" si="3"/>
        <v>114.9</v>
      </c>
      <c r="AE87" s="92">
        <f t="shared" si="3"/>
        <v>114.9</v>
      </c>
      <c r="AF87" s="92" t="s">
        <v>87</v>
      </c>
    </row>
    <row r="88" spans="1:34" ht="18.75" hidden="1" customHeight="1">
      <c r="A88" s="92">
        <f>AVERAGE(A19:A79)</f>
        <v>114.9</v>
      </c>
      <c r="B88" s="92">
        <f t="shared" ref="B88:AE88" si="4">AVERAGE(B19:B79)</f>
        <v>114.93724191270795</v>
      </c>
      <c r="C88" s="92">
        <f t="shared" si="4"/>
        <v>115.00020927642811</v>
      </c>
      <c r="D88" s="92">
        <f t="shared" si="4"/>
        <v>115.08892709808748</v>
      </c>
      <c r="E88" s="92">
        <f t="shared" si="4"/>
        <v>115.20343075870093</v>
      </c>
      <c r="F88" s="92">
        <f t="shared" si="4"/>
        <v>115.34376603016635</v>
      </c>
      <c r="G88" s="92">
        <f t="shared" si="4"/>
        <v>115.50998909704279</v>
      </c>
      <c r="H88" s="92">
        <f t="shared" si="4"/>
        <v>115.70216658332387</v>
      </c>
      <c r="I88" s="92">
        <f t="shared" si="4"/>
        <v>115.92037558421927</v>
      </c>
      <c r="J88" s="92">
        <f t="shared" si="4"/>
        <v>116.1647037029617</v>
      </c>
      <c r="K88" s="92">
        <f t="shared" si="4"/>
        <v>116.43524909265783</v>
      </c>
      <c r="L88" s="92">
        <f t="shared" si="4"/>
        <v>116.73212050320556</v>
      </c>
      <c r="M88" s="92">
        <f t="shared" si="4"/>
        <v>117.05543733330117</v>
      </c>
      <c r="N88" s="92">
        <f t="shared" si="4"/>
        <v>117.40532968756476</v>
      </c>
      <c r="O88" s="92">
        <f t="shared" si="4"/>
        <v>117.78193843881196</v>
      </c>
      <c r="P88" s="92">
        <f t="shared" si="4"/>
        <v>118.18541529550639</v>
      </c>
      <c r="Q88" s="92">
        <f t="shared" si="4"/>
        <v>118.61592287442591</v>
      </c>
      <c r="R88" s="92">
        <f t="shared" si="4"/>
        <v>119.07363477858242</v>
      </c>
      <c r="S88" s="92">
        <f t="shared" si="4"/>
        <v>119.55873568043461</v>
      </c>
      <c r="T88" s="92">
        <f t="shared" si="4"/>
        <v>120.07142141043735</v>
      </c>
      <c r="U88" s="92">
        <f t="shared" si="4"/>
        <v>120.61189905097453</v>
      </c>
      <c r="V88" s="92">
        <f t="shared" si="4"/>
        <v>121.1803870357232</v>
      </c>
      <c r="W88" s="92">
        <f t="shared" si="4"/>
        <v>121.77711525450205</v>
      </c>
      <c r="X88" s="92">
        <f t="shared" si="4"/>
        <v>122.40232516365819</v>
      </c>
      <c r="Y88" s="92">
        <f t="shared" si="4"/>
        <v>123.05626990205057</v>
      </c>
      <c r="Z88" s="92">
        <f t="shared" si="4"/>
        <v>123.73921441268934</v>
      </c>
      <c r="AA88" s="92">
        <f t="shared" si="4"/>
        <v>124.45143557009656</v>
      </c>
      <c r="AB88" s="92">
        <f t="shared" si="4"/>
        <v>125.19322231345311</v>
      </c>
      <c r="AC88" s="92">
        <f t="shared" si="4"/>
        <v>125.96487578560283</v>
      </c>
      <c r="AD88" s="92">
        <f t="shared" si="4"/>
        <v>126.76670947798503</v>
      </c>
      <c r="AE88" s="92">
        <f t="shared" si="4"/>
        <v>127.59904938157268</v>
      </c>
    </row>
    <row r="89" spans="1:34" ht="18.75" customHeight="1">
      <c r="N89" s="107"/>
      <c r="O89" s="107"/>
      <c r="Z89" s="107"/>
      <c r="AA89" s="107"/>
      <c r="AB89" s="107"/>
      <c r="AC89" s="107"/>
      <c r="AD89" s="107"/>
      <c r="AE89" s="107"/>
    </row>
    <row r="90" spans="1:34" ht="18.75" customHeight="1">
      <c r="N90" s="107"/>
      <c r="O90" s="107"/>
      <c r="Z90" s="107"/>
      <c r="AA90" s="107"/>
      <c r="AB90" s="107"/>
      <c r="AC90" s="107"/>
      <c r="AD90" s="107"/>
      <c r="AE90" s="107"/>
    </row>
    <row r="91" spans="1:34" ht="18.75" customHeight="1">
      <c r="N91" s="107"/>
      <c r="O91" s="107"/>
      <c r="Z91" s="107"/>
      <c r="AA91" s="107"/>
      <c r="AB91" s="107"/>
      <c r="AC91" s="107"/>
      <c r="AD91" s="107"/>
      <c r="AE91" s="107"/>
    </row>
    <row r="92" spans="1:34" ht="18.75" customHeight="1">
      <c r="N92" s="107"/>
      <c r="O92" s="107"/>
      <c r="Z92" s="107"/>
      <c r="AA92" s="107"/>
      <c r="AB92" s="107"/>
      <c r="AC92" s="107"/>
      <c r="AD92" s="107"/>
      <c r="AE92" s="107"/>
    </row>
    <row r="93" spans="1:34" ht="18.75" customHeight="1">
      <c r="N93" s="107"/>
      <c r="O93" s="107"/>
      <c r="Z93" s="107"/>
      <c r="AA93" s="107"/>
      <c r="AB93" s="107"/>
      <c r="AC93" s="107"/>
      <c r="AD93" s="107"/>
      <c r="AE93" s="107"/>
    </row>
    <row r="94" spans="1:34" ht="18.75" customHeight="1">
      <c r="N94" s="107"/>
      <c r="O94" s="107"/>
      <c r="Z94" s="107"/>
      <c r="AA94" s="107"/>
      <c r="AB94" s="107"/>
      <c r="AC94" s="107"/>
      <c r="AD94" s="107"/>
      <c r="AE94" s="107"/>
    </row>
    <row r="95" spans="1:34" ht="18.75" customHeight="1">
      <c r="N95" s="107"/>
      <c r="O95" s="107"/>
      <c r="Z95" s="107"/>
      <c r="AA95" s="107"/>
      <c r="AB95" s="107"/>
      <c r="AC95" s="107"/>
      <c r="AD95" s="107"/>
      <c r="AE95" s="107"/>
      <c r="AH95" s="107"/>
    </row>
    <row r="96" spans="1:34" ht="18.75" customHeight="1" thickBot="1">
      <c r="N96" s="107"/>
      <c r="O96" s="107"/>
      <c r="Z96" s="107"/>
      <c r="AA96" s="107"/>
      <c r="AB96" s="107"/>
      <c r="AC96" s="107"/>
      <c r="AD96" s="107"/>
      <c r="AE96" s="107"/>
      <c r="AH96" s="107"/>
    </row>
    <row r="97" spans="1:34" ht="18.75" customHeight="1" thickBot="1">
      <c r="A97" s="161" t="s">
        <v>28</v>
      </c>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3"/>
    </row>
    <row r="98" spans="1:34" ht="18.75" customHeight="1">
      <c r="A98" s="115">
        <v>0</v>
      </c>
      <c r="B98" s="115">
        <v>1</v>
      </c>
      <c r="C98" s="115">
        <v>2</v>
      </c>
      <c r="D98" s="115">
        <v>3</v>
      </c>
      <c r="E98" s="115">
        <v>4</v>
      </c>
      <c r="F98" s="115">
        <v>5</v>
      </c>
      <c r="G98" s="115">
        <v>6</v>
      </c>
      <c r="H98" s="115">
        <v>7</v>
      </c>
      <c r="I98" s="115">
        <v>8</v>
      </c>
      <c r="J98" s="115">
        <v>9</v>
      </c>
      <c r="K98" s="115">
        <v>10</v>
      </c>
      <c r="L98" s="115">
        <v>11</v>
      </c>
      <c r="M98" s="115">
        <v>12</v>
      </c>
      <c r="N98" s="115">
        <f>M98+1</f>
        <v>13</v>
      </c>
      <c r="O98" s="115">
        <f t="shared" ref="O98:AE98" si="5">N98+1</f>
        <v>14</v>
      </c>
      <c r="P98" s="115">
        <f t="shared" si="5"/>
        <v>15</v>
      </c>
      <c r="Q98" s="115">
        <f t="shared" si="5"/>
        <v>16</v>
      </c>
      <c r="R98" s="115">
        <f t="shared" si="5"/>
        <v>17</v>
      </c>
      <c r="S98" s="115">
        <f t="shared" si="5"/>
        <v>18</v>
      </c>
      <c r="T98" s="115">
        <f t="shared" si="5"/>
        <v>19</v>
      </c>
      <c r="U98" s="115">
        <f t="shared" si="5"/>
        <v>20</v>
      </c>
      <c r="V98" s="115">
        <f t="shared" si="5"/>
        <v>21</v>
      </c>
      <c r="W98" s="115">
        <f t="shared" si="5"/>
        <v>22</v>
      </c>
      <c r="X98" s="115">
        <f t="shared" si="5"/>
        <v>23</v>
      </c>
      <c r="Y98" s="115">
        <f t="shared" si="5"/>
        <v>24</v>
      </c>
      <c r="Z98" s="115">
        <f t="shared" si="5"/>
        <v>25</v>
      </c>
      <c r="AA98" s="115">
        <f t="shared" si="5"/>
        <v>26</v>
      </c>
      <c r="AB98" s="115">
        <f t="shared" si="5"/>
        <v>27</v>
      </c>
      <c r="AC98" s="115">
        <f t="shared" si="5"/>
        <v>28</v>
      </c>
      <c r="AD98" s="115">
        <f t="shared" si="5"/>
        <v>29</v>
      </c>
      <c r="AE98" s="115">
        <f t="shared" si="5"/>
        <v>30</v>
      </c>
    </row>
    <row r="99" spans="1:34" ht="18.75" customHeight="1">
      <c r="N99" s="107"/>
      <c r="O99" s="107"/>
      <c r="Z99" s="107"/>
      <c r="AA99" s="107"/>
      <c r="AB99" s="107"/>
      <c r="AC99" s="107"/>
      <c r="AD99" s="107"/>
      <c r="AE99" s="107"/>
    </row>
    <row r="100" spans="1:34" ht="18.75" customHeight="1">
      <c r="N100" s="107"/>
      <c r="O100" s="107"/>
      <c r="Z100" s="107"/>
      <c r="AA100" s="107"/>
      <c r="AB100" s="107"/>
      <c r="AC100" s="107"/>
      <c r="AD100" s="107"/>
      <c r="AE100" s="107"/>
    </row>
    <row r="101" spans="1:34" ht="18.75" customHeight="1">
      <c r="A101" s="92">
        <f>MAX(A102:A163)</f>
        <v>3.8921604016417373</v>
      </c>
      <c r="B101" s="92">
        <f t="shared" ref="B101:AE101" si="6">MAX(B102:B163)</f>
        <v>5.0192073738425558</v>
      </c>
      <c r="C101" s="92">
        <f t="shared" si="6"/>
        <v>6.3916320765655206</v>
      </c>
      <c r="D101" s="92">
        <f t="shared" si="6"/>
        <v>8.0351520200568238</v>
      </c>
      <c r="E101" s="92">
        <f t="shared" si="6"/>
        <v>9.9697833560572562</v>
      </c>
      <c r="F101" s="92">
        <f t="shared" si="6"/>
        <v>12.207584081526512</v>
      </c>
      <c r="G101" s="92">
        <f t="shared" si="6"/>
        <v>14.750914529278035</v>
      </c>
      <c r="H101" s="92">
        <f t="shared" si="6"/>
        <v>17.591643124503928</v>
      </c>
      <c r="I101" s="92">
        <f t="shared" si="6"/>
        <v>20.711651106623414</v>
      </c>
      <c r="J101" s="92">
        <f t="shared" si="6"/>
        <v>24.084789707170728</v>
      </c>
      <c r="K101" s="92">
        <f t="shared" si="6"/>
        <v>27.68012945934893</v>
      </c>
      <c r="L101" s="92">
        <f t="shared" si="6"/>
        <v>31.465978754683583</v>
      </c>
      <c r="M101" s="92">
        <f t="shared" si="6"/>
        <v>35.413854744419915</v>
      </c>
      <c r="N101" s="92">
        <f t="shared" si="6"/>
        <v>39.501504109140321</v>
      </c>
      <c r="O101" s="92">
        <f t="shared" si="6"/>
        <v>43.714293573253137</v>
      </c>
      <c r="P101" s="92">
        <f t="shared" si="6"/>
        <v>48.044801829447444</v>
      </c>
      <c r="Q101" s="92">
        <f t="shared" si="6"/>
        <v>52.491064171818039</v>
      </c>
      <c r="R101" s="92">
        <f t="shared" si="6"/>
        <v>57.054350801088546</v>
      </c>
      <c r="S101" s="92">
        <f t="shared" si="6"/>
        <v>61.737348687929959</v>
      </c>
      <c r="T101" s="92">
        <f t="shared" si="6"/>
        <v>66.543167833694838</v>
      </c>
      <c r="U101" s="92">
        <f t="shared" si="6"/>
        <v>71.475030440687235</v>
      </c>
      <c r="V101" s="92">
        <f t="shared" si="6"/>
        <v>76.53624324532538</v>
      </c>
      <c r="W101" s="92">
        <f t="shared" si="6"/>
        <v>81.730199735884696</v>
      </c>
      <c r="X101" s="92">
        <f t="shared" si="6"/>
        <v>87.060382428422912</v>
      </c>
      <c r="Y101" s="92">
        <f t="shared" si="6"/>
        <v>92.530365202413932</v>
      </c>
      <c r="Z101" s="92">
        <f t="shared" si="6"/>
        <v>98.143815697656848</v>
      </c>
      <c r="AA101" s="92">
        <f t="shared" si="6"/>
        <v>103.90449777406735</v>
      </c>
      <c r="AB101" s="92">
        <f t="shared" si="6"/>
        <v>109.81627403600174</v>
      </c>
      <c r="AC101" s="92">
        <f t="shared" si="6"/>
        <v>115.88310842280615</v>
      </c>
      <c r="AD101" s="92">
        <f t="shared" si="6"/>
        <v>122.1090688673286</v>
      </c>
      <c r="AE101" s="92">
        <f t="shared" si="6"/>
        <v>128.49833002417682</v>
      </c>
    </row>
    <row r="102" spans="1:34" ht="18.75" customHeight="1">
      <c r="AD102" s="116">
        <f>EXP(-dividend_rate*Time/n_periods)*(BinomialModel!AE102-BinomialModel!AE104)/(Stock*(up_factor-down_factor))</f>
        <v>2.0441928346982454</v>
      </c>
      <c r="AE102" s="105">
        <f>IF(AE19&gt;$AE$84,AE19-$AE$84,0)</f>
        <v>128.49833002417682</v>
      </c>
    </row>
    <row r="103" spans="1:34" ht="18.75" customHeight="1">
      <c r="AC103" s="116">
        <f>EXP(-dividend_rate*Time/n_periods)*(BinomialModel!AD103-BinomialModel!AD105)/(Stock*(up_factor-down_factor))</f>
        <v>1.9919346536122999</v>
      </c>
      <c r="AD103" s="105">
        <f>((AE102*$E$7)+AE104*(1-$E$7))*$E$6</f>
        <v>122.1090688673286</v>
      </c>
    </row>
    <row r="104" spans="1:34" ht="18.75" customHeight="1">
      <c r="AB104" s="116">
        <f>EXP(-dividend_rate*Time/n_periods)*(BinomialModel!AC104-BinomialModel!AC106)/(Stock*(up_factor-down_factor))</f>
        <v>1.9410124117998191</v>
      </c>
      <c r="AC104" s="105">
        <f>((AD103*$E$7)+AD105*(1-$E$7))*$E$6</f>
        <v>115.88310842280615</v>
      </c>
      <c r="AD104" s="116">
        <f>EXP(-dividend_rate*Time/n_periods)*(BinomialModel!AE104-BinomialModel!AE106)/(Stock*(up_factor-down_factor))</f>
        <v>1.9409677424391385</v>
      </c>
      <c r="AE104" s="105">
        <f>IF(AE21&gt;$AE$84,AE21-$AE$84,0)</f>
        <v>115.88044155455995</v>
      </c>
    </row>
    <row r="105" spans="1:34" ht="18.75" customHeight="1">
      <c r="AA105" s="116">
        <f>EXP(-dividend_rate*Time/n_periods)*(BinomialModel!AB105-BinomialModel!AB107)/(Stock*(up_factor-down_factor))</f>
        <v>1.8913919570246347</v>
      </c>
      <c r="AB105" s="105">
        <f>((AC104*$E$7)+AC106*(1-$E$7))*$E$6</f>
        <v>109.81627403600174</v>
      </c>
      <c r="AC105" s="116">
        <f>EXP(-dividend_rate*Time/n_periods)*(BinomialModel!AD105-BinomialModel!AD107)/(Stock*(up_factor-down_factor))</f>
        <v>1.8913484296010026</v>
      </c>
      <c r="AD105" s="105">
        <f>((AE104*$E$7)+AE106*(1-$E$7))*$E$6</f>
        <v>109.81374678644718</v>
      </c>
    </row>
    <row r="106" spans="1:34" ht="18.75" customHeight="1">
      <c r="Z106" s="116">
        <f>EXP(-dividend_rate*Time/n_periods)*(BinomialModel!AA106-BinomialModel!AA108)/(Stock*(up_factor-down_factor))</f>
        <v>1.8430400101256053</v>
      </c>
      <c r="AA106" s="105">
        <f>((AB105*$E$7)+AB107*(1-$E$7))*$E$6</f>
        <v>103.90449777406735</v>
      </c>
      <c r="AB106" s="116">
        <f>EXP(-dividend_rate*Time/n_periods)*(BinomialModel!AC106-BinomialModel!AC108)/(Stock*(up_factor-down_factor))</f>
        <v>1.8429975954463107</v>
      </c>
      <c r="AC106" s="105">
        <f>((AD105*$E$7)+AD107*(1-$E$7))*$E$6</f>
        <v>103.90210657478455</v>
      </c>
      <c r="AD106" s="116">
        <f>EXP(-dividend_rate*Time/n_periods)*(BinomialModel!AE106-BinomialModel!AE108)/(Stock*(up_factor-down_factor))</f>
        <v>1.842955181743124</v>
      </c>
      <c r="AE106" s="105">
        <f>IF(AE23&gt;$AE$84,AE23-$AE$84,0)</f>
        <v>103.89971543053147</v>
      </c>
    </row>
    <row r="107" spans="1:34" ht="18.75" customHeight="1">
      <c r="Y107" s="116">
        <f>EXP(-dividend_rate*Time/n_periods)*(BinomialModel!Z107-BinomialModel!Z109)/(Stock*(up_factor-down_factor))</f>
        <v>1.7959241426971739</v>
      </c>
      <c r="Z107" s="105">
        <f>((AA106*$E$7)+AA108*(1-$E$7))*$E$6</f>
        <v>98.143815697656848</v>
      </c>
      <c r="AA107" s="116">
        <f>EXP(-dividend_rate*Time/n_periods)*(BinomialModel!AB107-BinomialModel!AB109)/(Stock*(up_factor-down_factor))</f>
        <v>1.7958828123157764</v>
      </c>
      <c r="AB107" s="105">
        <f>((AC106*$E$7)+AC108*(1-$E$7))*$E$6</f>
        <v>98.141557071449753</v>
      </c>
      <c r="AC107" s="116">
        <f>EXP(-dividend_rate*Time/n_periods)*(BinomialModel!AD107-BinomialModel!AD109)/(Stock*(up_factor-down_factor))</f>
        <v>1.7958414828855345</v>
      </c>
      <c r="AD107" s="105">
        <f>((AE106*$E$7)+AE108*(1-$E$7))*$E$6</f>
        <v>98.139298497221432</v>
      </c>
      <c r="AH107" s="107"/>
    </row>
    <row r="108" spans="1:34" ht="18.75" customHeight="1">
      <c r="X108" s="116">
        <f>EXP(-dividend_rate*Time/n_periods)*(BinomialModel!Y108-BinomialModel!Y110)/(Stock*(up_factor-down_factor))</f>
        <v>1.7500127553404408</v>
      </c>
      <c r="Y108" s="105">
        <f>((Z107*$E$7)+Z109*(1-$E$7))*$E$6</f>
        <v>92.530365202413932</v>
      </c>
      <c r="Z108" s="116">
        <f>EXP(-dividend_rate*Time/n_periods)*(BinomialModel!AA108-BinomialModel!AA110)/(Stock*(up_factor-down_factor))</f>
        <v>1.7499724815377184</v>
      </c>
      <c r="AA108" s="105">
        <f>((AB107*$E$7)+AB109*(1-$E$7))*$E$6</f>
        <v>92.528235760978319</v>
      </c>
      <c r="AB108" s="116">
        <f>EXP(-dividend_rate*Time/n_periods)*(BinomialModel!AC108-BinomialModel!AC110)/(Stock*(up_factor-down_factor))</f>
        <v>1.7499322086618305</v>
      </c>
      <c r="AC108" s="105">
        <f>((AD107*$E$7)+AD109*(1-$E$7))*$E$6</f>
        <v>92.52610636854844</v>
      </c>
      <c r="AD108" s="116">
        <f>EXP(-dividend_rate*Time/n_periods)*(BinomialModel!AE108-BinomialModel!AE110)/(Stock*(up_factor-down_factor))</f>
        <v>1.7498919367127612</v>
      </c>
      <c r="AE108" s="105">
        <f>IF(AE25&gt;$AE$84,AE25-$AE$84,0)</f>
        <v>92.523977025123202</v>
      </c>
      <c r="AH108" s="107"/>
    </row>
    <row r="109" spans="1:34" ht="18.75" customHeight="1">
      <c r="W109" s="116">
        <f>EXP(-dividend_rate*Time/n_periods)*(BinomialModel!X109-BinomialModel!X111)/(Stock*(up_factor-down_factor))</f>
        <v>1.7052750564702717</v>
      </c>
      <c r="X109" s="105">
        <f>((Y108*$E$7)+Y110*(1-$E$7))*$E$6</f>
        <v>87.060382428422912</v>
      </c>
      <c r="Y109" s="116">
        <f>EXP(-dividend_rate*Time/n_periods)*(BinomialModel!Z109-BinomialModel!Z111)/(Stock*(up_factor-down_factor))</f>
        <v>1.7052358122356168</v>
      </c>
      <c r="Z109" s="105">
        <f>((AA108*$E$7)+AA110*(1-$E$7))*$E$6</f>
        <v>87.058378870073838</v>
      </c>
      <c r="AA109" s="116">
        <f>EXP(-dividend_rate*Time/n_periods)*(BinomialModel!AB109-BinomialModel!AB111)/(Stock*(up_factor-down_factor))</f>
        <v>1.7051965689041062</v>
      </c>
      <c r="AB109" s="105">
        <f>((AC108*$E$7)+AC110*(1-$E$7))*$E$6</f>
        <v>87.056375357833502</v>
      </c>
      <c r="AC109" s="116">
        <f>EXP(-dividend_rate*Time/n_periods)*(BinomialModel!AD109-BinomialModel!AD111)/(Stock*(up_factor-down_factor))</f>
        <v>1.7051573264757258</v>
      </c>
      <c r="AD109" s="105">
        <f>((AE108*$E$7)+AE110*(1-$E$7))*$E$6</f>
        <v>87.054371891700882</v>
      </c>
      <c r="AH109" s="107"/>
    </row>
    <row r="110" spans="1:34" ht="18.75" customHeight="1">
      <c r="V110" s="116">
        <f>EXP(-dividend_rate*Time/n_periods)*(BinomialModel!W110-BinomialModel!W112)/(Stock*(up_factor-down_factor))</f>
        <v>1.6616810416641641</v>
      </c>
      <c r="W110" s="105">
        <f>((X109*$E$7)+X111*(1-$E$7))*$E$6</f>
        <v>81.730199735884696</v>
      </c>
      <c r="X110" s="116">
        <f>EXP(-dividend_rate*Time/n_periods)*(BinomialModel!Y110-BinomialModel!Y112)/(Stock*(up_factor-down_factor))</f>
        <v>1.6616428006774855</v>
      </c>
      <c r="Y110" s="105">
        <f>((Z109*$E$7)+Z111*(1-$E$7))*$E$6</f>
        <v>81.728318843342251</v>
      </c>
      <c r="Z110" s="116">
        <f>EXP(-dividend_rate*Time/n_periods)*(BinomialModel!AA110-BinomialModel!AA112)/(Stock*(up_factor-down_factor))</f>
        <v>1.6616045605708638</v>
      </c>
      <c r="AA110" s="105">
        <f>((AB109*$E$7)+AB111*(1-$E$7))*$E$6</f>
        <v>81.7264379940856</v>
      </c>
      <c r="AB110" s="116">
        <f>EXP(-dividend_rate*Time/n_periods)*(BinomialModel!AC110-BinomialModel!AC112)/(Stock*(up_factor-down_factor))</f>
        <v>1.6615663213442808</v>
      </c>
      <c r="AC110" s="105">
        <f>((AD109*$E$7)+AD111*(1-$E$7))*$E$6</f>
        <v>81.724557188113749</v>
      </c>
      <c r="AD110" s="116">
        <f>EXP(-dividend_rate*Time/n_periods)*(BinomialModel!AE110-BinomialModel!AE112)/(Stock*(up_factor-down_factor))</f>
        <v>1.6615280829977157</v>
      </c>
      <c r="AE110" s="105">
        <f>IF(AE27&gt;$AE$84,AE27-$AE$84,0)</f>
        <v>81.722676425425703</v>
      </c>
      <c r="AH110" s="107"/>
    </row>
    <row r="111" spans="1:34" ht="18.75" customHeight="1">
      <c r="U111" s="116">
        <f>EXP(-dividend_rate*Time/n_periods)*(BinomialModel!V111-BinomialModel!V113)/(Stock*(up_factor-down_factor))</f>
        <v>1.6192014735390787</v>
      </c>
      <c r="V111" s="105">
        <f>((W110*$E$7)+W112*(1-$E$7))*$E$6</f>
        <v>76.53624324532538</v>
      </c>
      <c r="W111" s="116">
        <f>EXP(-dividend_rate*Time/n_periods)*(BinomialModel!X111-BinomialModel!X113)/(Stock*(up_factor-down_factor))</f>
        <v>1.6191642101531309</v>
      </c>
      <c r="X111" s="105">
        <f>((Y110*$E$7)+Y112*(1-$E$7))*$E$6</f>
        <v>76.534481883556879</v>
      </c>
      <c r="Y111" s="116">
        <f>EXP(-dividend_rate*Time/n_periods)*(BinomialModel!Z111-BinomialModel!Z113)/(Stock*(up_factor-down_factor))</f>
        <v>1.6191269476247447</v>
      </c>
      <c r="Z111" s="105">
        <f>((AA110*$E$7)+AA112*(1-$E$7))*$E$6</f>
        <v>76.532720562323377</v>
      </c>
      <c r="AA111" s="116">
        <f>EXP(-dividend_rate*Time/n_periods)*(BinomialModel!AB111-BinomialModel!AB113)/(Stock*(up_factor-down_factor))</f>
        <v>1.6190896859538948</v>
      </c>
      <c r="AB111" s="105">
        <f>((AC110*$E$7)+AC112*(1-$E$7))*$E$6</f>
        <v>76.530959281623907</v>
      </c>
      <c r="AC111" s="116">
        <f>EXP(-dividend_rate*Time/n_periods)*(BinomialModel!AD111-BinomialModel!AD113)/(Stock*(up_factor-down_factor))</f>
        <v>1.6190524251405627</v>
      </c>
      <c r="AD111" s="105">
        <f>((AE110*$E$7)+AE112*(1-$E$7))*$E$6</f>
        <v>76.529198041457533</v>
      </c>
      <c r="AH111" s="107"/>
    </row>
    <row r="112" spans="1:34" ht="18.75" customHeight="1">
      <c r="T112" s="116">
        <f>EXP(-dividend_rate*Time/n_periods)*(BinomialModel!U112-BinomialModel!U114)/(Stock*(up_factor-down_factor))</f>
        <v>1.5778078621426641</v>
      </c>
      <c r="U112" s="105">
        <f>((V111*$E$7)+V113*(1-$E$7))*$E$6</f>
        <v>71.475030440687235</v>
      </c>
      <c r="V112" s="116">
        <f>EXP(-dividend_rate*Time/n_periods)*(BinomialModel!W112-BinomialModel!W114)/(Stock*(up_factor-down_factor))</f>
        <v>1.5777715513658517</v>
      </c>
      <c r="W112" s="105">
        <f>((X111*$E$7)+X113*(1-$E$7))*$E$6</f>
        <v>71.473385554804636</v>
      </c>
      <c r="X112" s="116">
        <f>EXP(-dividend_rate*Time/n_periods)*(BinomialModel!Y112-BinomialModel!Y114)/(Stock*(up_factor-down_factor))</f>
        <v>1.5777352414246784</v>
      </c>
      <c r="Y112" s="105">
        <f>((Z111*$E$7)+Z113*(1-$E$7))*$E$6</f>
        <v>71.471740706776529</v>
      </c>
      <c r="Z112" s="116">
        <f>EXP(-dividend_rate*Time/n_periods)*(BinomialModel!AA112-BinomialModel!AA114)/(Stock*(up_factor-down_factor))</f>
        <v>1.5776989323191217</v>
      </c>
      <c r="AA112" s="105">
        <f>((AB111*$E$7)+AB113*(1-$E$7))*$E$6</f>
        <v>71.470095896602018</v>
      </c>
      <c r="AB112" s="116">
        <f>EXP(-dividend_rate*Time/n_periods)*(BinomialModel!AC112-BinomialModel!AC114)/(Stock*(up_factor-down_factor))</f>
        <v>1.5776626240491596</v>
      </c>
      <c r="AC112" s="105">
        <f>((AD111*$E$7)+AD113*(1-$E$7))*$E$6</f>
        <v>71.468451124280222</v>
      </c>
      <c r="AD112" s="116">
        <f>EXP(-dividend_rate*Time/n_periods)*(BinomialModel!AE112-BinomialModel!AE114)/(Stock*(up_factor-down_factor))</f>
        <v>1.5776263166147746</v>
      </c>
      <c r="AE112" s="105">
        <f>IF(AE29&gt;$AE$84,AE29-$AE$84,0)</f>
        <v>71.466806389810273</v>
      </c>
      <c r="AH112" s="107"/>
    </row>
    <row r="113" spans="1:31" ht="18.75" customHeight="1">
      <c r="S113" s="116">
        <f>EXP(-dividend_rate*Time/n_periods)*(BinomialModel!T113-BinomialModel!T115)/(Stock*(up_factor-down_factor))</f>
        <v>1.5374724458457691</v>
      </c>
      <c r="T113" s="105">
        <f>((U112*$E$7)+U114*(1-$E$7))*$E$6</f>
        <v>66.543167833694838</v>
      </c>
      <c r="U113" s="116">
        <f>EXP(-dividend_rate*Time/n_periods)*(BinomialModel!V113-BinomialModel!V115)/(Stock*(up_factor-down_factor))</f>
        <v>1.5374370633253909</v>
      </c>
      <c r="V113" s="105">
        <f>((W112*$E$7)+W114*(1-$E$7))*$E$6</f>
        <v>66.54163644690594</v>
      </c>
      <c r="W113" s="116">
        <f>EXP(-dividend_rate*Time/n_periods)*(BinomialModel!X113-BinomialModel!X115)/(Stock*(up_factor-down_factor))</f>
        <v>1.5374016816192881</v>
      </c>
      <c r="X113" s="105">
        <f>((Y112*$E$7)+Y114*(1-$E$7))*$E$6</f>
        <v>66.540105095359522</v>
      </c>
      <c r="Y113" s="116">
        <f>EXP(-dividend_rate*Time/n_periods)*(BinomialModel!Z113-BinomialModel!Z115)/(Stock*(up_factor-down_factor))</f>
        <v>1.5373663007274403</v>
      </c>
      <c r="Z113" s="105">
        <f>((AA112*$E$7)+AA114*(1-$E$7))*$E$6</f>
        <v>66.538573779054758</v>
      </c>
      <c r="AA113" s="116">
        <f>EXP(-dividend_rate*Time/n_periods)*(BinomialModel!AB113-BinomialModel!AB115)/(Stock*(up_factor-down_factor))</f>
        <v>1.5373309206498278</v>
      </c>
      <c r="AB113" s="105">
        <f>((AC112*$E$7)+AC114*(1-$E$7))*$E$6</f>
        <v>66.537042497990839</v>
      </c>
      <c r="AC113" s="116">
        <f>EXP(-dividend_rate*Time/n_periods)*(BinomialModel!AD113-BinomialModel!AD115)/(Stock*(up_factor-down_factor))</f>
        <v>1.5372955413864287</v>
      </c>
      <c r="AD113" s="105">
        <f>((AE112*$E$7)+AE114*(1-$E$7))*$E$6</f>
        <v>66.535511252166941</v>
      </c>
    </row>
    <row r="114" spans="1:31" ht="18.75" customHeight="1">
      <c r="R114" s="116">
        <f>EXP(-dividend_rate*Time/n_periods)*(BinomialModel!S114-BinomialModel!S116)/(Stock*(up_factor-down_factor))</f>
        <v>1.4981681727234544</v>
      </c>
      <c r="S114" s="105">
        <f>((T113*$E$7)+T115*(1-$E$7))*$E$6</f>
        <v>61.737348687929959</v>
      </c>
      <c r="T114" s="116">
        <f>EXP(-dividend_rate*Time/n_periods)*(BinomialModel!U114-BinomialModel!U116)/(Stock*(up_factor-down_factor))</f>
        <v>1.4981336947293615</v>
      </c>
      <c r="U114" s="105">
        <f>((V113*$E$7)+V115*(1-$E$7))*$E$6</f>
        <v>61.735927899541899</v>
      </c>
      <c r="V114" s="116">
        <f>EXP(-dividend_rate*Time/n_periods)*(BinomialModel!W114-BinomialModel!W116)/(Stock*(up_factor-down_factor))</f>
        <v>1.4980992175287309</v>
      </c>
      <c r="W114" s="105">
        <f>((X113*$E$7)+X115*(1-$E$7))*$E$6</f>
        <v>61.734507143851076</v>
      </c>
      <c r="X114" s="116">
        <f>EXP(-dividend_rate*Time/n_periods)*(BinomialModel!Y114-BinomialModel!Y116)/(Stock*(up_factor-down_factor))</f>
        <v>1.4980647411215389</v>
      </c>
      <c r="Y114" s="105">
        <f>((Z113*$E$7)+Z115*(1-$E$7))*$E$6</f>
        <v>61.733086420856715</v>
      </c>
      <c r="Z114" s="116">
        <f>EXP(-dividend_rate*Time/n_periods)*(BinomialModel!AA114-BinomialModel!AA116)/(Stock*(up_factor-down_factor))</f>
        <v>1.4980302655077662</v>
      </c>
      <c r="AA114" s="105">
        <f>((AB113*$E$7)+AB115*(1-$E$7))*$E$6</f>
        <v>61.731665730558063</v>
      </c>
      <c r="AB114" s="116">
        <f>EXP(-dividend_rate*Time/n_periods)*(BinomialModel!AC114-BinomialModel!AC116)/(Stock*(up_factor-down_factor))</f>
        <v>1.4979957906873946</v>
      </c>
      <c r="AC114" s="105">
        <f>((AD113*$E$7)+AD115*(1-$E$7))*$E$6</f>
        <v>61.730245072954375</v>
      </c>
      <c r="AD114" s="116">
        <f>EXP(-dividend_rate*Time/n_periods)*(BinomialModel!AE114-BinomialModel!AE116)/(Stock*(up_factor-down_factor))</f>
        <v>1.4979613166604018</v>
      </c>
      <c r="AE114" s="105">
        <f>IF(AE31&gt;$AE$84,AE31-$AE$84,0)</f>
        <v>61.72882444804489</v>
      </c>
    </row>
    <row r="115" spans="1:31" ht="18.75" customHeight="1">
      <c r="A115" s="107"/>
      <c r="B115" s="107"/>
      <c r="C115" s="107"/>
      <c r="D115" s="107"/>
      <c r="E115" s="107"/>
      <c r="F115" s="107"/>
      <c r="G115" s="107"/>
      <c r="H115" s="107"/>
      <c r="I115" s="107"/>
      <c r="J115" s="107"/>
      <c r="K115" s="107"/>
      <c r="L115" s="107"/>
      <c r="M115" s="107"/>
      <c r="Q115" s="116">
        <f>EXP(-dividend_rate*Time/n_periods)*(BinomialModel!R115-BinomialModel!R117)/(Stock*(up_factor-down_factor))</f>
        <v>1.4598591414273812</v>
      </c>
      <c r="R115" s="105">
        <f>((S114*$E$7)+S116*(1-$E$7))*$E$6</f>
        <v>57.054350801088546</v>
      </c>
      <c r="S115" s="116">
        <f>EXP(-dividend_rate*Time/n_periods)*(BinomialModel!T115-BinomialModel!T117)/(Stock*(up_factor-down_factor))</f>
        <v>1.4598350858206393</v>
      </c>
      <c r="T115" s="105">
        <f>((U114*$E$7)+U116*(1-$E$7))*$E$6</f>
        <v>57.053037784562427</v>
      </c>
      <c r="U115" s="116">
        <f>EXP(-dividend_rate*Time/n_periods)*(BinomialModel!V115-BinomialModel!V117)/(Stock*(up_factor-down_factor))</f>
        <v>1.4598014900025078</v>
      </c>
      <c r="V115" s="105">
        <f>((W114*$E$7)+W116*(1-$E$7))*$E$6</f>
        <v>57.051724798253332</v>
      </c>
      <c r="W115" s="116">
        <f>EXP(-dividend_rate*Time/n_periods)*(BinomialModel!X115-BinomialModel!X117)/(Stock*(up_factor-down_factor))</f>
        <v>1.4597678949575323</v>
      </c>
      <c r="X115" s="105">
        <f>((Y114*$E$7)+Y116*(1-$E$7))*$E$6</f>
        <v>57.050411842160557</v>
      </c>
      <c r="Y115" s="116">
        <f>EXP(-dividend_rate*Time/n_periods)*(BinomialModel!Z115-BinomialModel!Z117)/(Stock*(up_factor-down_factor))</f>
        <v>1.4597343006856931</v>
      </c>
      <c r="Z115" s="105">
        <f>((AA114*$E$7)+AA116*(1-$E$7))*$E$6</f>
        <v>57.049098916283405</v>
      </c>
      <c r="AA115" s="116">
        <f>EXP(-dividend_rate*Time/n_periods)*(BinomialModel!AB115-BinomialModel!AB117)/(Stock*(up_factor-down_factor))</f>
        <v>1.4597007071869732</v>
      </c>
      <c r="AB115" s="105">
        <f>((AC114*$E$7)+AC116*(1-$E$7))*$E$6</f>
        <v>57.047786020621189</v>
      </c>
      <c r="AC115" s="116">
        <f>EXP(-dividend_rate*Time/n_periods)*(BinomialModel!AD115-BinomialModel!AD117)/(Stock*(up_factor-down_factor))</f>
        <v>1.4596671144613576</v>
      </c>
      <c r="AD115" s="105">
        <f>((AE114*$E$7)+AE116*(1-$E$7))*$E$6</f>
        <v>57.046473155173217</v>
      </c>
    </row>
    <row r="116" spans="1:31" ht="18.75" customHeight="1">
      <c r="A116" s="107"/>
      <c r="B116" s="107"/>
      <c r="C116" s="107"/>
      <c r="D116" s="107"/>
      <c r="E116" s="107"/>
      <c r="F116" s="107"/>
      <c r="G116" s="107"/>
      <c r="H116" s="107"/>
      <c r="I116" s="107"/>
      <c r="J116" s="107"/>
      <c r="K116" s="107"/>
      <c r="L116" s="107"/>
      <c r="M116" s="107"/>
      <c r="P116" s="116">
        <f>EXP(-dividend_rate*Time/n_periods)*(BinomialModel!Q116-BinomialModel!Q118)/(Stock*(up_factor-down_factor))</f>
        <v>1.4224100265534549</v>
      </c>
      <c r="Q116" s="105">
        <f>((R115*$E$7)+R117*(1-$E$7))*$E$6</f>
        <v>52.491064171818039</v>
      </c>
      <c r="R116" s="116">
        <f>EXP(-dividend_rate*Time/n_periods)*(BinomialModel!S116-BinomialModel!S118)/(Stock*(up_factor-down_factor))</f>
        <v>1.4224967129709152</v>
      </c>
      <c r="S116" s="105">
        <f>((T115*$E$7)+T117*(1-$E$7))*$E$6</f>
        <v>52.489826344987819</v>
      </c>
      <c r="T116" s="116">
        <f>EXP(-dividend_rate*Time/n_periods)*(BinomialModel!U116-BinomialModel!U118)/(Stock*(up_factor-down_factor))</f>
        <v>1.4224828137410568</v>
      </c>
      <c r="U116" s="105">
        <f>((V115*$E$7)+V117*(1-$E$7))*$E$6</f>
        <v>52.488618373843188</v>
      </c>
      <c r="V116" s="116">
        <f>EXP(-dividend_rate*Time/n_periods)*(BinomialModel!W116-BinomialModel!W118)/(Stock*(up_factor-down_factor))</f>
        <v>1.4224500775269662</v>
      </c>
      <c r="W116" s="105">
        <f>((X115*$E$7)+X117*(1-$E$7))*$E$6</f>
        <v>52.487410430498109</v>
      </c>
      <c r="X116" s="116">
        <f>EXP(-dividend_rate*Time/n_periods)*(BinomialModel!Y116-BinomialModel!Y118)/(Stock*(up_factor-down_factor))</f>
        <v>1.4224173420662469</v>
      </c>
      <c r="Y116" s="105">
        <f>((Z115*$E$7)+Z117*(1-$E$7))*$E$6</f>
        <v>52.486202514951948</v>
      </c>
      <c r="Z116" s="116">
        <f>EXP(-dividend_rate*Time/n_periods)*(BinomialModel!AA116-BinomialModel!AA118)/(Stock*(up_factor-down_factor))</f>
        <v>1.4223846073588853</v>
      </c>
      <c r="AA116" s="105">
        <f>((AB115*$E$7)+AB117*(1-$E$7))*$E$6</f>
        <v>52.484994627204074</v>
      </c>
      <c r="AB116" s="116">
        <f>EXP(-dividend_rate*Time/n_periods)*(BinomialModel!AC116-BinomialModel!AC118)/(Stock*(up_factor-down_factor))</f>
        <v>1.4223518734048617</v>
      </c>
      <c r="AC116" s="105">
        <f>((AD115*$E$7)+AD117*(1-$E$7))*$E$6</f>
        <v>52.483786767253854</v>
      </c>
      <c r="AD116" s="116">
        <f>EXP(-dividend_rate*Time/n_periods)*(BinomialModel!AE116-BinomialModel!AE118)/(Stock*(up_factor-down_factor))</f>
        <v>1.4223191402041662</v>
      </c>
      <c r="AE116" s="105">
        <f>IF(AE33&gt;$AE$84,AE33-$AE$84,0)</f>
        <v>52.482578935100662</v>
      </c>
    </row>
    <row r="117" spans="1:31" ht="18.75" customHeight="1">
      <c r="A117" s="107"/>
      <c r="B117" s="107"/>
      <c r="C117" s="107"/>
      <c r="D117" s="107"/>
      <c r="E117" s="107"/>
      <c r="F117" s="107"/>
      <c r="G117" s="107"/>
      <c r="H117" s="107"/>
      <c r="I117" s="107"/>
      <c r="J117" s="107"/>
      <c r="K117" s="107"/>
      <c r="L117" s="107"/>
      <c r="M117" s="107"/>
      <c r="O117" s="116">
        <f>EXP(-dividend_rate*Time/n_periods)*(BinomialModel!P117-BinomialModel!P119)/(Stock*(up_factor-down_factor))</f>
        <v>1.3853676389123062</v>
      </c>
      <c r="P117" s="105">
        <f>((Q116*$E$7)+Q118*(1-$E$7))*$E$6</f>
        <v>48.044801829447444</v>
      </c>
      <c r="Q117" s="116">
        <f>EXP(-dividend_rate*Time/n_periods)*(BinomialModel!R117-BinomialModel!R119)/(Stock*(up_factor-down_factor))</f>
        <v>1.3858863726073751</v>
      </c>
      <c r="R117" s="105">
        <f>((S116*$E$7)+S118*(1-$E$7))*$E$6</f>
        <v>48.043292981486871</v>
      </c>
      <c r="S117" s="116">
        <f>EXP(-dividend_rate*Time/n_periods)*(BinomialModel!T117-BinomialModel!T119)/(Stock*(up_factor-down_factor))</f>
        <v>1.3860809668051794</v>
      </c>
      <c r="T117" s="105">
        <f>((U116*$E$7)+U118*(1-$E$7))*$E$6</f>
        <v>48.04212844946661</v>
      </c>
      <c r="U117" s="116">
        <f>EXP(-dividend_rate*Time/n_periods)*(BinomialModel!V117-BinomialModel!V119)/(Stock*(up_factor-down_factor))</f>
        <v>1.3860862607307411</v>
      </c>
      <c r="V117" s="105">
        <f>((W116*$E$7)+W118*(1-$E$7))*$E$6</f>
        <v>48.04102283512313</v>
      </c>
      <c r="W117" s="116">
        <f>EXP(-dividend_rate*Time/n_periods)*(BinomialModel!X117-BinomialModel!X119)/(Stock*(up_factor-down_factor))</f>
        <v>1.3860543621263157</v>
      </c>
      <c r="X117" s="105">
        <f>((Y116*$E$7)+Y118*(1-$E$7))*$E$6</f>
        <v>48.039917246223624</v>
      </c>
      <c r="Y117" s="116">
        <f>EXP(-dividend_rate*Time/n_periods)*(BinomialModel!Z117-BinomialModel!Z119)/(Stock*(up_factor-down_factor))</f>
        <v>1.3860224642559851</v>
      </c>
      <c r="Z117" s="105">
        <f>((AA116*$E$7)+AA118*(1-$E$7))*$E$6</f>
        <v>48.038811682767516</v>
      </c>
      <c r="AA117" s="116">
        <f>EXP(-dividend_rate*Time/n_periods)*(BinomialModel!AB117-BinomialModel!AB119)/(Stock*(up_factor-down_factor))</f>
        <v>1.3859905671197363</v>
      </c>
      <c r="AB117" s="105">
        <f>((AC116*$E$7)+AC118*(1-$E$7))*$E$6</f>
        <v>48.037706144754225</v>
      </c>
      <c r="AC117" s="116">
        <f>EXP(-dividend_rate*Time/n_periods)*(BinomialModel!AD117-BinomialModel!AD119)/(Stock*(up_factor-down_factor))</f>
        <v>1.3859586707175486</v>
      </c>
      <c r="AD117" s="105">
        <f>((AE116*$E$7)+AE118*(1-$E$7))*$E$6</f>
        <v>48.036600632183152</v>
      </c>
    </row>
    <row r="118" spans="1:31" ht="18.75" customHeight="1">
      <c r="A118" s="107"/>
      <c r="B118" s="107"/>
      <c r="C118" s="107"/>
      <c r="D118" s="107"/>
      <c r="E118" s="107"/>
      <c r="F118" s="107"/>
      <c r="G118" s="107"/>
      <c r="H118" s="107"/>
      <c r="I118" s="107"/>
      <c r="J118" s="107"/>
      <c r="K118" s="107"/>
      <c r="L118" s="107"/>
      <c r="M118" s="107"/>
      <c r="N118" s="116">
        <f>EXP(-dividend_rate*Time/n_periods)*(BinomialModel!O118-BinomialModel!O120)/(Stock*(up_factor-down_factor))</f>
        <v>1.3476972308751494</v>
      </c>
      <c r="O118" s="105">
        <f>((P117*$E$7)+P119*(1-$E$7))*$E$6</f>
        <v>43.714293573253137</v>
      </c>
      <c r="P118" s="116">
        <f>EXP(-dividend_rate*Time/n_periods)*(BinomialModel!Q118-BinomialModel!Q120)/(Stock*(up_factor-down_factor))</f>
        <v>1.349241151553108</v>
      </c>
      <c r="Q118" s="105">
        <f>((R117*$E$7)+R119*(1-$E$7))*$E$6</f>
        <v>43.711162995926458</v>
      </c>
      <c r="R118" s="116">
        <f>EXP(-dividend_rate*Time/n_periods)*(BinomialModel!S118-BinomialModel!S120)/(Stock*(up_factor-down_factor))</f>
        <v>1.3501808709475065</v>
      </c>
      <c r="S118" s="105">
        <f>((T117*$E$7)+T119*(1-$E$7))*$E$6</f>
        <v>43.709390092596223</v>
      </c>
      <c r="T118" s="116">
        <f>EXP(-dividend_rate*Time/n_periods)*(BinomialModel!U118-BinomialModel!U120)/(Stock*(up_factor-down_factor))</f>
        <v>1.3505786218437792</v>
      </c>
      <c r="U118" s="105">
        <f>((V117*$E$7)+V119*(1-$E$7))*$E$6</f>
        <v>43.708267915183569</v>
      </c>
      <c r="V118" s="116">
        <f>EXP(-dividend_rate*Time/n_periods)*(BinomialModel!W118-BinomialModel!W120)/(Stock*(up_factor-down_factor))</f>
        <v>1.3506209731517109</v>
      </c>
      <c r="W118" s="105">
        <f>((X117*$E$7)+X119*(1-$E$7))*$E$6</f>
        <v>43.707262037852665</v>
      </c>
      <c r="X118" s="116">
        <f>EXP(-dividend_rate*Time/n_periods)*(BinomialModel!Y118-BinomialModel!Y120)/(Stock*(up_factor-down_factor))</f>
        <v>1.3505898907253333</v>
      </c>
      <c r="Y118" s="105">
        <f>((Z117*$E$7)+Z119*(1-$E$7))*$E$6</f>
        <v>43.706256183670455</v>
      </c>
      <c r="Z118" s="116">
        <f>EXP(-dividend_rate*Time/n_periods)*(BinomialModel!AA118-BinomialModel!AA120)/(Stock*(up_factor-down_factor))</f>
        <v>1.3505588090142684</v>
      </c>
      <c r="AA118" s="105">
        <f>((AB117*$E$7)+AB119*(1-$E$7))*$E$6</f>
        <v>43.705250352636391</v>
      </c>
      <c r="AB118" s="116">
        <f>EXP(-dividend_rate*Time/n_periods)*(BinomialModel!AC118-BinomialModel!AC120)/(Stock*(up_factor-down_factor))</f>
        <v>1.3505277280185022</v>
      </c>
      <c r="AC118" s="105">
        <f>((AD117*$E$7)+AD119*(1-$E$7))*$E$6</f>
        <v>43.704244544749962</v>
      </c>
      <c r="AD118" s="116">
        <f>EXP(-dividend_rate*Time/n_periods)*(BinomialModel!AE118-BinomialModel!AE120)/(Stock*(up_factor-down_factor))</f>
        <v>1.3504966477380131</v>
      </c>
      <c r="AE118" s="105">
        <f>IF(AE35&gt;$AE$84,AE35-$AE$84,0)</f>
        <v>43.703238760010606</v>
      </c>
    </row>
    <row r="119" spans="1:31" ht="25.5" customHeight="1">
      <c r="A119" s="117" t="s">
        <v>26</v>
      </c>
      <c r="M119" s="116">
        <f>EXP(-dividend_rate*Time/n_periods)*(BinomialModel!N119-BinomialModel!N121)/(Stock*(up_factor-down_factor))</f>
        <v>1.3076534177648811</v>
      </c>
      <c r="N119" s="105">
        <f>((O118*$E$7)+O120*(1-$E$7))*$E$6</f>
        <v>39.501504109140321</v>
      </c>
      <c r="O119" s="116">
        <f>EXP(-dividend_rate*Time/n_periods)*(BinomialModel!P119-BinomialModel!P121)/(Stock*(up_factor-down_factor))</f>
        <v>1.310959640853258</v>
      </c>
      <c r="P119" s="105">
        <f>((Q118*$E$7)+Q120*(1-$E$7))*$E$6</f>
        <v>39.493546751893902</v>
      </c>
      <c r="Q119" s="116">
        <f>EXP(-dividend_rate*Time/n_periods)*(BinomialModel!R119-BinomialModel!R121)/(Stock*(up_factor-down_factor))</f>
        <v>1.3135024938438919</v>
      </c>
      <c r="R119" s="105">
        <f>((S118*$E$7)+S120*(1-$E$7))*$E$6</f>
        <v>39.48883599274437</v>
      </c>
      <c r="S119" s="116">
        <f>EXP(-dividend_rate*Time/n_periods)*(BinomialModel!T119-BinomialModel!T121)/(Stock*(up_factor-down_factor))</f>
        <v>1.3151682601910797</v>
      </c>
      <c r="T119" s="105">
        <f>((U118*$E$7)+U120*(1-$E$7))*$E$6</f>
        <v>39.486470317738451</v>
      </c>
      <c r="U119" s="116">
        <f>EXP(-dividend_rate*Time/n_periods)*(BinomialModel!V119-BinomialModel!V121)/(Stock*(up_factor-down_factor))</f>
        <v>1.3159484217673822</v>
      </c>
      <c r="V119" s="105">
        <f>((W118*$E$7)+W120*(1-$E$7))*$E$6</f>
        <v>39.485332026359238</v>
      </c>
      <c r="W119" s="116">
        <f>EXP(-dividend_rate*Time/n_periods)*(BinomialModel!X119-BinomialModel!X121)/(Stock*(up_factor-down_factor))</f>
        <v>1.3160631230523641</v>
      </c>
      <c r="X119" s="105">
        <f>((Y118*$E$7)+Y120*(1-$E$7))*$E$6</f>
        <v>39.484423333283914</v>
      </c>
      <c r="Y119" s="116">
        <f>EXP(-dividend_rate*Time/n_periods)*(BinomialModel!Z119-BinomialModel!Z121)/(Stock*(up_factor-down_factor))</f>
        <v>1.3160328359207825</v>
      </c>
      <c r="Z119" s="105">
        <f>((AA118*$E$7)+AA120*(1-$E$7))*$E$6</f>
        <v>39.483514661120751</v>
      </c>
      <c r="AA119" s="116">
        <f>EXP(-dividend_rate*Time/n_periods)*(BinomialModel!AB119-BinomialModel!AB121)/(Stock*(up_factor-down_factor))</f>
        <v>1.3160025494862111</v>
      </c>
      <c r="AB119" s="105">
        <f>((AC118*$E$7)+AC120*(1-$E$7))*$E$6</f>
        <v>39.482606009869244</v>
      </c>
      <c r="AC119" s="116">
        <f>EXP(-dividend_rate*Time/n_periods)*(BinomialModel!AD119-BinomialModel!AD121)/(Stock*(up_factor-down_factor))</f>
        <v>1.3159722637486353</v>
      </c>
      <c r="AD119" s="105">
        <f>((AE118*$E$7)+AE120*(1-$E$7))*$E$6</f>
        <v>39.481697379528924</v>
      </c>
    </row>
    <row r="120" spans="1:31" ht="18.75" customHeight="1">
      <c r="A120" s="107"/>
      <c r="B120" s="107"/>
      <c r="C120" s="107"/>
      <c r="D120" s="107"/>
      <c r="E120" s="107"/>
      <c r="F120" s="107"/>
      <c r="G120" s="107"/>
      <c r="H120" s="107"/>
      <c r="I120" s="107"/>
      <c r="J120" s="107"/>
      <c r="K120" s="107"/>
      <c r="L120" s="116">
        <f>EXP(-dividend_rate*Time/n_periods)*(BinomialModel!M120-BinomialModel!M122)/(Stock*(up_factor-down_factor))</f>
        <v>1.2629293493837082</v>
      </c>
      <c r="M120" s="105">
        <f>((N119*$E$7)+N121*(1-$E$7))*$E$6</f>
        <v>35.413854744419915</v>
      </c>
      <c r="N120" s="116">
        <f>EXP(-dividend_rate*Time/n_periods)*(BinomialModel!O120-BinomialModel!O122)/(Stock*(up_factor-down_factor))</f>
        <v>1.2686040332812623</v>
      </c>
      <c r="O120" s="105">
        <f>((P119*$E$7)+P121*(1-$E$7))*$E$6</f>
        <v>35.395561083172595</v>
      </c>
      <c r="P120" s="116">
        <f>EXP(-dividend_rate*Time/n_periods)*(BinomialModel!Q120-BinomialModel!Q122)/(Stock*(up_factor-down_factor))</f>
        <v>1.2736274120308047</v>
      </c>
      <c r="Q120" s="105">
        <f>((R119*$E$7)+R121*(1-$E$7))*$E$6</f>
        <v>35.382900573742766</v>
      </c>
      <c r="R120" s="116">
        <f>EXP(-dividend_rate*Time/n_periods)*(BinomialModel!S120-BinomialModel!S122)/(Stock*(up_factor-down_factor))</f>
        <v>1.277732340021811</v>
      </c>
      <c r="S120" s="105">
        <f>((T119*$E$7)+T121*(1-$E$7))*$E$6</f>
        <v>35.375327202712036</v>
      </c>
      <c r="T120" s="116">
        <f>EXP(-dividend_rate*Time/n_periods)*(BinomialModel!U120-BinomialModel!U122)/(Stock*(up_factor-down_factor))</f>
        <v>1.2806336539400283</v>
      </c>
      <c r="U120" s="105">
        <f>((V119*$E$7)+V121*(1-$E$7))*$E$6</f>
        <v>35.37174988683951</v>
      </c>
      <c r="V120" s="116">
        <f>EXP(-dividend_rate*Time/n_periods)*(BinomialModel!W120-BinomialModel!W122)/(Stock*(up_factor-down_factor))</f>
        <v>1.2821327382483352</v>
      </c>
      <c r="W120" s="105">
        <f>((X119*$E$7)+X121*(1-$E$7))*$E$6</f>
        <v>35.370482593818778</v>
      </c>
      <c r="X120" s="116">
        <f>EXP(-dividend_rate*Time/n_periods)*(BinomialModel!Y120-BinomialModel!Y122)/(Stock*(up_factor-down_factor))</f>
        <v>1.2823894921582808</v>
      </c>
      <c r="Y120" s="105">
        <f>((Z119*$E$7)+Z121*(1-$E$7))*$E$6</f>
        <v>35.369668597558551</v>
      </c>
      <c r="Z120" s="116">
        <f>EXP(-dividend_rate*Time/n_periods)*(BinomialModel!AA120-BinomialModel!AA122)/(Stock*(up_factor-down_factor))</f>
        <v>1.2823599799725749</v>
      </c>
      <c r="AA120" s="105">
        <f>((AB119*$E$7)+AB121*(1-$E$7))*$E$6</f>
        <v>35.368854620031165</v>
      </c>
      <c r="AB120" s="116">
        <f>EXP(-dividend_rate*Time/n_periods)*(BinomialModel!AC120-BinomialModel!AC122)/(Stock*(up_factor-down_factor))</f>
        <v>1.2823304684660439</v>
      </c>
      <c r="AC120" s="105">
        <f>((AD119*$E$7)+AD121*(1-$E$7))*$E$6</f>
        <v>35.368040661236194</v>
      </c>
      <c r="AD120" s="116">
        <f>EXP(-dividend_rate*Time/n_periods)*(BinomialModel!AE120-BinomialModel!AE122)/(Stock*(up_factor-down_factor))</f>
        <v>1.2823009576386746</v>
      </c>
      <c r="AE120" s="105">
        <f>IF(AE37&gt;$AE$84,AE37-$AE$84,0)</f>
        <v>35.367226721173211</v>
      </c>
    </row>
    <row r="121" spans="1:31" ht="18.75" customHeight="1">
      <c r="A121" s="107"/>
      <c r="B121" s="107"/>
      <c r="C121" s="107"/>
      <c r="D121" s="107"/>
      <c r="E121" s="107"/>
      <c r="F121" s="107"/>
      <c r="G121" s="107"/>
      <c r="H121" s="107"/>
      <c r="I121" s="107"/>
      <c r="J121" s="107"/>
      <c r="K121" s="116">
        <f>EXP(-dividend_rate*Time/n_periods)*(BinomialModel!L121-BinomialModel!L123)/(Stock*(up_factor-down_factor))</f>
        <v>1.2110876717905721</v>
      </c>
      <c r="L121" s="105">
        <f>((M120*$E$7)+M122*(1-$E$7))*$E$6</f>
        <v>31.465978754683583</v>
      </c>
      <c r="M121" s="116">
        <f>EXP(-dividend_rate*Time/n_periods)*(BinomialModel!N121-BinomialModel!N123)/(Stock*(up_factor-down_factor))</f>
        <v>1.2193204252482852</v>
      </c>
      <c r="N121" s="105">
        <f>((O120*$E$7)+O122*(1-$E$7))*$E$6</f>
        <v>31.429944174968934</v>
      </c>
      <c r="O121" s="116">
        <f>EXP(-dividend_rate*Time/n_periods)*(BinomialModel!P121-BinomialModel!P123)/(Stock*(up_factor-down_factor))</f>
        <v>1.2273028666369932</v>
      </c>
      <c r="P121" s="105">
        <f>((Q120*$E$7)+Q122*(1-$E$7))*$E$6</f>
        <v>31.401578980713847</v>
      </c>
      <c r="Q121" s="116">
        <f>EXP(-dividend_rate*Time/n_periods)*(BinomialModel!R121-BinomialModel!R123)/(Stock*(up_factor-down_factor))</f>
        <v>1.2347432165158156</v>
      </c>
      <c r="R121" s="105">
        <f>((S120*$E$7)+S122*(1-$E$7))*$E$6</f>
        <v>31.381172326888514</v>
      </c>
      <c r="S121" s="116">
        <f>EXP(-dividend_rate*Time/n_periods)*(BinomialModel!T121-BinomialModel!T123)/(Stock*(up_factor-down_factor))</f>
        <v>1.2412248302923963</v>
      </c>
      <c r="T121" s="105">
        <f>((U120*$E$7)+U122*(1-$E$7))*$E$6</f>
        <v>31.368524620936938</v>
      </c>
      <c r="U121" s="116">
        <f>EXP(-dividend_rate*Time/n_periods)*(BinomialModel!V121-BinomialModel!V123)/(Stock*(up_factor-down_factor))</f>
        <v>1.2461929812627779</v>
      </c>
      <c r="V121" s="105">
        <f>((W120*$E$7)+W122*(1-$E$7))*$E$6</f>
        <v>31.362570740934689</v>
      </c>
      <c r="W121" s="116">
        <f>EXP(-dividend_rate*Time/n_periods)*(BinomialModel!X121-BinomialModel!X123)/(Stock*(up_factor-down_factor))</f>
        <v>1.2490410083512242</v>
      </c>
      <c r="X121" s="105">
        <f>((Y120*$E$7)+Y122*(1-$E$7))*$E$6</f>
        <v>31.36095404810677</v>
      </c>
      <c r="Y121" s="116">
        <f>EXP(-dividend_rate*Time/n_periods)*(BinomialModel!Z121-BinomialModel!Z123)/(Stock*(up_factor-down_factor))</f>
        <v>1.2495774562726196</v>
      </c>
      <c r="Z121" s="105">
        <f>((AA120*$E$7)+AA122*(1-$E$7))*$E$6</f>
        <v>31.360232324866367</v>
      </c>
      <c r="AA121" s="116">
        <f>EXP(-dividend_rate*Time/n_periods)*(BinomialModel!AB121-BinomialModel!AB123)/(Stock*(up_factor-down_factor))</f>
        <v>1.2495486992045302</v>
      </c>
      <c r="AB121" s="105">
        <f>((AC120*$E$7)+AC122*(1-$E$7))*$E$6</f>
        <v>31.359510618235287</v>
      </c>
      <c r="AC121" s="116">
        <f>EXP(-dividend_rate*Time/n_periods)*(BinomialModel!AD121-BinomialModel!AD123)/(Stock*(up_factor-down_factor))</f>
        <v>1.2495199427982384</v>
      </c>
      <c r="AD121" s="105">
        <f>((AE120*$E$7)+AE122*(1-$E$7))*$E$6</f>
        <v>31.358788928213155</v>
      </c>
    </row>
    <row r="122" spans="1:31" ht="18.75" customHeight="1">
      <c r="A122" s="107"/>
      <c r="B122" s="107"/>
      <c r="C122" s="107"/>
      <c r="D122" s="107"/>
      <c r="E122" s="107"/>
      <c r="F122" s="107"/>
      <c r="G122" s="107"/>
      <c r="H122" s="107"/>
      <c r="I122" s="107"/>
      <c r="J122" s="116">
        <f>EXP(-dividend_rate*Time/n_periods)*(BinomialModel!K122-BinomialModel!K124)/(Stock*(up_factor-down_factor))</f>
        <v>1.1501358401111885</v>
      </c>
      <c r="K122" s="105">
        <f>((L121*$E$7)+L123*(1-$E$7))*$E$6</f>
        <v>27.68012945934893</v>
      </c>
      <c r="L122" s="116">
        <f>EXP(-dividend_rate*Time/n_periods)*(BinomialModel!M122-BinomialModel!M124)/(Stock*(up_factor-down_factor))</f>
        <v>1.1605443521336978</v>
      </c>
      <c r="M122" s="105">
        <f>((N121*$E$7)+N123*(1-$E$7))*$E$6</f>
        <v>27.618356489539398</v>
      </c>
      <c r="N122" s="116">
        <f>EXP(-dividend_rate*Time/n_periods)*(BinomialModel!O122-BinomialModel!O124)/(Stock*(up_factor-down_factor))</f>
        <v>1.1712695643915505</v>
      </c>
      <c r="O122" s="105">
        <f>((P121*$E$7)+P123*(1-$E$7))*$E$6</f>
        <v>27.565035541578084</v>
      </c>
      <c r="P122" s="116">
        <f>EXP(-dividend_rate*Time/n_periods)*(BinomialModel!Q122-BinomialModel!Q124)/(Stock*(up_factor-down_factor))</f>
        <v>1.1821352077776348</v>
      </c>
      <c r="Q122" s="105">
        <f>((R121*$E$7)+R123*(1-$E$7))*$E$6</f>
        <v>27.521367960933407</v>
      </c>
      <c r="R122" s="116">
        <f>EXP(-dividend_rate*Time/n_periods)*(BinomialModel!S122-BinomialModel!S124)/(Stock*(up_factor-down_factor))</f>
        <v>1.1928255056704313</v>
      </c>
      <c r="S122" s="105">
        <f>((T121*$E$7)+T123*(1-$E$7))*$E$6</f>
        <v>27.488456704607735</v>
      </c>
      <c r="T122" s="116">
        <f>EXP(-dividend_rate*Time/n_periods)*(BinomialModel!U122-BinomialModel!U124)/(Stock*(up_factor-down_factor))</f>
        <v>1.2027957043549966</v>
      </c>
      <c r="U122" s="105">
        <f>((V121*$E$7)+V123*(1-$E$7))*$E$6</f>
        <v>27.466970875010858</v>
      </c>
      <c r="V122" s="116">
        <f>EXP(-dividend_rate*Time/n_periods)*(BinomialModel!W122-BinomialModel!W124)/(Stock*(up_factor-down_factor))</f>
        <v>1.2111440862581941</v>
      </c>
      <c r="W122" s="105">
        <f>((X121*$E$7)+X123*(1-$E$7))*$E$6</f>
        <v>27.456450404751806</v>
      </c>
      <c r="X122" s="116">
        <f>EXP(-dividend_rate*Time/n_periods)*(BinomialModel!Y122-BinomialModel!Y124)/(Stock*(up_factor-down_factor))</f>
        <v>1.2165170489055293</v>
      </c>
      <c r="Y122" s="105">
        <f>((Z121*$E$7)+Z123*(1-$E$7))*$E$6</f>
        <v>27.454051581392665</v>
      </c>
      <c r="Z122" s="116">
        <f>EXP(-dividend_rate*Time/n_periods)*(BinomialModel!AA122-BinomialModel!AA124)/(Stock*(up_factor-down_factor))</f>
        <v>1.2176049700756801</v>
      </c>
      <c r="AA122" s="105">
        <f>((AB121*$E$7)+AB123*(1-$E$7))*$E$6</f>
        <v>27.453419769393605</v>
      </c>
      <c r="AB122" s="116">
        <f>EXP(-dividend_rate*Time/n_periods)*(BinomialModel!AC122-BinomialModel!AC124)/(Stock*(up_factor-down_factor))</f>
        <v>1.2175769488042878</v>
      </c>
      <c r="AC122" s="105">
        <f>((AD121*$E$7)+AD123*(1-$E$7))*$E$6</f>
        <v>27.452787971934715</v>
      </c>
      <c r="AD122" s="116">
        <f>EXP(-dividend_rate*Time/n_periods)*(BinomialModel!AE122-BinomialModel!AE124)/(Stock*(up_factor-down_factor))</f>
        <v>1.2175489281777592</v>
      </c>
      <c r="AE122" s="105">
        <f>IF(AE39&gt;$AE$84,AE39-$AE$84,0)</f>
        <v>27.452156189015653</v>
      </c>
    </row>
    <row r="123" spans="1:31" ht="18.75" customHeight="1">
      <c r="A123" s="107"/>
      <c r="B123" s="107"/>
      <c r="C123" s="107"/>
      <c r="D123" s="107"/>
      <c r="E123" s="107"/>
      <c r="F123" s="107"/>
      <c r="G123" s="107"/>
      <c r="H123" s="107"/>
      <c r="I123" s="116">
        <f>EXP(-dividend_rate*Time/n_periods)*(BinomialModel!J123-BinomialModel!J125)/(Stock*(up_factor-down_factor))</f>
        <v>1.0790475797868744</v>
      </c>
      <c r="J123" s="105">
        <f>((K122*$E$7)+K124*(1-$E$7))*$E$6</f>
        <v>24.084789707170728</v>
      </c>
      <c r="K123" s="116">
        <f>EXP(-dividend_rate*Time/n_periods)*(BinomialModel!L123-BinomialModel!L125)/(Stock*(up_factor-down_factor))</f>
        <v>1.0907167472179535</v>
      </c>
      <c r="L123" s="105">
        <f>((M122*$E$7)+M124*(1-$E$7))*$E$6</f>
        <v>23.990475998683966</v>
      </c>
      <c r="M123" s="116">
        <f>EXP(-dividend_rate*Time/n_periods)*(BinomialModel!N123-BinomialModel!N125)/(Stock*(up_factor-down_factor))</f>
        <v>1.103245135380015</v>
      </c>
      <c r="N123" s="105">
        <f>((O122*$E$7)+O124*(1-$E$7))*$E$6</f>
        <v>23.903624312498728</v>
      </c>
      <c r="O123" s="116">
        <f>EXP(-dividend_rate*Time/n_periods)*(BinomialModel!P123-BinomialModel!P125)/(Stock*(up_factor-down_factor))</f>
        <v>1.1166427273055406</v>
      </c>
      <c r="P123" s="105">
        <f>((Q122*$E$7)+Q124*(1-$E$7))*$E$6</f>
        <v>23.825987076267797</v>
      </c>
      <c r="Q123" s="116">
        <f>EXP(-dividend_rate*Time/n_periods)*(BinomialModel!R123-BinomialModel!R125)/(Stock*(up_factor-down_factor))</f>
        <v>1.1308458139999371</v>
      </c>
      <c r="R123" s="105">
        <f>((S122*$E$7)+S124*(1-$E$7))*$E$6</f>
        <v>23.759654469003845</v>
      </c>
      <c r="S123" s="116">
        <f>EXP(-dividend_rate*Time/n_periods)*(BinomialModel!T123-BinomialModel!T125)/(Stock*(up_factor-down_factor))</f>
        <v>1.1456369142454552</v>
      </c>
      <c r="T123" s="105">
        <f>((U122*$E$7)+U124*(1-$E$7))*$E$6</f>
        <v>23.70699865894985</v>
      </c>
      <c r="U123" s="116">
        <f>EXP(-dividend_rate*Time/n_periods)*(BinomialModel!V123-BinomialModel!V125)/(Stock*(up_factor-down_factor))</f>
        <v>1.1604810046291332</v>
      </c>
      <c r="V123" s="105">
        <f>((W122*$E$7)+W124*(1-$E$7))*$E$6</f>
        <v>23.670378604122785</v>
      </c>
      <c r="W123" s="116">
        <f>EXP(-dividend_rate*Time/n_periods)*(BinomialModel!X123-BinomialModel!X125)/(Stock*(up_factor-down_factor))</f>
        <v>1.1741888777623128</v>
      </c>
      <c r="X123" s="105">
        <f>((Y122*$E$7)+Y124*(1-$E$7))*$E$6</f>
        <v>23.651182313347704</v>
      </c>
      <c r="Y123" s="116">
        <f>EXP(-dividend_rate*Time/n_periods)*(BinomialModel!Z123-BinomialModel!Z125)/(Stock*(up_factor-down_factor))</f>
        <v>1.184274537143021</v>
      </c>
      <c r="Z123" s="105">
        <f>((AA122*$E$7)+AA124*(1-$E$7))*$E$6</f>
        <v>23.647149336918741</v>
      </c>
      <c r="AA123" s="116">
        <f>EXP(-dividend_rate*Time/n_periods)*(BinomialModel!AB123-BinomialModel!AB125)/(Stock*(up_factor-down_factor))</f>
        <v>1.1864505523133801</v>
      </c>
      <c r="AB123" s="105">
        <f>((AC122*$E$7)+AC124*(1-$E$7))*$E$6</f>
        <v>23.646605134812532</v>
      </c>
      <c r="AC123" s="116">
        <f>EXP(-dividend_rate*Time/n_periods)*(BinomialModel!AD123-BinomialModel!AD125)/(Stock*(up_factor-down_factor))</f>
        <v>1.1864232480121206</v>
      </c>
      <c r="AD123" s="105">
        <f>((AE122*$E$7)+AE124*(1-$E$7))*$E$6</f>
        <v>23.646060945230289</v>
      </c>
    </row>
    <row r="124" spans="1:31" ht="18.75" customHeight="1">
      <c r="A124" s="107"/>
      <c r="B124" s="107"/>
      <c r="C124" s="107"/>
      <c r="D124" s="107"/>
      <c r="E124" s="107"/>
      <c r="F124" s="107"/>
      <c r="G124" s="107"/>
      <c r="H124" s="116">
        <f>EXP(-dividend_rate*Time/n_periods)*(BinomialModel!I124-BinomialModel!I126)/(Stock*(up_factor-down_factor))</f>
        <v>0.99806679216113081</v>
      </c>
      <c r="I124" s="105">
        <f>((J123*$E$7)+J125*(1-$E$7))*$E$6</f>
        <v>20.711651106623414</v>
      </c>
      <c r="J124" s="116">
        <f>EXP(-dividend_rate*Time/n_periods)*(BinomialModel!K124-BinomialModel!K126)/(Stock*(up_factor-down_factor))</f>
        <v>1.0097529167995727</v>
      </c>
      <c r="K124" s="105">
        <f>((L123*$E$7)+L125*(1-$E$7))*$E$6</f>
        <v>20.580855110520524</v>
      </c>
      <c r="L124" s="116">
        <f>EXP(-dividend_rate*Time/n_periods)*(BinomialModel!M124-BinomialModel!M126)/(Stock*(up_factor-down_factor))</f>
        <v>1.0226502327255307</v>
      </c>
      <c r="M124" s="105">
        <f>((N123*$E$7)+N125*(1-$E$7))*$E$6</f>
        <v>20.45483504933809</v>
      </c>
      <c r="N124" s="116">
        <f>EXP(-dividend_rate*Time/n_periods)*(BinomialModel!O124-BinomialModel!O126)/(Stock*(up_factor-down_factor))</f>
        <v>1.0369353951646376</v>
      </c>
      <c r="O124" s="105">
        <f>((P123*$E$7)+P125*(1-$E$7))*$E$6</f>
        <v>20.335312161038534</v>
      </c>
      <c r="P124" s="116">
        <f>EXP(-dividend_rate*Time/n_periods)*(BinomialModel!Q124-BinomialModel!Q126)/(Stock*(up_factor-down_factor))</f>
        <v>1.0527998755844208</v>
      </c>
      <c r="Q124" s="105">
        <f>((R123*$E$7)+R125*(1-$E$7))*$E$6</f>
        <v>20.224575821483704</v>
      </c>
      <c r="R124" s="116">
        <f>EXP(-dividend_rate*Time/n_periods)*(BinomialModel!S124-BinomialModel!S126)/(Stock*(up_factor-down_factor))</f>
        <v>1.0704255873277813</v>
      </c>
      <c r="S124" s="105">
        <f>((T123*$E$7)+T125*(1-$E$7))*$E$6</f>
        <v>20.125678135586089</v>
      </c>
      <c r="T124" s="116">
        <f>EXP(-dividend_rate*Time/n_periods)*(BinomialModel!U124-BinomialModel!U126)/(Stock*(up_factor-down_factor))</f>
        <v>1.0899139564817637</v>
      </c>
      <c r="U124" s="105">
        <f>((V123*$E$7)+V125*(1-$E$7))*$E$6</f>
        <v>20.042650726894333</v>
      </c>
      <c r="V124" s="116">
        <f>EXP(-dividend_rate*Time/n_periods)*(BinomialModel!W124-BinomialModel!W126)/(Stock*(up_factor-down_factor))</f>
        <v>1.1110872875896971</v>
      </c>
      <c r="W124" s="105">
        <f>((X123*$E$7)+X125*(1-$E$7))*$E$6</f>
        <v>19.980599427464821</v>
      </c>
      <c r="X124" s="116">
        <f>EXP(-dividend_rate*Time/n_periods)*(BinomialModel!Y124-BinomialModel!Y126)/(Stock*(up_factor-down_factor))</f>
        <v>1.132916590892397</v>
      </c>
      <c r="Y124" s="105">
        <f>((Z123*$E$7)+Z125*(1-$E$7))*$E$6</f>
        <v>19.945035707778519</v>
      </c>
      <c r="Z124" s="116">
        <f>EXP(-dividend_rate*Time/n_periods)*(BinomialModel!AA124-BinomialModel!AA126)/(Stock*(up_factor-down_factor))</f>
        <v>1.1517696383602194</v>
      </c>
      <c r="AA124" s="105">
        <f>((AB123*$E$7)+AB125*(1-$E$7))*$E$6</f>
        <v>19.937688644773932</v>
      </c>
      <c r="AB124" s="116">
        <f>EXP(-dividend_rate*Time/n_periods)*(BinomialModel!AC124-BinomialModel!AC126)/(Stock*(up_factor-down_factor))</f>
        <v>1.1560932713647103</v>
      </c>
      <c r="AC124" s="105">
        <f>((AD123*$E$7)+AD125*(1-$E$7))*$E$6</f>
        <v>19.937229810095854</v>
      </c>
      <c r="AD124" s="116">
        <f>EXP(-dividend_rate*Time/n_periods)*(BinomialModel!AE124-BinomialModel!AE126)/(Stock*(up_factor-down_factor))</f>
        <v>1.1560666656887291</v>
      </c>
      <c r="AE124" s="105">
        <f>IF(AE41&gt;$AE$84,AE41-$AE$84,0)</f>
        <v>19.936770985977148</v>
      </c>
    </row>
    <row r="125" spans="1:31" ht="18.75" customHeight="1">
      <c r="A125" s="107"/>
      <c r="B125" s="107"/>
      <c r="C125" s="107"/>
      <c r="D125" s="107"/>
      <c r="E125" s="107"/>
      <c r="F125" s="107"/>
      <c r="G125" s="116">
        <f>EXP(-dividend_rate*Time/n_periods)*(BinomialModel!H125-BinomialModel!H127)/(Stock*(up_factor-down_factor))</f>
        <v>0.90872278325320766</v>
      </c>
      <c r="H125" s="105">
        <f>((I124*$E$7)+I126*(1-$E$7))*$E$6</f>
        <v>17.591643124503928</v>
      </c>
      <c r="I125" s="116">
        <f>EXP(-dividend_rate*Time/n_periods)*(BinomialModel!J125-BinomialModel!J127)/(Stock*(up_factor-down_factor))</f>
        <v>0.91913444729364147</v>
      </c>
      <c r="J125" s="105">
        <f>((K124*$E$7)+K126*(1-$E$7))*$E$6</f>
        <v>17.42431140783718</v>
      </c>
      <c r="K125" s="116">
        <f>EXP(-dividend_rate*Time/n_periods)*(BinomialModel!L125-BinomialModel!L127)/(Stock*(up_factor-down_factor))</f>
        <v>0.93083682995136796</v>
      </c>
      <c r="L125" s="105">
        <f>((M124*$E$7)+M126*(1-$E$7))*$E$6</f>
        <v>17.257969145742667</v>
      </c>
      <c r="M125" s="116">
        <f>EXP(-dividend_rate*Time/n_periods)*(BinomialModel!N125-BinomialModel!N127)/(Stock*(up_factor-down_factor))</f>
        <v>0.94409334513895582</v>
      </c>
      <c r="N125" s="105">
        <f>((O124*$E$7)+O126*(1-$E$7))*$E$6</f>
        <v>17.093785320509845</v>
      </c>
      <c r="O125" s="116">
        <f>EXP(-dividend_rate*Time/n_periods)*(BinomialModel!P125-BinomialModel!P127)/(Stock*(up_factor-down_factor))</f>
        <v>0.95924305354943185</v>
      </c>
      <c r="P125" s="105">
        <f>((Q124*$E$7)+Q126*(1-$E$7))*$E$6</f>
        <v>16.933450738995109</v>
      </c>
      <c r="Q125" s="116">
        <f>EXP(-dividend_rate*Time/n_periods)*(BinomialModel!R125-BinomialModel!R127)/(Stock*(up_factor-down_factor))</f>
        <v>0.97672607641341458</v>
      </c>
      <c r="R125" s="105">
        <f>((S124*$E$7)+S126*(1-$E$7))*$E$6</f>
        <v>16.779448827352322</v>
      </c>
      <c r="S125" s="116">
        <f>EXP(-dividend_rate*Time/n_periods)*(BinomialModel!T125-BinomialModel!T127)/(Stock*(up_factor-down_factor))</f>
        <v>0.9971135028156255</v>
      </c>
      <c r="T125" s="105">
        <f>((U124*$E$7)+U126*(1-$E$7))*$E$6</f>
        <v>16.635494168152121</v>
      </c>
      <c r="U125" s="116">
        <f>EXP(-dividend_rate*Time/n_periods)*(BinomialModel!V125-BinomialModel!V127)/(Stock*(up_factor-down_factor))</f>
        <v>1.0211269285719262</v>
      </c>
      <c r="V125" s="105">
        <f>((W124*$E$7)+W126*(1-$E$7))*$E$6</f>
        <v>16.507248179746334</v>
      </c>
      <c r="W125" s="116">
        <f>EXP(-dividend_rate*Time/n_periods)*(BinomialModel!X125-BinomialModel!X127)/(Stock*(up_factor-down_factor))</f>
        <v>1.0495743043465426</v>
      </c>
      <c r="X125" s="105">
        <f>((Y124*$E$7)+Y126*(1-$E$7))*$E$6</f>
        <v>16.403439316510273</v>
      </c>
      <c r="Y125" s="116">
        <f>EXP(-dividend_rate*Time/n_periods)*(BinomialModel!Z125-BinomialModel!Z127)/(Stock*(up_factor-down_factor))</f>
        <v>1.0828464069333648</v>
      </c>
      <c r="Z125" s="105">
        <f>((AA124*$E$7)+AA126*(1-$E$7))*$E$6</f>
        <v>16.337152073728252</v>
      </c>
      <c r="AA125" s="116">
        <f>EXP(-dividend_rate*Time/n_periods)*(BinomialModel!AB125-BinomialModel!AB127)/(Stock*(up_factor-down_factor))</f>
        <v>1.1179495361715868</v>
      </c>
      <c r="AB125" s="105">
        <f>((AC124*$E$7)+AC126*(1-$E$7))*$E$6</f>
        <v>16.32317630280831</v>
      </c>
      <c r="AC125" s="116">
        <f>EXP(-dividend_rate*Time/n_periods)*(BinomialModel!AD125-BinomialModel!AD127)/(Stock*(up_factor-down_factor))</f>
        <v>1.1265127311784737</v>
      </c>
      <c r="AD125" s="105">
        <f>((AE124*$E$7)+AE126*(1-$E$7))*$E$6</f>
        <v>16.322800650470786</v>
      </c>
    </row>
    <row r="126" spans="1:31" ht="18.75" customHeight="1">
      <c r="A126" s="107"/>
      <c r="B126" s="107"/>
      <c r="C126" s="107"/>
      <c r="D126" s="107"/>
      <c r="E126" s="107"/>
      <c r="F126" s="116">
        <f>EXP(-dividend_rate*Time/n_periods)*(BinomialModel!G126-BinomialModel!G128)/(Stock*(up_factor-down_factor))</f>
        <v>0.81358419147373195</v>
      </c>
      <c r="G126" s="105">
        <f>((H125*$E$7)+H127*(1-$E$7))*$E$6</f>
        <v>14.750914529278035</v>
      </c>
      <c r="H126" s="116">
        <f>EXP(-dividend_rate*Time/n_periods)*(BinomialModel!I126-BinomialModel!I128)/(Stock*(up_factor-down_factor))</f>
        <v>0.82164313987872495</v>
      </c>
      <c r="I126" s="105">
        <f>((J125*$E$7)+J127*(1-$E$7))*$E$6</f>
        <v>14.551031005156114</v>
      </c>
      <c r="J126" s="116">
        <f>EXP(-dividend_rate*Time/n_periods)*(BinomialModel!K126-BinomialModel!K128)/(Stock*(up_factor-down_factor))</f>
        <v>0.83081270164795074</v>
      </c>
      <c r="K126" s="105">
        <f>((L125*$E$7)+L127*(1-$E$7))*$E$6</f>
        <v>14.348101786185495</v>
      </c>
      <c r="L126" s="116">
        <f>EXP(-dividend_rate*Time/n_periods)*(BinomialModel!M126-BinomialModel!M128)/(Stock*(up_factor-down_factor))</f>
        <v>0.84135044609474252</v>
      </c>
      <c r="M126" s="105">
        <f>((N125*$E$7)+N127*(1-$E$7))*$E$6</f>
        <v>14.142472359805785</v>
      </c>
      <c r="N126" s="116">
        <f>EXP(-dividend_rate*Time/n_periods)*(BinomialModel!O126-BinomialModel!O128)/(Stock*(up_factor-down_factor))</f>
        <v>0.85360432094368843</v>
      </c>
      <c r="O126" s="105">
        <f>((P125*$E$7)+P127*(1-$E$7))*$E$6</f>
        <v>13.934773550248966</v>
      </c>
      <c r="P126" s="116">
        <f>EXP(-dividend_rate*Time/n_periods)*(BinomialModel!Q126-BinomialModel!Q128)/(Stock*(up_factor-down_factor))</f>
        <v>0.86805719375283719</v>
      </c>
      <c r="Q126" s="105">
        <f>((R125*$E$7)+R127*(1-$E$7))*$E$6</f>
        <v>13.726112865609151</v>
      </c>
      <c r="R126" s="116">
        <f>EXP(-dividend_rate*Time/n_periods)*(BinomialModel!S126-BinomialModel!S128)/(Stock*(up_factor-down_factor))</f>
        <v>0.88540077986465671</v>
      </c>
      <c r="S126" s="105">
        <f>((T125*$E$7)+T127*(1-$E$7))*$E$6</f>
        <v>13.518419541061247</v>
      </c>
      <c r="T126" s="116">
        <f>EXP(-dividend_rate*Time/n_periods)*(BinomialModel!U126-BinomialModel!U128)/(Stock*(up_factor-down_factor))</f>
        <v>0.90666380655574019</v>
      </c>
      <c r="U126" s="105">
        <f>((V125*$E$7)+V127*(1-$E$7))*$E$6</f>
        <v>13.315099142263218</v>
      </c>
      <c r="V126" s="116">
        <f>EXP(-dividend_rate*Time/n_periods)*(BinomialModel!W126-BinomialModel!W128)/(Stock*(up_factor-down_factor))</f>
        <v>0.93344414476327531</v>
      </c>
      <c r="W126" s="105">
        <f>((X125*$E$7)+X127*(1-$E$7))*$E$6</f>
        <v>13.122354335883022</v>
      </c>
      <c r="X126" s="116">
        <f>EXP(-dividend_rate*Time/n_periods)*(BinomialModel!Y126-BinomialModel!Y128)/(Stock*(up_factor-down_factor))</f>
        <v>0.96833968668563108</v>
      </c>
      <c r="Y126" s="105">
        <f>((Z125*$E$7)+Z127*(1-$E$7))*$E$6</f>
        <v>12.952048086153773</v>
      </c>
      <c r="Z126" s="116">
        <f>EXP(-dividend_rate*Time/n_periods)*(BinomialModel!AA126-BinomialModel!AA128)/(Stock*(up_factor-down_factor))</f>
        <v>1.0156613150013398</v>
      </c>
      <c r="AA126" s="105">
        <f>((AB125*$E$7)+AB127*(1-$E$7))*$E$6</f>
        <v>12.828329589777788</v>
      </c>
      <c r="AB126" s="116">
        <f>EXP(-dividend_rate*Time/n_periods)*(BinomialModel!AC126-BinomialModel!AC128)/(Stock*(up_factor-down_factor))</f>
        <v>1.0807559442383459</v>
      </c>
      <c r="AC126" s="105">
        <f>((AD125*$E$7)+AD127*(1-$E$7))*$E$6</f>
        <v>12.801182901533158</v>
      </c>
      <c r="AD126" s="116">
        <f>EXP(-dividend_rate*Time/n_periods)*(BinomialModel!AE126-BinomialModel!AE128)/(Stock*(up_factor-down_factor))</f>
        <v>1.0976890575698541</v>
      </c>
      <c r="AE126" s="105">
        <f>IF(AE43&gt;$AE$84,AE43-$AE$84,0)</f>
        <v>12.800888302357663</v>
      </c>
    </row>
    <row r="127" spans="1:31" ht="18.75" customHeight="1">
      <c r="A127" s="107"/>
      <c r="B127" s="107"/>
      <c r="C127" s="107"/>
      <c r="D127" s="107"/>
      <c r="E127" s="116">
        <f>EXP(-dividend_rate*Time/n_periods)*(BinomialModel!F127-BinomialModel!F129)/(Stock*(up_factor-down_factor))</f>
        <v>0.71584566415718198</v>
      </c>
      <c r="F127" s="105">
        <f>((G126*$E$7)+G128*(1-$E$7))*$E$6</f>
        <v>12.207584081526512</v>
      </c>
      <c r="G127" s="116">
        <f>EXP(-dividend_rate*Time/n_periods)*(BinomialModel!H127-BinomialModel!H129)/(Stock*(up_factor-down_factor))</f>
        <v>0.72086032563093116</v>
      </c>
      <c r="H127" s="105">
        <f>((I126*$E$7)+I128*(1-$E$7))*$E$6</f>
        <v>11.98250364692554</v>
      </c>
      <c r="I127" s="116">
        <f>EXP(-dividend_rate*Time/n_periods)*(BinomialModel!J127-BinomialModel!J129)/(Stock*(up_factor-down_factor))</f>
        <v>0.72662654701081086</v>
      </c>
      <c r="J127" s="105">
        <f>((K126*$E$7)+K128*(1-$E$7))*$E$6</f>
        <v>11.750905382888417</v>
      </c>
      <c r="K127" s="116">
        <f>EXP(-dividend_rate*Time/n_periods)*(BinomialModel!L127-BinomialModel!L129)/(Stock*(up_factor-down_factor))</f>
        <v>0.73332785753804031</v>
      </c>
      <c r="L127" s="105">
        <f>((M126*$E$7)+M128*(1-$E$7))*$E$6</f>
        <v>11.512329544441618</v>
      </c>
      <c r="M127" s="116">
        <f>EXP(-dividend_rate*Time/n_periods)*(BinomialModel!N127-BinomialModel!N129)/(Stock*(up_factor-down_factor))</f>
        <v>0.74121612555304384</v>
      </c>
      <c r="N127" s="105">
        <f>((O126*$E$7)+O128*(1-$E$7))*$E$6</f>
        <v>11.266319177556987</v>
      </c>
      <c r="O127" s="116">
        <f>EXP(-dividend_rate*Time/n_periods)*(BinomialModel!P127-BinomialModel!P129)/(Stock*(up_factor-down_factor))</f>
        <v>0.75064795061723277</v>
      </c>
      <c r="P127" s="105">
        <f>((Q126*$E$7)+Q128*(1-$E$7))*$E$6</f>
        <v>11.012472219017008</v>
      </c>
      <c r="Q127" s="116">
        <f>EXP(-dividend_rate*Time/n_periods)*(BinomialModel!R127-BinomialModel!R129)/(Stock*(up_factor-down_factor))</f>
        <v>0.76214784239016842</v>
      </c>
      <c r="R127" s="105">
        <f>((S126*$E$7)+S128*(1-$E$7))*$E$6</f>
        <v>10.750555423384297</v>
      </c>
      <c r="S127" s="116">
        <f>EXP(-dividend_rate*Time/n_periods)*(BinomialModel!T127-BinomialModel!T129)/(Stock*(up_factor-down_factor))</f>
        <v>0.77652504168890768</v>
      </c>
      <c r="T127" s="105">
        <f>((U126*$E$7)+U128*(1-$E$7))*$E$6</f>
        <v>10.480758295626773</v>
      </c>
      <c r="U127" s="116">
        <f>EXP(-dividend_rate*Time/n_periods)*(BinomialModel!V127-BinomialModel!V129)/(Stock*(up_factor-down_factor))</f>
        <v>0.79510752886099978</v>
      </c>
      <c r="V127" s="105">
        <f>((W126*$E$7)+W128*(1-$E$7))*$E$6</f>
        <v>10.204288165729384</v>
      </c>
      <c r="W127" s="116">
        <f>EXP(-dividend_rate*Time/n_periods)*(BinomialModel!X127-BinomialModel!X129)/(Stock*(up_factor-down_factor))</f>
        <v>0.82026285626691897</v>
      </c>
      <c r="X127" s="105">
        <f>((Y126*$E$7)+Y128*(1-$E$7))*$E$6</f>
        <v>9.92488636982835</v>
      </c>
      <c r="Y127" s="116">
        <f>EXP(-dividend_rate*Time/n_periods)*(BinomialModel!Z127-BinomialModel!Z129)/(Stock*(up_factor-down_factor))</f>
        <v>0.85673952457136915</v>
      </c>
      <c r="Z127" s="105">
        <f>((AA126*$E$7)+AA128*(1-$E$7))*$E$6</f>
        <v>9.6532253127642011</v>
      </c>
      <c r="AA127" s="116">
        <f>EXP(-dividend_rate*Time/n_periods)*(BinomialModel!AB127-BinomialModel!AB129)/(Stock*(up_factor-down_factor))</f>
        <v>0.91596608353682207</v>
      </c>
      <c r="AB127" s="105">
        <f>((AC126*$E$7)+AC128*(1-$E$7))*$E$6</f>
        <v>9.4225736186416356</v>
      </c>
      <c r="AC127" s="116">
        <f>EXP(-dividend_rate*Time/n_periods)*(BinomialModel!AD127-BinomialModel!AD129)/(Stock*(up_factor-down_factor))</f>
        <v>1.0361448526084371</v>
      </c>
      <c r="AD127" s="105">
        <f>((AE126*$E$7)+AE128*(1-$E$7))*$E$6</f>
        <v>9.3693411918812473</v>
      </c>
    </row>
    <row r="128" spans="1:31" ht="18.75" customHeight="1">
      <c r="A128" s="107"/>
      <c r="B128" s="107"/>
      <c r="C128" s="107"/>
      <c r="D128" s="116">
        <f>EXP(-dividend_rate*Time/n_periods)*(BinomialModel!E128-BinomialModel!E130)/(Stock*(up_factor-down_factor))</f>
        <v>0.61886325622152882</v>
      </c>
      <c r="E128" s="105">
        <f>((F127*$E$7)+F129*(1-$E$7))*$E$6</f>
        <v>9.9697833560572562</v>
      </c>
      <c r="F128" s="116">
        <f>EXP(-dividend_rate*Time/n_periods)*(BinomialModel!G128-BinomialModel!G130)/(Stock*(up_factor-down_factor))</f>
        <v>0.62059057778382831</v>
      </c>
      <c r="G128" s="105">
        <f>((H127*$E$7)+H129*(1-$E$7))*$E$6</f>
        <v>9.7290230450657109</v>
      </c>
      <c r="H128" s="116">
        <f>EXP(-dividend_rate*Time/n_periods)*(BinomialModel!I128-BinomialModel!I130)/(Stock*(up_factor-down_factor))</f>
        <v>0.62263869733090849</v>
      </c>
      <c r="I128" s="105">
        <f>((J127*$E$7)+J129*(1-$E$7))*$E$6</f>
        <v>9.4793952353604745</v>
      </c>
      <c r="J128" s="116">
        <f>EXP(-dividend_rate*Time/n_periods)*(BinomialModel!K128-BinomialModel!K130)/(Stock*(up_factor-down_factor))</f>
        <v>0.62508848919613991</v>
      </c>
      <c r="K128" s="105">
        <f>((L127*$E$7)+L129*(1-$E$7))*$E$6</f>
        <v>9.2198664110319619</v>
      </c>
      <c r="L128" s="116">
        <f>EXP(-dividend_rate*Time/n_periods)*(BinomialModel!M128-BinomialModel!M130)/(Stock*(up_factor-down_factor))</f>
        <v>0.6280513319853358</v>
      </c>
      <c r="M128" s="105">
        <f>((N127*$E$7)+N129*(1-$E$7))*$E$6</f>
        <v>8.9491921993003007</v>
      </c>
      <c r="N128" s="116">
        <f>EXP(-dividend_rate*Time/n_periods)*(BinomialModel!O128-BinomialModel!O130)/(Stock*(up_factor-down_factor))</f>
        <v>0.63168546620363752</v>
      </c>
      <c r="O128" s="105">
        <f>((P127*$E$7)+P129*(1-$E$7))*$E$6</f>
        <v>8.6658556986508675</v>
      </c>
      <c r="P128" s="116">
        <f>EXP(-dividend_rate*Time/n_periods)*(BinomialModel!Q128-BinomialModel!Q130)/(Stock*(up_factor-down_factor))</f>
        <v>0.63622444467189176</v>
      </c>
      <c r="Q128" s="105">
        <f>((R127*$E$7)+R129*(1-$E$7))*$E$6</f>
        <v>8.3679838916179357</v>
      </c>
      <c r="R128" s="116">
        <f>EXP(-dividend_rate*Time/n_periods)*(BinomialModel!S128-BinomialModel!S130)/(Stock*(up_factor-down_factor))</f>
        <v>0.64202983580678652</v>
      </c>
      <c r="S128" s="105">
        <f>((T127*$E$7)+T129*(1-$E$7))*$E$6</f>
        <v>8.0532363638131077</v>
      </c>
      <c r="T128" s="116">
        <f>EXP(-dividend_rate*Time/n_periods)*(BinomialModel!U128-BinomialModel!U130)/(Stock*(up_factor-down_factor))</f>
        <v>0.64969698904010298</v>
      </c>
      <c r="U128" s="105">
        <f>((V127*$E$7)+V129*(1-$E$7))*$E$6</f>
        <v>7.7186688073298875</v>
      </c>
      <c r="V128" s="116">
        <f>EXP(-dividend_rate*Time/n_periods)*(BinomialModel!W128-BinomialModel!W130)/(Stock*(up_factor-down_factor))</f>
        <v>0.66029086652570701</v>
      </c>
      <c r="W128" s="105">
        <f>((X127*$E$7)+X129*(1-$E$7))*$E$6</f>
        <v>7.3606209459024514</v>
      </c>
      <c r="X128" s="116">
        <f>EXP(-dividend_rate*Time/n_periods)*(BinomialModel!Y128-BinomialModel!Y130)/(Stock*(up_factor-down_factor))</f>
        <v>0.67595451803650319</v>
      </c>
      <c r="Y128" s="105">
        <f>((Z127*$E$7)+Z129*(1-$E$7))*$E$6</f>
        <v>6.9749201166651877</v>
      </c>
      <c r="Z128" s="116">
        <f>EXP(-dividend_rate*Time/n_periods)*(BinomialModel!AA128-BinomialModel!AA130)/(Stock*(up_factor-down_factor))</f>
        <v>0.7018627620746043</v>
      </c>
      <c r="AA128" s="105">
        <f>((AB127*$E$7)+AB129*(1-$E$7))*$E$6</f>
        <v>6.5591063648157046</v>
      </c>
      <c r="AB128" s="116">
        <f>EXP(-dividend_rate*Time/n_periods)*(BinomialModel!AC128-BinomialModel!AC130)/(Stock*(up_factor-down_factor))</f>
        <v>0.75536998357890806</v>
      </c>
      <c r="AC128" s="105">
        <f>((AD127*$E$7)+AD129*(1-$E$7))*$E$6</f>
        <v>6.1301596322005807</v>
      </c>
      <c r="AD128" s="116">
        <f>EXP(-dividend_rate*Time/n_periods)*(BinomialModel!AE128-BinomialModel!AE130)/(Stock*(up_factor-down_factor))</f>
        <v>0.97615112642462909</v>
      </c>
      <c r="AE128" s="105">
        <f>IF(AE45&gt;$AE$84,AE45-$AE$84,0)</f>
        <v>6.0253444947306178</v>
      </c>
    </row>
    <row r="129" spans="1:31" ht="18.75" customHeight="1">
      <c r="A129" s="107"/>
      <c r="B129" s="107"/>
      <c r="C129" s="116">
        <f>EXP(-dividend_rate*Time/n_periods)*(BinomialModel!D129-BinomialModel!D131)/(Stock*(up_factor-down_factor))</f>
        <v>0.52573893093463575</v>
      </c>
      <c r="D129" s="105">
        <f>((E128*$E$7)+E130*(1-$E$7))*$E$6</f>
        <v>8.0351520200568238</v>
      </c>
      <c r="E129" s="116">
        <f>EXP(-dividend_rate*Time/n_periods)*(BinomialModel!F129-BinomialModel!F131)/(Stock*(up_factor-down_factor))</f>
        <v>0.52434715452409786</v>
      </c>
      <c r="F129" s="105">
        <f>((G128*$E$7)+G130*(1-$E$7))*$E$6</f>
        <v>7.7889888303952901</v>
      </c>
      <c r="G129" s="116">
        <f>EXP(-dividend_rate*Time/n_periods)*(BinomialModel!H129-BinomialModel!H131)/(Stock*(up_factor-down_factor))</f>
        <v>0.52287117204892497</v>
      </c>
      <c r="H129" s="105">
        <f>((I128*$E$7)+I130*(1-$E$7))*$E$6</f>
        <v>7.5329551324257027</v>
      </c>
      <c r="I129" s="116">
        <f>EXP(-dividend_rate*Time/n_periods)*(BinomialModel!J129-BinomialModel!J131)/(Stock*(up_factor-down_factor))</f>
        <v>0.52129623526837532</v>
      </c>
      <c r="J129" s="105">
        <f>((K128*$E$7)+K130*(1-$E$7))*$E$6</f>
        <v>7.2657645617199265</v>
      </c>
      <c r="K129" s="116">
        <f>EXP(-dividend_rate*Time/n_periods)*(BinomialModel!L129-BinomialModel!L131)/(Stock*(up_factor-down_factor))</f>
        <v>0.51960318721352761</v>
      </c>
      <c r="L129" s="105">
        <f>((M128*$E$7)+M130*(1-$E$7))*$E$6</f>
        <v>6.9858245293489611</v>
      </c>
      <c r="M129" s="116">
        <f>EXP(-dividend_rate*Time/n_periods)*(BinomialModel!N129-BinomialModel!N131)/(Stock*(up_factor-down_factor))</f>
        <v>0.51776650730990226</v>
      </c>
      <c r="N129" s="105">
        <f>((O128*$E$7)+O130*(1-$E$7))*$E$6</f>
        <v>6.6911234106221951</v>
      </c>
      <c r="O129" s="116">
        <f>EXP(-dividend_rate*Time/n_periods)*(BinomialModel!P129-BinomialModel!P131)/(Stock*(up_factor-down_factor))</f>
        <v>0.5157511465285578</v>
      </c>
      <c r="P129" s="105">
        <f>((Q128*$E$7)+Q130*(1-$E$7))*$E$6</f>
        <v>6.3790580126547836</v>
      </c>
      <c r="Q129" s="116">
        <f>EXP(-dividend_rate*Time/n_periods)*(BinomialModel!R129-BinomialModel!R131)/(Stock*(up_factor-down_factor))</f>
        <v>0.51350713689046801</v>
      </c>
      <c r="R129" s="105">
        <f>((S128*$E$7)+S130*(1-$E$7))*$E$6</f>
        <v>6.0461575263738334</v>
      </c>
      <c r="S129" s="116">
        <f>EXP(-dividend_rate*Time/n_periods)*(BinomialModel!T129-BinomialModel!T131)/(Stock*(up_factor-down_factor))</f>
        <v>0.51095981560956838</v>
      </c>
      <c r="T129" s="105">
        <f>((U128*$E$7)+U130*(1-$E$7))*$E$6</f>
        <v>5.6876163749715314</v>
      </c>
      <c r="U129" s="116">
        <f>EXP(-dividend_rate*Time/n_periods)*(BinomialModel!V129-BinomialModel!V131)/(Stock*(up_factor-down_factor))</f>
        <v>0.50799062502347492</v>
      </c>
      <c r="V129" s="105">
        <f>((W128*$E$7)+W130*(1-$E$7))*$E$6</f>
        <v>5.2964448594486742</v>
      </c>
      <c r="W129" s="116">
        <f>EXP(-dividend_rate*Time/n_periods)*(BinomialModel!X129-BinomialModel!X131)/(Stock*(up_factor-down_factor))</f>
        <v>0.50439522718325114</v>
      </c>
      <c r="X129" s="105">
        <f>((Y128*$E$7)+Y130*(1-$E$7))*$E$6</f>
        <v>4.8617704736838574</v>
      </c>
      <c r="Y129" s="116">
        <f>EXP(-dividend_rate*Time/n_periods)*(BinomialModel!Z129-BinomialModel!Z131)/(Stock*(up_factor-down_factor))</f>
        <v>0.49977780779701658</v>
      </c>
      <c r="Z129" s="105">
        <f>((AA128*$E$7)+AA130*(1-$E$7))*$E$6</f>
        <v>4.3649552508304996</v>
      </c>
      <c r="AA129" s="116">
        <f>EXP(-dividend_rate*Time/n_periods)*(BinomialModel!AB129-BinomialModel!AB131)/(Stock*(up_factor-down_factor))</f>
        <v>0.49321927837724655</v>
      </c>
      <c r="AB129" s="105">
        <f>((AC128*$E$7)+AC130*(1-$E$7))*$E$6</f>
        <v>3.7687244866807226</v>
      </c>
      <c r="AC129" s="116">
        <f>EXP(-dividend_rate*Time/n_periods)*(BinomialModel!AD129-BinomialModel!AD131)/(Stock*(up_factor-down_factor))</f>
        <v>0.48175888987632393</v>
      </c>
      <c r="AD129" s="105">
        <f>((AE128*$E$7)+AE130*(1-$E$7))*$E$6</f>
        <v>2.9736822468625936</v>
      </c>
    </row>
    <row r="130" spans="1:31" ht="18.75" customHeight="1">
      <c r="A130" s="110" t="s">
        <v>46</v>
      </c>
      <c r="B130" s="116">
        <f>EXP(-dividend_rate*Time/n_periods)*(BinomialModel!C130-BinomialModel!C132)/(Stock*(up_factor-down_factor))</f>
        <v>0.43901820257465524</v>
      </c>
      <c r="C130" s="105">
        <f>((D129*$E$7)+D131*(1-$E$7))*$E$6</f>
        <v>6.3916320765655206</v>
      </c>
      <c r="D130" s="116">
        <f>EXP(-dividend_rate*Time/n_periods)*(BinomialModel!E130-BinomialModel!E132)/(Stock*(up_factor-down_factor))</f>
        <v>0.43498435549723952</v>
      </c>
      <c r="E130" s="105">
        <f>((F129*$E$7)+F131*(1-$E$7))*$E$6</f>
        <v>6.1498171511077739</v>
      </c>
      <c r="F130" s="116">
        <f>EXP(-dividend_rate*Time/n_periods)*(BinomialModel!G130-BinomialModel!G132)/(Stock*(up_factor-down_factor))</f>
        <v>0.43055328499229717</v>
      </c>
      <c r="G130" s="105">
        <f>((H129*$E$7)+H131*(1-$E$7))*$E$6</f>
        <v>5.8983948563472284</v>
      </c>
      <c r="H130" s="116">
        <f>EXP(-dividend_rate*Time/n_periods)*(BinomialModel!I130-BinomialModel!I132)/(Stock*(up_factor-down_factor))</f>
        <v>0.42564336443735562</v>
      </c>
      <c r="I130" s="105">
        <f>((J129*$E$7)+J131*(1-$E$7))*$E$6</f>
        <v>5.6361249203323602</v>
      </c>
      <c r="J130" s="116">
        <f>EXP(-dividend_rate*Time/n_periods)*(BinomialModel!K130-BinomialModel!K132)/(Stock*(up_factor-down_factor))</f>
        <v>0.42014666894066471</v>
      </c>
      <c r="K130" s="105">
        <f>((L129*$E$7)+L131*(1-$E$7))*$E$6</f>
        <v>5.3614746260502422</v>
      </c>
      <c r="L130" s="116">
        <f>EXP(-dividend_rate*Time/n_periods)*(BinomialModel!M130-BinomialModel!M132)/(Stock*(up_factor-down_factor))</f>
        <v>0.41391684489668767</v>
      </c>
      <c r="M130" s="105">
        <f>((N129*$E$7)+N131*(1-$E$7))*$E$6</f>
        <v>5.0725121103814423</v>
      </c>
      <c r="N130" s="116">
        <f>EXP(-dividend_rate*Time/n_periods)*(BinomialModel!O130-BinomialModel!O132)/(Stock*(up_factor-down_factor))</f>
        <v>0.406749310998959</v>
      </c>
      <c r="O130" s="105">
        <f>((P129*$E$7)+P131*(1-$E$7))*$E$6</f>
        <v>4.7667437239178128</v>
      </c>
      <c r="P130" s="116">
        <f>EXP(-dividend_rate*Time/n_periods)*(BinomialModel!Q130-BinomialModel!Q132)/(Stock*(up_factor-down_factor))</f>
        <v>0.39834728677167702</v>
      </c>
      <c r="Q130" s="105">
        <f>((R129*$E$7)+R131*(1-$E$7))*$E$6</f>
        <v>4.4408548320451926</v>
      </c>
      <c r="R130" s="116">
        <f>EXP(-dividend_rate*Time/n_periods)*(BinomialModel!S130-BinomialModel!S132)/(Stock*(up_factor-down_factor))</f>
        <v>0.38825979419382439</v>
      </c>
      <c r="S130" s="105">
        <f>((T129*$E$7)+T131*(1-$E$7))*$E$6</f>
        <v>4.090273220185658</v>
      </c>
      <c r="T130" s="116">
        <f>EXP(-dividend_rate*Time/n_periods)*(BinomialModel!U130-BinomialModel!U132)/(Stock*(up_factor-down_factor))</f>
        <v>0.37575929580543399</v>
      </c>
      <c r="U130" s="105">
        <f>((V129*$E$7)+V131*(1-$E$7))*$E$6</f>
        <v>3.7083797545536905</v>
      </c>
      <c r="V130" s="116">
        <f>EXP(-dividend_rate*Time/n_periods)*(BinomialModel!W130-BinomialModel!W132)/(Stock*(up_factor-down_factor))</f>
        <v>0.35957398584447503</v>
      </c>
      <c r="W130" s="105">
        <f>((X129*$E$7)+X131*(1-$E$7))*$E$6</f>
        <v>3.2849406236211598</v>
      </c>
      <c r="X130" s="116">
        <f>EXP(-dividend_rate*Time/n_periods)*(BinomialModel!Y130-BinomialModel!Y132)/(Stock*(up_factor-down_factor))</f>
        <v>0.33721217872271703</v>
      </c>
      <c r="Y130" s="105">
        <f>((Z129*$E$7)+Z131*(1-$E$7))*$E$6</f>
        <v>2.8025550763693419</v>
      </c>
      <c r="Z130" s="116">
        <f>EXP(-dividend_rate*Time/n_periods)*(BinomialModel!AA130-BinomialModel!AA132)/(Stock*(up_factor-down_factor))</f>
        <v>0.30284990765171471</v>
      </c>
      <c r="AA130" s="105">
        <f>((AB129*$E$7)+AB131*(1-$E$7))*$E$6</f>
        <v>2.2268213168926758</v>
      </c>
      <c r="AB130" s="116">
        <f>EXP(-dividend_rate*Time/n_periods)*(BinomialModel!AC130-BinomialModel!AC132)/(Stock*(up_factor-down_factor))</f>
        <v>0.23776198345942121</v>
      </c>
      <c r="AC130" s="105">
        <f>((AD129*$E$7)+AD131*(1-$E$7))*$E$6</f>
        <v>1.4675984274491025</v>
      </c>
      <c r="AD130" s="116">
        <f>EXP(-dividend_rate*Time/n_periods)*(BinomialModel!AE130-BinomialModel!AE132)/(Stock*(up_factor-down_factor))</f>
        <v>0</v>
      </c>
      <c r="AE130" s="105">
        <f>IF(AE47&gt;$AE$84,AE47-$AE$84,0)</f>
        <v>0</v>
      </c>
    </row>
    <row r="131" spans="1:31" ht="18.75" customHeight="1">
      <c r="A131" s="116">
        <f>EXP(-dividend_rate*Time/n_periods)*(BinomialModel!B131-BinomialModel!B133)/(Stock*(up_factor-down_factor))</f>
        <v>0.3605246793287083</v>
      </c>
      <c r="B131" s="105">
        <f>((C130*$E$7)+C132*(1-$E$7))*$E$6</f>
        <v>5.0192073738425558</v>
      </c>
      <c r="C131" s="116">
        <f>EXP(-dividend_rate*Time/n_periods)*(BinomialModel!D131-BinomialModel!D133)/(Stock*(up_factor-down_factor))</f>
        <v>0.35450541957921933</v>
      </c>
      <c r="D131" s="105">
        <f>((E130*$E$7)+E132*(1-$E$7))*$E$6</f>
        <v>4.7900006419344754</v>
      </c>
      <c r="E131" s="116">
        <f>EXP(-dividend_rate*Time/n_periods)*(BinomialModel!F131-BinomialModel!F133)/(Stock*(up_factor-down_factor))</f>
        <v>0.34789716556289518</v>
      </c>
      <c r="F131" s="105">
        <f>((G130*$E$7)+G132*(1-$E$7))*$E$6</f>
        <v>4.5524282658325648</v>
      </c>
      <c r="G131" s="116">
        <f>EXP(-dividend_rate*Time/n_periods)*(BinomialModel!H131-BinomialModel!H133)/(Stock*(up_factor-down_factor))</f>
        <v>0.34058668533307146</v>
      </c>
      <c r="H131" s="105">
        <f>((I130*$E$7)+I132*(1-$E$7))*$E$6</f>
        <v>4.305505147813518</v>
      </c>
      <c r="I131" s="116">
        <f>EXP(-dividend_rate*Time/n_periods)*(BinomialModel!J131-BinomialModel!J133)/(Stock*(up_factor-down_factor))</f>
        <v>0.33242718618312117</v>
      </c>
      <c r="J131" s="105">
        <f>((K130*$E$7)+K132*(1-$E$7))*$E$6</f>
        <v>4.0480359577457907</v>
      </c>
      <c r="K131" s="116">
        <f>EXP(-dividend_rate*Time/n_periods)*(BinomialModel!L131-BinomialModel!L133)/(Stock*(up_factor-down_factor))</f>
        <v>0.3232242480278506</v>
      </c>
      <c r="L131" s="105">
        <f>((M130*$E$7)+M132*(1-$E$7))*$E$6</f>
        <v>3.7785463541050106</v>
      </c>
      <c r="M131" s="116">
        <f>EXP(-dividend_rate*Time/n_periods)*(BinomialModel!N131-BinomialModel!N133)/(Stock*(up_factor-down_factor))</f>
        <v>0.31271377791191496</v>
      </c>
      <c r="N131" s="105">
        <f>((O130*$E$7)+O132*(1-$E$7))*$E$6</f>
        <v>3.4951822392973257</v>
      </c>
      <c r="O131" s="116">
        <f>EXP(-dividend_rate*Time/n_periods)*(BinomialModel!P131-BinomialModel!P133)/(Stock*(up_factor-down_factor))</f>
        <v>0.30052600275942165</v>
      </c>
      <c r="P131" s="105">
        <f>((Q130*$E$7)+Q132*(1-$E$7))*$E$6</f>
        <v>3.1955567624241477</v>
      </c>
      <c r="Q131" s="116">
        <f>EXP(-dividend_rate*Time/n_periods)*(BinomialModel!R131-BinomialModel!R133)/(Stock*(up_factor-down_factor))</f>
        <v>0.28612364867509044</v>
      </c>
      <c r="R131" s="105">
        <f>((S130*$E$7)+S132*(1-$E$7))*$E$6</f>
        <v>2.8765075444078874</v>
      </c>
      <c r="S131" s="116">
        <f>EXP(-dividend_rate*Time/n_periods)*(BinomialModel!T131-BinomialModel!T133)/(Stock*(up_factor-down_factor))</f>
        <v>0.26868905707115504</v>
      </c>
      <c r="T131" s="105">
        <f>((U130*$E$7)+U132*(1-$E$7))*$E$6</f>
        <v>2.5336898684395543</v>
      </c>
      <c r="U131" s="116">
        <f>EXP(-dividend_rate*Time/n_periods)*(BinomialModel!V131-BinomialModel!V133)/(Stock*(up_factor-down_factor))</f>
        <v>0.24690130213672107</v>
      </c>
      <c r="V131" s="105">
        <f>((W130*$E$7)+W132*(1-$E$7))*$E$6</f>
        <v>2.1608458389661696</v>
      </c>
      <c r="W131" s="116">
        <f>EXP(-dividend_rate*Time/n_periods)*(BinomialModel!X131-BinomialModel!X133)/(Stock*(up_factor-down_factor))</f>
        <v>0.21844844013485015</v>
      </c>
      <c r="X131" s="105">
        <f>((Y130*$E$7)+Y132*(1-$E$7))*$E$6</f>
        <v>1.7483642366715788</v>
      </c>
      <c r="Y131" s="116">
        <f>EXP(-dividend_rate*Time/n_periods)*(BinomialModel!Z131-BinomialModel!Z133)/(Stock*(up_factor-down_factor))</f>
        <v>0.17879657359075141</v>
      </c>
      <c r="Z131" s="105">
        <f>((AA130*$E$7)+AA132*(1-$E$7))*$E$6</f>
        <v>1.2800502793759565</v>
      </c>
      <c r="AA131" s="116">
        <f>EXP(-dividend_rate*Time/n_periods)*(BinomialModel!AB131-BinomialModel!AB133)/(Stock*(up_factor-down_factor))</f>
        <v>0.11734243408164305</v>
      </c>
      <c r="AB131" s="105">
        <f>((AC130*$E$7)+AC132*(1-$E$7))*$E$6</f>
        <v>0.72430238520726609</v>
      </c>
      <c r="AC131" s="116">
        <f>EXP(-dividend_rate*Time/n_periods)*(BinomialModel!AD131-BinomialModel!AD133)/(Stock*(up_factor-down_factor))</f>
        <v>0</v>
      </c>
      <c r="AD131" s="105">
        <f>((AE130*$E$7)+AE132*(1-$E$7))*$E$6</f>
        <v>0</v>
      </c>
    </row>
    <row r="132" spans="1:31" ht="18.75" customHeight="1">
      <c r="A132" s="105">
        <f>((B131*$E$7)+B133*(1-$E$7))*$E$6</f>
        <v>3.8921604016417373</v>
      </c>
      <c r="B132" s="116">
        <f>EXP(-dividend_rate*Time/n_periods)*(BinomialModel!C132-BinomialModel!C134)/(Stock*(up_factor-down_factor))</f>
        <v>0.28403047049062091</v>
      </c>
      <c r="C132" s="105">
        <f>((D131*$E$7)+D133*(1-$E$7))*$E$6</f>
        <v>3.6817689843018298</v>
      </c>
      <c r="D132" s="116">
        <f>EXP(-dividend_rate*Time/n_periods)*(BinomialModel!E132-BinomialModel!E134)/(Stock*(up_factor-down_factor))</f>
        <v>0.27607671259644551</v>
      </c>
      <c r="E132" s="105">
        <f>((F131*$E$7)+F133*(1-$E$7))*$E$6</f>
        <v>3.4648531934376328</v>
      </c>
      <c r="F132" s="116">
        <f>EXP(-dividend_rate*Time/n_periods)*(BinomialModel!G132-BinomialModel!G134)/(Stock*(up_factor-down_factor))</f>
        <v>0.26734710759849106</v>
      </c>
      <c r="G132" s="105">
        <f>((H131*$E$7)+H133*(1-$E$7))*$E$6</f>
        <v>3.2407819159017541</v>
      </c>
      <c r="H132" s="116">
        <f>EXP(-dividend_rate*Time/n_periods)*(BinomialModel!I132-BinomialModel!I134)/(Stock*(up_factor-down_factor))</f>
        <v>0.25769762911806759</v>
      </c>
      <c r="I132" s="105">
        <f>((J131*$E$7)+J133*(1-$E$7))*$E$6</f>
        <v>3.0088187243903111</v>
      </c>
      <c r="J132" s="116">
        <f>EXP(-dividend_rate*Time/n_periods)*(BinomialModel!K132-BinomialModel!K134)/(Stock*(up_factor-down_factor))</f>
        <v>0.24694361402960455</v>
      </c>
      <c r="K132" s="105">
        <f>((L131*$E$7)+L133*(1-$E$7))*$E$6</f>
        <v>2.7680970739970796</v>
      </c>
      <c r="L132" s="116">
        <f>EXP(-dividend_rate*Time/n_periods)*(BinomialModel!M132-BinomialModel!M134)/(Stock*(up_factor-down_factor))</f>
        <v>0.23484380950601103</v>
      </c>
      <c r="M132" s="105">
        <f>((N131*$E$7)+N133*(1-$E$7))*$E$6</f>
        <v>2.5175884769791801</v>
      </c>
      <c r="N132" s="116">
        <f>EXP(-dividend_rate*Time/n_periods)*(BinomialModel!O132-BinomialModel!O134)/(Stock*(up_factor-down_factor))</f>
        <v>0.22107613897881503</v>
      </c>
      <c r="O132" s="105">
        <f>((P131*$E$7)+P133*(1-$E$7))*$E$6</f>
        <v>2.2560620728709431</v>
      </c>
      <c r="P132" s="116">
        <f>EXP(-dividend_rate*Time/n_periods)*(BinomialModel!Q132-BinomialModel!Q134)/(Stock*(up_factor-down_factor))</f>
        <v>0.20519971198982431</v>
      </c>
      <c r="Q132" s="105">
        <f>((R131*$E$7)+R133*(1-$E$7))*$E$6</f>
        <v>1.9820351202534381</v>
      </c>
      <c r="R132" s="116">
        <f>EXP(-dividend_rate*Time/n_periods)*(BinomialModel!S132-BinomialModel!S134)/(Stock*(up_factor-down_factor))</f>
        <v>0.18659317802968625</v>
      </c>
      <c r="S132" s="105">
        <f>((T131*$E$7)+T133*(1-$E$7))*$E$6</f>
        <v>1.6937190902533674</v>
      </c>
      <c r="T132" s="116">
        <f>EXP(-dividend_rate*Time/n_periods)*(BinomialModel!U132-BinomialModel!U134)/(Stock*(up_factor-down_factor))</f>
        <v>0.16435108084564795</v>
      </c>
      <c r="U132" s="105">
        <f>((V131*$E$7)+V133*(1-$E$7))*$E$6</f>
        <v>1.3889856125648166</v>
      </c>
      <c r="V132" s="116">
        <f>EXP(-dividend_rate*Time/n_periods)*(BinomialModel!W132-BinomialModel!W134)/(Stock*(up_factor-down_factor))</f>
        <v>0.13710466085458667</v>
      </c>
      <c r="W132" s="105">
        <f>((X131*$E$7)+X133*(1-$E$7))*$E$6</f>
        <v>1.0654511640414215</v>
      </c>
      <c r="X132" s="116">
        <f>EXP(-dividend_rate*Time/n_periods)*(BinomialModel!Y132-BinomialModel!Y134)/(Stock*(up_factor-down_factor))</f>
        <v>0.10271717172218964</v>
      </c>
      <c r="Y132" s="105">
        <f>((Z131*$E$7)+Z133*(1-$E$7))*$E$6</f>
        <v>0.72109505484067571</v>
      </c>
      <c r="Z132" s="116">
        <f>EXP(-dividend_rate*Time/n_periods)*(BinomialModel!AA132-BinomialModel!AA134)/(Stock*(up_factor-down_factor))</f>
        <v>5.7911894222377816E-2</v>
      </c>
      <c r="AA132" s="105">
        <f>((AB131*$E$7)+AB133*(1-$E$7))*$E$6</f>
        <v>0.3574642323164583</v>
      </c>
      <c r="AB132" s="116">
        <f>EXP(-dividend_rate*Time/n_periods)*(BinomialModel!AC132-BinomialModel!AC134)/(Stock*(up_factor-down_factor))</f>
        <v>0</v>
      </c>
      <c r="AC132" s="105">
        <f>((AD131*$E$7)+AD133*(1-$E$7))*$E$6</f>
        <v>0</v>
      </c>
      <c r="AD132" s="116">
        <f>EXP(-dividend_rate*Time/n_periods)*(BinomialModel!AE132-BinomialModel!AE134)/(Stock*(up_factor-down_factor))</f>
        <v>0</v>
      </c>
      <c r="AE132" s="105">
        <f>IF(AE49&gt;$AE$84,AE49-$AE$84,0)</f>
        <v>0</v>
      </c>
    </row>
    <row r="133" spans="1:31" ht="18.75" customHeight="1">
      <c r="A133" s="107"/>
      <c r="B133" s="105">
        <f>((C132*$E$7)+C134*(1-$E$7))*$E$6</f>
        <v>2.7938497084119649</v>
      </c>
      <c r="C133" s="116">
        <f>EXP(-dividend_rate*Time/n_periods)*(BinomialModel!D133-BinomialModel!D135)/(Stock*(up_factor-down_factor))</f>
        <v>0.21535149525574204</v>
      </c>
      <c r="D133" s="105">
        <f>((E132*$E$7)+E134*(1-$E$7))*$E$6</f>
        <v>2.6017971759020631</v>
      </c>
      <c r="E133" s="116">
        <f>EXP(-dividend_rate*Time/n_periods)*(BinomialModel!F133-BinomialModel!F135)/(Stock*(up_factor-down_factor))</f>
        <v>0.20608682602171285</v>
      </c>
      <c r="F133" s="105">
        <f>((G132*$E$7)+G134*(1-$E$7))*$E$6</f>
        <v>2.4050145974853518</v>
      </c>
      <c r="G133" s="116">
        <f>EXP(-dividend_rate*Time/n_periods)*(BinomialModel!H133-BinomialModel!H135)/(Stock*(up_factor-down_factor))</f>
        <v>0.19597458930591433</v>
      </c>
      <c r="H133" s="105">
        <f>((I132*$E$7)+I134*(1-$E$7))*$E$6</f>
        <v>2.2032158056225852</v>
      </c>
      <c r="I133" s="116">
        <f>EXP(-dividend_rate*Time/n_periods)*(BinomialModel!J133-BinomialModel!J135)/(Stock*(up_factor-down_factor))</f>
        <v>0.18487345757975407</v>
      </c>
      <c r="J133" s="105">
        <f>((K132*$E$7)+K134*(1-$E$7))*$E$6</f>
        <v>1.9961115559334914</v>
      </c>
      <c r="K133" s="116">
        <f>EXP(-dividend_rate*Time/n_periods)*(BinomialModel!L133-BinomialModel!L135)/(Stock*(up_factor-down_factor))</f>
        <v>0.17260827933430145</v>
      </c>
      <c r="L133" s="105">
        <f>((M132*$E$7)+M134*(1-$E$7))*$E$6</f>
        <v>1.7834275751600503</v>
      </c>
      <c r="M133" s="116">
        <f>EXP(-dividend_rate*Time/n_periods)*(BinomialModel!N133-BinomialModel!N135)/(Stock*(up_factor-down_factor))</f>
        <v>0.15896006320580744</v>
      </c>
      <c r="N133" s="105">
        <f>((O132*$E$7)+O134*(1-$E$7))*$E$6</f>
        <v>1.5649398934534988</v>
      </c>
      <c r="O133" s="116">
        <f>EXP(-dividend_rate*Time/n_periods)*(BinomialModel!P133-BinomialModel!P135)/(Stock*(up_factor-down_factor))</f>
        <v>0.14365321659208732</v>
      </c>
      <c r="P133" s="105">
        <f>((Q132*$E$7)+Q134*(1-$E$7))*$E$6</f>
        <v>1.3405441037979797</v>
      </c>
      <c r="Q133" s="116">
        <f>EXP(-dividend_rate*Time/n_periods)*(BinomialModel!R133-BinomialModel!R135)/(Stock*(up_factor-down_factor))</f>
        <v>0.1263407774413205</v>
      </c>
      <c r="R133" s="105">
        <f>((S132*$E$7)+S134*(1-$E$7))*$E$6</f>
        <v>1.1103941786719853</v>
      </c>
      <c r="S133" s="116">
        <f>EXP(-dividend_rate*Time/n_periods)*(BinomialModel!T133-BinomialModel!T135)/(Stock*(up_factor-down_factor))</f>
        <v>0.10659269677653832</v>
      </c>
      <c r="T133" s="105">
        <f>((U132*$E$7)+U134*(1-$E$7))*$E$6</f>
        <v>0.87519244217750825</v>
      </c>
      <c r="U133" s="116">
        <f>EXP(-dividend_rate*Time/n_periods)*(BinomialModel!V133-BinomialModel!V135)/(Stock*(up_factor-down_factor))</f>
        <v>8.3908382663647668E-2</v>
      </c>
      <c r="V133" s="105">
        <f>((W132*$E$7)+W134*(1-$E$7))*$E$6</f>
        <v>0.6368344832448285</v>
      </c>
      <c r="W133" s="116">
        <f>EXP(-dividend_rate*Time/n_periods)*(BinomialModel!X133-BinomialModel!X135)/(Stock*(up_factor-down_factor))</f>
        <v>5.7838168434372568E-2</v>
      </c>
      <c r="X133" s="105">
        <f>((Y132*$E$7)+Y134*(1-$E$7))*$E$6</f>
        <v>0.39997967764332132</v>
      </c>
      <c r="Y133" s="116">
        <f>EXP(-dividend_rate*Time/n_periods)*(BinomialModel!Z133-BinomialModel!Z135)/(Stock*(up_factor-down_factor))</f>
        <v>2.8581199279456071E-2</v>
      </c>
      <c r="Z133" s="105">
        <f>((AA132*$E$7)+AA134*(1-$E$7))*$E$6</f>
        <v>0.17641896533176432</v>
      </c>
      <c r="AA133" s="116">
        <f>EXP(-dividend_rate*Time/n_periods)*(BinomialModel!AB133-BinomialModel!AB135)/(Stock*(up_factor-down_factor))</f>
        <v>0</v>
      </c>
      <c r="AB133" s="105">
        <f>((AC132*$E$7)+AC134*(1-$E$7))*$E$6</f>
        <v>0</v>
      </c>
      <c r="AC133" s="116">
        <f>EXP(-dividend_rate*Time/n_periods)*(BinomialModel!AD133-BinomialModel!AD135)/(Stock*(up_factor-down_factor))</f>
        <v>0</v>
      </c>
      <c r="AD133" s="105">
        <f>((AE132*$E$7)+AE134*(1-$E$7))*$E$6</f>
        <v>0</v>
      </c>
    </row>
    <row r="134" spans="1:31" ht="18.75" customHeight="1">
      <c r="A134" s="107"/>
      <c r="B134" s="107"/>
      <c r="C134" s="105">
        <f>((D133*$E$7)+D135*(1-$E$7))*$E$6</f>
        <v>1.9285758716997621</v>
      </c>
      <c r="D134" s="116">
        <f>EXP(-dividend_rate*Time/n_periods)*(BinomialModel!E134-BinomialModel!E136)/(Stock*(up_factor-down_factor))</f>
        <v>0.15617445856593914</v>
      </c>
      <c r="E134" s="105">
        <f>((F133*$E$7)+F135*(1-$E$7))*$E$6</f>
        <v>1.7607550724232126</v>
      </c>
      <c r="F134" s="116">
        <f>EXP(-dividend_rate*Time/n_periods)*(BinomialModel!G134-BinomialModel!G136)/(Stock*(up_factor-down_factor))</f>
        <v>0.14638862007799117</v>
      </c>
      <c r="G134" s="105">
        <f>((H133*$E$7)+H135*(1-$E$7))*$E$6</f>
        <v>1.5905677437880057</v>
      </c>
      <c r="H134" s="116">
        <f>EXP(-dividend_rate*Time/n_periods)*(BinomialModel!I134-BinomialModel!I136)/(Stock*(up_factor-down_factor))</f>
        <v>0.13582569010834777</v>
      </c>
      <c r="I134" s="105">
        <f>((J133*$E$7)+J135*(1-$E$7))*$E$6</f>
        <v>1.4181664689359195</v>
      </c>
      <c r="J134" s="116">
        <f>EXP(-dividend_rate*Time/n_periods)*(BinomialModel!K134-BinomialModel!K136)/(Stock*(up_factor-down_factor))</f>
        <v>0.12438657160991595</v>
      </c>
      <c r="K134" s="105">
        <f>((L133*$E$7)+L135*(1-$E$7))*$E$6</f>
        <v>1.2438245458773816</v>
      </c>
      <c r="L134" s="116">
        <f>EXP(-dividend_rate*Time/n_periods)*(BinomialModel!M134-BinomialModel!M136)/(Stock*(up_factor-down_factor))</f>
        <v>0.11196052780189283</v>
      </c>
      <c r="M134" s="105">
        <f>((N133*$E$7)+N135*(1-$E$7))*$E$6</f>
        <v>1.0680026327140439</v>
      </c>
      <c r="N134" s="116">
        <f>EXP(-dividend_rate*Time/n_periods)*(BinomialModel!O134-BinomialModel!O136)/(Stock*(up_factor-down_factor))</f>
        <v>9.8429021052589244E-2</v>
      </c>
      <c r="O134" s="105">
        <f>((P133*$E$7)+P135*(1-$E$7))*$E$6</f>
        <v>0.89145790364637834</v>
      </c>
      <c r="P134" s="116">
        <f>EXP(-dividend_rate*Time/n_periods)*(BinomialModel!Q134-BinomialModel!Q136)/(Stock*(up_factor-down_factor))</f>
        <v>8.3677535314066617E-2</v>
      </c>
      <c r="Q134" s="105">
        <f>((R133*$E$7)+R135*(1-$E$7))*$E$6</f>
        <v>0.71542903694461391</v>
      </c>
      <c r="R134" s="116">
        <f>EXP(-dividend_rate*Time/n_periods)*(BinomialModel!S134-BinomialModel!S136)/(Stock*(up_factor-down_factor))</f>
        <v>6.7626487273169514E-2</v>
      </c>
      <c r="S134" s="105">
        <f>((T133*$E$7)+T135*(1-$E$7))*$E$6</f>
        <v>0.54196282264200279</v>
      </c>
      <c r="T134" s="116">
        <f>EXP(-dividend_rate*Time/n_periods)*(BinomialModel!U134-BinomialModel!U136)/(Stock*(up_factor-down_factor))</f>
        <v>5.0309086255682312E-2</v>
      </c>
      <c r="U134" s="105">
        <f>((V133*$E$7)+V135*(1-$E$7))*$E$6</f>
        <v>0.37451986707780066</v>
      </c>
      <c r="V134" s="116">
        <f>EXP(-dividend_rate*Time/n_periods)*(BinomialModel!W134-BinomialModel!W136)/(Stock*(up_factor-down_factor))</f>
        <v>3.2070715592473133E-2</v>
      </c>
      <c r="W134" s="105">
        <f>((X133*$E$7)+X135*(1-$E$7))*$E$6</f>
        <v>0.2191653880797855</v>
      </c>
      <c r="X134" s="116">
        <f>EXP(-dividend_rate*Time/n_periods)*(BinomialModel!Y134-BinomialModel!Y136)/(Stock*(up_factor-down_factor))</f>
        <v>1.4105650716849223E-2</v>
      </c>
      <c r="Y134" s="105">
        <f>((Z133*$E$7)+Z135*(1-$E$7))*$E$6</f>
        <v>8.7067875650218646E-2</v>
      </c>
      <c r="Z134" s="116">
        <f>EXP(-dividend_rate*Time/n_periods)*(BinomialModel!AA134-BinomialModel!AA136)/(Stock*(up_factor-down_factor))</f>
        <v>0</v>
      </c>
      <c r="AA134" s="105">
        <f>((AB133*$E$7)+AB135*(1-$E$7))*$E$6</f>
        <v>0</v>
      </c>
      <c r="AB134" s="116">
        <f>EXP(-dividend_rate*Time/n_periods)*(BinomialModel!AC134-BinomialModel!AC136)/(Stock*(up_factor-down_factor))</f>
        <v>0</v>
      </c>
      <c r="AC134" s="105">
        <f>((AD133*$E$7)+AD135*(1-$E$7))*$E$6</f>
        <v>0</v>
      </c>
      <c r="AD134" s="116">
        <f>EXP(-dividend_rate*Time/n_periods)*(BinomialModel!AE134-BinomialModel!AE136)/(Stock*(up_factor-down_factor))</f>
        <v>0</v>
      </c>
      <c r="AE134" s="105">
        <f>IF(AE51&gt;$AE$84,AE51-$AE$84,0)</f>
        <v>0</v>
      </c>
    </row>
    <row r="135" spans="1:31" ht="18.75" customHeight="1">
      <c r="A135" s="107"/>
      <c r="B135" s="107"/>
      <c r="C135" s="107"/>
      <c r="D135" s="105">
        <f>((E134*$E$7)+E136*(1-$E$7))*$E$6</f>
        <v>1.2725286730588403</v>
      </c>
      <c r="E135" s="116">
        <f>EXP(-dividend_rate*Time/n_periods)*(BinomialModel!F135-BinomialModel!F137)/(Stock*(up_factor-down_factor))</f>
        <v>0.10753507298222419</v>
      </c>
      <c r="F135" s="105">
        <f>((G134*$E$7)+G136*(1-$E$7))*$E$6</f>
        <v>1.1329327558604809</v>
      </c>
      <c r="G135" s="116">
        <f>EXP(-dividend_rate*Time/n_periods)*(BinomialModel!H135-BinomialModel!H137)/(Stock*(up_factor-down_factor))</f>
        <v>9.8067507275679144E-2</v>
      </c>
      <c r="H135" s="105">
        <f>((I134*$E$7)+I136*(1-$E$7))*$E$6</f>
        <v>0.99355228035833609</v>
      </c>
      <c r="I135" s="116">
        <f>EXP(-dividend_rate*Time/n_periods)*(BinomialModel!J135-BinomialModel!J137)/(Stock*(up_factor-down_factor))</f>
        <v>8.8029254305661747E-2</v>
      </c>
      <c r="J135" s="105">
        <f>((K134*$E$7)+K136*(1-$E$7))*$E$6</f>
        <v>0.85497035382271924</v>
      </c>
      <c r="K135" s="116">
        <f>EXP(-dividend_rate*Time/n_periods)*(BinomialModel!L135-BinomialModel!L137)/(Stock*(up_factor-down_factor))</f>
        <v>7.7395328613096143E-2</v>
      </c>
      <c r="L135" s="105">
        <f>((M134*$E$7)+M136*(1-$E$7))*$E$6</f>
        <v>0.71799383495511027</v>
      </c>
      <c r="M135" s="116">
        <f>EXP(-dividend_rate*Time/n_periods)*(BinomialModel!N135-BinomialModel!N137)/(Stock*(up_factor-down_factor))</f>
        <v>6.6160481858948128E-2</v>
      </c>
      <c r="N135" s="105">
        <f>((O134*$E$7)+O136*(1-$E$7))*$E$6</f>
        <v>0.58375048969051901</v>
      </c>
      <c r="O135" s="116">
        <f>EXP(-dividend_rate*Time/n_periods)*(BinomialModel!P135-BinomialModel!P137)/(Stock*(up_factor-down_factor))</f>
        <v>5.4359217327393447E-2</v>
      </c>
      <c r="P135" s="105">
        <f>((Q134*$E$7)+Q136*(1-$E$7))*$E$6</f>
        <v>0.45383702093696293</v>
      </c>
      <c r="Q135" s="116">
        <f>EXP(-dividend_rate*Time/n_periods)*(BinomialModel!R135-BinomialModel!R137)/(Stock*(up_factor-down_factor))</f>
        <v>4.210352267060849E-2</v>
      </c>
      <c r="R135" s="105">
        <f>((S134*$E$7)+S136*(1-$E$7))*$E$6</f>
        <v>0.33054904280221242</v>
      </c>
      <c r="S135" s="116">
        <f>EXP(-dividend_rate*Time/n_periods)*(BinomialModel!T135-BinomialModel!T137)/(Stock*(up_factor-down_factor))</f>
        <v>2.9655318738800618E-2</v>
      </c>
      <c r="T135" s="105">
        <f>((U134*$E$7)+U136*(1-$E$7))*$E$6</f>
        <v>0.21724337946073688</v>
      </c>
      <c r="U135" s="116">
        <f>EXP(-dividend_rate*Time/n_periods)*(BinomialModel!V135-BinomialModel!V137)/(Stock*(up_factor-down_factor))</f>
        <v>1.7567963168709146E-2</v>
      </c>
      <c r="V135" s="105">
        <f>((W134*$E$7)+W136*(1-$E$7))*$E$6</f>
        <v>0.11890555005192469</v>
      </c>
      <c r="W135" s="116">
        <f>EXP(-dividend_rate*Time/n_periods)*(BinomialModel!X135-BinomialModel!X137)/(Stock*(up_factor-down_factor))</f>
        <v>6.9615477013508873E-3</v>
      </c>
      <c r="X135" s="105">
        <f>((Y134*$E$7)+Y136*(1-$E$7))*$E$6</f>
        <v>4.2970521655570595E-2</v>
      </c>
      <c r="Y135" s="116">
        <f>EXP(-dividend_rate*Time/n_periods)*(BinomialModel!Z135-BinomialModel!Z137)/(Stock*(up_factor-down_factor))</f>
        <v>0</v>
      </c>
      <c r="Z135" s="105">
        <f>((AA134*$E$7)+AA136*(1-$E$7))*$E$6</f>
        <v>0</v>
      </c>
      <c r="AA135" s="116">
        <f>EXP(-dividend_rate*Time/n_periods)*(BinomialModel!AB135-BinomialModel!AB137)/(Stock*(up_factor-down_factor))</f>
        <v>0</v>
      </c>
      <c r="AB135" s="105">
        <f>((AC134*$E$7)+AC136*(1-$E$7))*$E$6</f>
        <v>0</v>
      </c>
      <c r="AC135" s="116">
        <f>EXP(-dividend_rate*Time/n_periods)*(BinomialModel!AD135-BinomialModel!AD137)/(Stock*(up_factor-down_factor))</f>
        <v>0</v>
      </c>
      <c r="AD135" s="105">
        <f>((AE134*$E$7)+AE136*(1-$E$7))*$E$6</f>
        <v>0</v>
      </c>
    </row>
    <row r="136" spans="1:31" ht="18.75" customHeight="1">
      <c r="A136" s="107"/>
      <c r="B136" s="107"/>
      <c r="C136" s="107"/>
      <c r="D136" s="107"/>
      <c r="E136" s="105">
        <f>((F135*$E$7)+F137*(1-$E$7))*$E$6</f>
        <v>0.79675996073957767</v>
      </c>
      <c r="F136" s="116">
        <f>EXP(-dividend_rate*Time/n_periods)*(BinomialModel!G136-BinomialModel!G138)/(Stock*(up_factor-down_factor))</f>
        <v>6.9672778772281146E-2</v>
      </c>
      <c r="G136" s="105">
        <f>((H135*$E$7)+H137*(1-$E$7))*$E$6</f>
        <v>0.68697623812759534</v>
      </c>
      <c r="H136" s="116">
        <f>EXP(-dividend_rate*Time/n_periods)*(BinomialModel!I136-BinomialModel!I138)/(Stock*(up_factor-down_factor))</f>
        <v>6.127277801780262E-2</v>
      </c>
      <c r="I136" s="105">
        <f>((J135*$E$7)+J137*(1-$E$7))*$E$6</f>
        <v>0.57977520760031065</v>
      </c>
      <c r="J136" s="116">
        <f>EXP(-dividend_rate*Time/n_periods)*(BinomialModel!K136-BinomialModel!K138)/(Stock*(up_factor-down_factor))</f>
        <v>5.2599790905873529E-2</v>
      </c>
      <c r="K136" s="105">
        <f>((L135*$E$7)+L137*(1-$E$7))*$E$6</f>
        <v>0.47604184893645718</v>
      </c>
      <c r="L136" s="116">
        <f>EXP(-dividend_rate*Time/n_periods)*(BinomialModel!M136-BinomialModel!M138)/(Stock*(up_factor-down_factor))</f>
        <v>4.3712390740243953E-2</v>
      </c>
      <c r="M136" s="105">
        <f>((N135*$E$7)+N137*(1-$E$7))*$E$6</f>
        <v>0.37692034887839976</v>
      </c>
      <c r="N136" s="116">
        <f>EXP(-dividend_rate*Time/n_periods)*(BinomialModel!O136-BinomialModel!O138)/(Stock*(up_factor-down_factor))</f>
        <v>3.4715721171892595E-2</v>
      </c>
      <c r="O136" s="105">
        <f>((P135*$E$7)+P137*(1-$E$7))*$E$6</f>
        <v>0.28389956143231038</v>
      </c>
      <c r="P136" s="116">
        <f>EXP(-dividend_rate*Time/n_periods)*(BinomialModel!Q136-BinomialModel!Q138)/(Stock*(up_factor-down_factor))</f>
        <v>2.5789492800371801E-2</v>
      </c>
      <c r="Q136" s="105">
        <f>((R135*$E$7)+R137*(1-$E$7))*$E$6</f>
        <v>0.19892502123555914</v>
      </c>
      <c r="R136" s="116">
        <f>EXP(-dividend_rate*Time/n_periods)*(BinomialModel!S136-BinomialModel!S138)/(Stock*(up_factor-down_factor))</f>
        <v>1.723236218993205E-2</v>
      </c>
      <c r="S136" s="105">
        <f>((T135*$E$7)+T137*(1-$E$7))*$E$6</f>
        <v>0.12453475053412909</v>
      </c>
      <c r="T136" s="116">
        <f>EXP(-dividend_rate*Time/n_periods)*(BinomialModel!U136-BinomialModel!U138)/(Stock*(up_factor-down_factor))</f>
        <v>9.5291063699650923E-3</v>
      </c>
      <c r="U136" s="105">
        <f>((V135*$E$7)+V137*(1-$E$7))*$E$6</f>
        <v>6.398436934612993E-2</v>
      </c>
      <c r="V136" s="116">
        <f>EXP(-dividend_rate*Time/n_periods)*(BinomialModel!W136-BinomialModel!W138)/(Stock*(up_factor-down_factor))</f>
        <v>3.4357256798011097E-3</v>
      </c>
      <c r="W136" s="105">
        <f>((X135*$E$7)+X137*(1-$E$7))*$E$6</f>
        <v>2.1207198608700916E-2</v>
      </c>
      <c r="X136" s="116">
        <f>EXP(-dividend_rate*Time/n_periods)*(BinomialModel!Y136-BinomialModel!Y138)/(Stock*(up_factor-down_factor))</f>
        <v>0</v>
      </c>
      <c r="Y136" s="105">
        <f>((Z135*$E$7)+Z137*(1-$E$7))*$E$6</f>
        <v>0</v>
      </c>
      <c r="Z136" s="116">
        <f>EXP(-dividend_rate*Time/n_periods)*(BinomialModel!AA136-BinomialModel!AA138)/(Stock*(up_factor-down_factor))</f>
        <v>0</v>
      </c>
      <c r="AA136" s="105">
        <f>((AB135*$E$7)+AB137*(1-$E$7))*$E$6</f>
        <v>0</v>
      </c>
      <c r="AB136" s="116">
        <f>EXP(-dividend_rate*Time/n_periods)*(BinomialModel!AC136-BinomialModel!AC138)/(Stock*(up_factor-down_factor))</f>
        <v>0</v>
      </c>
      <c r="AC136" s="105">
        <f>((AD135*$E$7)+AD137*(1-$E$7))*$E$6</f>
        <v>0</v>
      </c>
      <c r="AD136" s="116">
        <f>EXP(-dividend_rate*Time/n_periods)*(BinomialModel!AE136-BinomialModel!AE138)/(Stock*(up_factor-down_factor))</f>
        <v>0</v>
      </c>
      <c r="AE136" s="105">
        <f>IF(AE53&gt;$AE$84,AE53-$AE$84,0)</f>
        <v>0</v>
      </c>
    </row>
    <row r="137" spans="1:31" ht="18.75" customHeight="1">
      <c r="A137" s="107"/>
      <c r="B137" s="107"/>
      <c r="C137" s="107"/>
      <c r="D137" s="107"/>
      <c r="E137" s="107"/>
      <c r="F137" s="105">
        <f>((G136*$E$7)+G138*(1-$E$7))*$E$6</f>
        <v>0.46916682613491772</v>
      </c>
      <c r="G137" s="116">
        <f>EXP(-dividend_rate*Time/n_periods)*(BinomialModel!H137-BinomialModel!H139)/(Stock*(up_factor-down_factor))</f>
        <v>4.2002674621360508E-2</v>
      </c>
      <c r="H137" s="105">
        <f>((I136*$E$7)+I138*(1-$E$7))*$E$6</f>
        <v>0.38822540106687203</v>
      </c>
      <c r="I137" s="116">
        <f>EXP(-dividend_rate*Time/n_periods)*(BinomialModel!J137-BinomialModel!J139)/(Stock*(up_factor-down_factor))</f>
        <v>3.51992179266261E-2</v>
      </c>
      <c r="J137" s="105">
        <f>((K136*$E$7)+K138*(1-$E$7))*$E$6</f>
        <v>0.31160512230514376</v>
      </c>
      <c r="K137" s="116">
        <f>EXP(-dividend_rate*Time/n_periods)*(BinomialModel!L137-BinomialModel!L139)/(Stock*(up_factor-down_factor))</f>
        <v>2.8437214600454137E-2</v>
      </c>
      <c r="L137" s="105">
        <f>((M136*$E$7)+M138*(1-$E$7))*$E$6</f>
        <v>0.24026707261981867</v>
      </c>
      <c r="M137" s="116">
        <f>EXP(-dividend_rate*Time/n_periods)*(BinomialModel!N137-BinomialModel!N139)/(Stock*(up_factor-down_factor))</f>
        <v>2.1837425992956409E-2</v>
      </c>
      <c r="N137" s="105">
        <f>((O136*$E$7)+O138*(1-$E$7))*$E$6</f>
        <v>0.17537141359638519</v>
      </c>
      <c r="O137" s="116">
        <f>EXP(-dividend_rate*Time/n_periods)*(BinomialModel!P137-BinomialModel!P139)/(Stock*(up_factor-down_factor))</f>
        <v>1.5573827075678335E-2</v>
      </c>
      <c r="P137" s="105">
        <f>((Q136*$E$7)+Q138*(1-$E$7))*$E$6</f>
        <v>0.11830187479505569</v>
      </c>
      <c r="Q137" s="116">
        <f>EXP(-dividend_rate*Time/n_periods)*(BinomialModel!R137-BinomialModel!R139)/(Stock*(up_factor-down_factor))</f>
        <v>9.8921152694486543E-3</v>
      </c>
      <c r="R137" s="105">
        <f>((S136*$E$7)+S138*(1-$E$7))*$E$6</f>
        <v>7.0662820613127592E-2</v>
      </c>
      <c r="S137" s="116">
        <f>EXP(-dividend_rate*Time/n_periods)*(BinomialModel!T137-BinomialModel!T139)/(Stock*(up_factor-down_factor))</f>
        <v>5.1267365357772201E-3</v>
      </c>
      <c r="T137" s="105">
        <f>((U136*$E$7)+U138*(1-$E$7))*$E$6</f>
        <v>3.419435491391061E-2</v>
      </c>
      <c r="U137" s="116">
        <f>EXP(-dividend_rate*Time/n_periods)*(BinomialModel!V137-BinomialModel!V139)/(Stock*(up_factor-down_factor))</f>
        <v>1.6956302611492832E-3</v>
      </c>
      <c r="V137" s="105">
        <f>((W136*$E$7)+W138*(1-$E$7))*$E$6</f>
        <v>1.0466367535256165E-2</v>
      </c>
      <c r="W137" s="116">
        <f>EXP(-dividend_rate*Time/n_periods)*(BinomialModel!X137-BinomialModel!X139)/(Stock*(up_factor-down_factor))</f>
        <v>0</v>
      </c>
      <c r="X137" s="105">
        <f>((Y136*$E$7)+Y138*(1-$E$7))*$E$6</f>
        <v>0</v>
      </c>
      <c r="Y137" s="116">
        <f>EXP(-dividend_rate*Time/n_periods)*(BinomialModel!Z137-BinomialModel!Z139)/(Stock*(up_factor-down_factor))</f>
        <v>0</v>
      </c>
      <c r="Z137" s="105">
        <f>((AA136*$E$7)+AA138*(1-$E$7))*$E$6</f>
        <v>0</v>
      </c>
      <c r="AA137" s="116">
        <f>EXP(-dividend_rate*Time/n_periods)*(BinomialModel!AB137-BinomialModel!AB139)/(Stock*(up_factor-down_factor))</f>
        <v>0</v>
      </c>
      <c r="AB137" s="105">
        <f>((AC136*$E$7)+AC138*(1-$E$7))*$E$6</f>
        <v>0</v>
      </c>
      <c r="AC137" s="116">
        <f>EXP(-dividend_rate*Time/n_periods)*(BinomialModel!AD137-BinomialModel!AD139)/(Stock*(up_factor-down_factor))</f>
        <v>0</v>
      </c>
      <c r="AD137" s="105">
        <f>((AE136*$E$7)+AE138*(1-$E$7))*$E$6</f>
        <v>0</v>
      </c>
    </row>
    <row r="138" spans="1:31" ht="18.75" customHeight="1">
      <c r="A138" s="107"/>
      <c r="B138" s="107"/>
      <c r="C138" s="107"/>
      <c r="D138" s="107"/>
      <c r="E138" s="107"/>
      <c r="F138" s="107"/>
      <c r="G138" s="105">
        <f>((H137*$E$7)+H139*(1-$E$7))*$E$6</f>
        <v>0.25691732343293261</v>
      </c>
      <c r="H138" s="116">
        <f>EXP(-dividend_rate*Time/n_periods)*(BinomialModel!I138-BinomialModel!I140)/(Stock*(up_factor-down_factor))</f>
        <v>2.3224458051157762E-2</v>
      </c>
      <c r="I138" s="105">
        <f>((J137*$E$7)+J139*(1-$E$7))*$E$6</f>
        <v>0.20156574216778342</v>
      </c>
      <c r="J138" s="116">
        <f>EXP(-dividend_rate*Time/n_periods)*(BinomialModel!K138-BinomialModel!K140)/(Stock*(up_factor-down_factor))</f>
        <v>1.8242872307049705E-2</v>
      </c>
      <c r="K138" s="105">
        <f>((L137*$E$7)+L139*(1-$E$7))*$E$6</f>
        <v>0.15136685550637202</v>
      </c>
      <c r="L138" s="116">
        <f>EXP(-dividend_rate*Time/n_periods)*(BinomialModel!M138-BinomialModel!M140)/(Stock*(up_factor-down_factor))</f>
        <v>1.3552061519319107E-2</v>
      </c>
      <c r="M138" s="105">
        <f>((N137*$E$7)+N139*(1-$E$7))*$E$6</f>
        <v>0.10710330337342905</v>
      </c>
      <c r="N138" s="116">
        <f>EXP(-dividend_rate*Time/n_periods)*(BinomialModel!O138-BinomialModel!O140)/(Stock*(up_factor-down_factor))</f>
        <v>9.2880025642975914E-3</v>
      </c>
      <c r="O138" s="105">
        <f>((P137*$E$7)+P139*(1-$E$7))*$E$6</f>
        <v>6.9614935024293806E-2</v>
      </c>
      <c r="P138" s="116">
        <f>EXP(-dividend_rate*Time/n_periods)*(BinomialModel!Q138-BinomialModel!Q140)/(Stock*(up_factor-down_factor))</f>
        <v>5.6190775240659964E-3</v>
      </c>
      <c r="Q138" s="105">
        <f>((R137*$E$7)+R139*(1-$E$7))*$E$6</f>
        <v>3.9738011908665508E-2</v>
      </c>
      <c r="R138" s="116">
        <f>EXP(-dividend_rate*Time/n_periods)*(BinomialModel!S138-BinomialModel!S140)/(Stock*(up_factor-down_factor))</f>
        <v>2.7393735465986902E-3</v>
      </c>
      <c r="S138" s="105">
        <f>((T137*$E$7)+T139*(1-$E$7))*$E$6</f>
        <v>1.8167082822045409E-2</v>
      </c>
      <c r="T138" s="116">
        <f>EXP(-dividend_rate*Time/n_periods)*(BinomialModel!U138-BinomialModel!U140)/(Stock*(up_factor-down_factor))</f>
        <v>8.3684270820236933E-4</v>
      </c>
      <c r="U138" s="105">
        <f>((V137*$E$7)+V139*(1-$E$7))*$E$6</f>
        <v>5.1654559097739586E-3</v>
      </c>
      <c r="V138" s="116">
        <f>EXP(-dividend_rate*Time/n_periods)*(BinomialModel!W138-BinomialModel!W140)/(Stock*(up_factor-down_factor))</f>
        <v>0</v>
      </c>
      <c r="W138" s="105">
        <f>((X137*$E$7)+X139*(1-$E$7))*$E$6</f>
        <v>0</v>
      </c>
      <c r="X138" s="116">
        <f>EXP(-dividend_rate*Time/n_periods)*(BinomialModel!Y138-BinomialModel!Y140)/(Stock*(up_factor-down_factor))</f>
        <v>0</v>
      </c>
      <c r="Y138" s="105">
        <f>((Z137*$E$7)+Z139*(1-$E$7))*$E$6</f>
        <v>0</v>
      </c>
      <c r="Z138" s="116">
        <f>EXP(-dividend_rate*Time/n_periods)*(BinomialModel!AA138-BinomialModel!AA140)/(Stock*(up_factor-down_factor))</f>
        <v>0</v>
      </c>
      <c r="AA138" s="105">
        <f>((AB137*$E$7)+AB139*(1-$E$7))*$E$6</f>
        <v>0</v>
      </c>
      <c r="AB138" s="116">
        <f>EXP(-dividend_rate*Time/n_periods)*(BinomialModel!AC138-BinomialModel!AC140)/(Stock*(up_factor-down_factor))</f>
        <v>0</v>
      </c>
      <c r="AC138" s="105">
        <f>((AD137*$E$7)+AD139*(1-$E$7))*$E$6</f>
        <v>0</v>
      </c>
      <c r="AD138" s="116">
        <f>EXP(-dividend_rate*Time/n_periods)*(BinomialModel!AE138-BinomialModel!AE140)/(Stock*(up_factor-down_factor))</f>
        <v>0</v>
      </c>
      <c r="AE138" s="105">
        <f>IF(AE55&gt;$AE$84,AE55-$AE$84,0)</f>
        <v>0</v>
      </c>
    </row>
    <row r="139" spans="1:31" ht="18.75" customHeight="1">
      <c r="A139" s="107"/>
      <c r="B139" s="107"/>
      <c r="C139" s="107"/>
      <c r="D139" s="107"/>
      <c r="E139" s="107"/>
      <c r="F139" s="107"/>
      <c r="G139" s="107"/>
      <c r="H139" s="105">
        <f>((I138*$E$7)+I140*(1-$E$7))*$E$6</f>
        <v>0.12896166879957446</v>
      </c>
      <c r="I139" s="116">
        <f>EXP(-dividend_rate*Time/n_periods)*(BinomialModel!J139-BinomialModel!J141)/(Stock*(up_factor-down_factor))</f>
        <v>1.1555430113632912E-2</v>
      </c>
      <c r="J139" s="105">
        <f>((K138*$E$7)+K140*(1-$E$7))*$E$6</f>
        <v>9.433608658744988E-2</v>
      </c>
      <c r="K139" s="116">
        <f>EXP(-dividend_rate*Time/n_periods)*(BinomialModel!L139-BinomialModel!L141)/(Stock*(up_factor-down_factor))</f>
        <v>8.3088401921214711E-3</v>
      </c>
      <c r="L139" s="105">
        <f>((M138*$E$7)+M140*(1-$E$7))*$E$6</f>
        <v>6.473686034018418E-2</v>
      </c>
      <c r="M139" s="116">
        <f>EXP(-dividend_rate*Time/n_periods)*(BinomialModel!N139-BinomialModel!N141)/(Stock*(up_factor-down_factor))</f>
        <v>5.4782908756942405E-3</v>
      </c>
      <c r="N139" s="105">
        <f>((O138*$E$7)+O140*(1-$E$7))*$E$6</f>
        <v>4.0578745817902002E-2</v>
      </c>
      <c r="O139" s="116">
        <f>EXP(-dividend_rate*Time/n_periods)*(BinomialModel!P139-BinomialModel!P141)/(Stock*(up_factor-down_factor))</f>
        <v>3.162729673631712E-3</v>
      </c>
      <c r="P139" s="105">
        <f>((Q138*$E$7)+Q140*(1-$E$7))*$E$6</f>
        <v>2.2171602860599722E-2</v>
      </c>
      <c r="Q139" s="116">
        <f>EXP(-dividend_rate*Time/n_periods)*(BinomialModel!R139-BinomialModel!R141)/(Stock*(up_factor-down_factor))</f>
        <v>1.455196876445251E-3</v>
      </c>
      <c r="R139" s="105">
        <f>((S138*$E$7)+S140*(1-$E$7))*$E$6</f>
        <v>9.6032155309474735E-3</v>
      </c>
      <c r="S139" s="116">
        <f>EXP(-dividend_rate*Time/n_periods)*(BinomialModel!T139-BinomialModel!T141)/(Stock*(up_factor-down_factor))</f>
        <v>4.1300614545344025E-4</v>
      </c>
      <c r="T139" s="105">
        <f>((U138*$E$7)+U140*(1-$E$7))*$E$6</f>
        <v>2.5493022928862463E-3</v>
      </c>
      <c r="U139" s="116">
        <f>EXP(-dividend_rate*Time/n_periods)*(BinomialModel!V139-BinomialModel!V141)/(Stock*(up_factor-down_factor))</f>
        <v>0</v>
      </c>
      <c r="V139" s="105">
        <f>((W138*$E$7)+W140*(1-$E$7))*$E$6</f>
        <v>0</v>
      </c>
      <c r="W139" s="116">
        <f>EXP(-dividend_rate*Time/n_periods)*(BinomialModel!X139-BinomialModel!X141)/(Stock*(up_factor-down_factor))</f>
        <v>0</v>
      </c>
      <c r="X139" s="105">
        <f>((Y138*$E$7)+Y140*(1-$E$7))*$E$6</f>
        <v>0</v>
      </c>
      <c r="Y139" s="116">
        <f>EXP(-dividend_rate*Time/n_periods)*(BinomialModel!Z139-BinomialModel!Z141)/(Stock*(up_factor-down_factor))</f>
        <v>0</v>
      </c>
      <c r="Z139" s="105">
        <f>((AA138*$E$7)+AA140*(1-$E$7))*$E$6</f>
        <v>0</v>
      </c>
      <c r="AA139" s="116">
        <f>EXP(-dividend_rate*Time/n_periods)*(BinomialModel!AB139-BinomialModel!AB141)/(Stock*(up_factor-down_factor))</f>
        <v>0</v>
      </c>
      <c r="AB139" s="105">
        <f>((AC138*$E$7)+AC140*(1-$E$7))*$E$6</f>
        <v>0</v>
      </c>
      <c r="AC139" s="116">
        <f>EXP(-dividend_rate*Time/n_periods)*(BinomialModel!AD139-BinomialModel!AD141)/(Stock*(up_factor-down_factor))</f>
        <v>0</v>
      </c>
      <c r="AD139" s="105">
        <f>((AE138*$E$7)+AE140*(1-$E$7))*$E$6</f>
        <v>0</v>
      </c>
    </row>
    <row r="140" spans="1:31" ht="18.75" customHeight="1">
      <c r="A140" s="107"/>
      <c r="B140" s="107"/>
      <c r="C140" s="107"/>
      <c r="D140" s="107"/>
      <c r="E140" s="107"/>
      <c r="F140" s="107"/>
      <c r="G140" s="107"/>
      <c r="H140" s="107"/>
      <c r="I140" s="105">
        <f>((J139*$E$7)+J141*(1-$E$7))*$E$6</f>
        <v>5.8211545595588707E-2</v>
      </c>
      <c r="J140" s="116">
        <f>EXP(-dividend_rate*Time/n_periods)*(BinomialModel!K140-BinomialModel!K142)/(Stock*(up_factor-down_factor))</f>
        <v>5.0387595697844239E-3</v>
      </c>
      <c r="K140" s="105">
        <f>((L139*$E$7)+L141*(1-$E$7))*$E$6</f>
        <v>3.8761760610911959E-2</v>
      </c>
      <c r="L140" s="116">
        <f>EXP(-dividend_rate*Time/n_periods)*(BinomialModel!M140-BinomialModel!M142)/(Stock*(up_factor-down_factor))</f>
        <v>3.1995277112848884E-3</v>
      </c>
      <c r="M140" s="105">
        <f>((N139*$E$7)+N141*(1-$E$7))*$E$6</f>
        <v>2.3452486345985006E-2</v>
      </c>
      <c r="N140" s="116">
        <f>EXP(-dividend_rate*Time/n_periods)*(BinomialModel!O140-BinomialModel!O142)/(Stock*(up_factor-down_factor))</f>
        <v>1.7658897223093069E-3</v>
      </c>
      <c r="O140" s="105">
        <f>((P139*$E$7)+P141*(1-$E$7))*$E$6</f>
        <v>1.2284247589846206E-2</v>
      </c>
      <c r="P140" s="116">
        <f>EXP(-dividend_rate*Time/n_periods)*(BinomialModel!Q140-BinomialModel!Q142)/(Stock*(up_factor-down_factor))</f>
        <v>7.6913211007590115E-4</v>
      </c>
      <c r="Q140" s="105">
        <f>((R139*$E$7)+R141*(1-$E$7))*$E$6</f>
        <v>5.0539584782259448E-3</v>
      </c>
      <c r="R140" s="116">
        <f>EXP(-dividend_rate*Time/n_periods)*(BinomialModel!S140-BinomialModel!S142)/(Stock*(up_factor-down_factor))</f>
        <v>2.0383051021466176E-4</v>
      </c>
      <c r="S140" s="105">
        <f>((T139*$E$7)+T141*(1-$E$7))*$E$6</f>
        <v>1.2581546128809119E-3</v>
      </c>
      <c r="T140" s="116">
        <f>EXP(-dividend_rate*Time/n_periods)*(BinomialModel!U140-BinomialModel!U142)/(Stock*(up_factor-down_factor))</f>
        <v>0</v>
      </c>
      <c r="U140" s="105">
        <f>((V139*$E$7)+V141*(1-$E$7))*$E$6</f>
        <v>0</v>
      </c>
      <c r="V140" s="116">
        <f>EXP(-dividend_rate*Time/n_periods)*(BinomialModel!W140-BinomialModel!W142)/(Stock*(up_factor-down_factor))</f>
        <v>0</v>
      </c>
      <c r="W140" s="105">
        <f>((X139*$E$7)+X141*(1-$E$7))*$E$6</f>
        <v>0</v>
      </c>
      <c r="X140" s="116">
        <f>EXP(-dividend_rate*Time/n_periods)*(BinomialModel!Y140-BinomialModel!Y142)/(Stock*(up_factor-down_factor))</f>
        <v>0</v>
      </c>
      <c r="Y140" s="105">
        <f>((Z139*$E$7)+Z141*(1-$E$7))*$E$6</f>
        <v>0</v>
      </c>
      <c r="Z140" s="116">
        <f>EXP(-dividend_rate*Time/n_periods)*(BinomialModel!AA140-BinomialModel!AA142)/(Stock*(up_factor-down_factor))</f>
        <v>0</v>
      </c>
      <c r="AA140" s="105">
        <f>((AB139*$E$7)+AB141*(1-$E$7))*$E$6</f>
        <v>0</v>
      </c>
      <c r="AB140" s="116">
        <f>EXP(-dividend_rate*Time/n_periods)*(BinomialModel!AC140-BinomialModel!AC142)/(Stock*(up_factor-down_factor))</f>
        <v>0</v>
      </c>
      <c r="AC140" s="105">
        <f>((AD139*$E$7)+AD141*(1-$E$7))*$E$6</f>
        <v>0</v>
      </c>
      <c r="AD140" s="116">
        <f>EXP(-dividend_rate*Time/n_periods)*(BinomialModel!AE140-BinomialModel!AE142)/(Stock*(up_factor-down_factor))</f>
        <v>0</v>
      </c>
      <c r="AE140" s="105">
        <f>IF(AE57&gt;$AE$84,AE57-$AE$84,0)</f>
        <v>0</v>
      </c>
    </row>
    <row r="141" spans="1:31" ht="18.75" customHeight="1">
      <c r="A141" s="107"/>
      <c r="B141" s="107"/>
      <c r="C141" s="107"/>
      <c r="D141" s="107"/>
      <c r="E141" s="107"/>
      <c r="F141" s="107"/>
      <c r="G141" s="107"/>
      <c r="H141" s="107"/>
      <c r="I141" s="107"/>
      <c r="J141" s="105">
        <f>((K140*$E$7)+K142*(1-$E$7))*$E$6</f>
        <v>2.3009582591658598E-2</v>
      </c>
      <c r="K141" s="116">
        <f>EXP(-dividend_rate*Time/n_periods)*(BinomialModel!L141-BinomialModel!L143)/(Stock*(up_factor-down_factor))</f>
        <v>1.8521981742880291E-3</v>
      </c>
      <c r="L141" s="105">
        <f>((M140*$E$7)+M142*(1-$E$7))*$E$6</f>
        <v>1.3450104474251027E-2</v>
      </c>
      <c r="M141" s="116">
        <f>EXP(-dividend_rate*Time/n_periods)*(BinomialModel!N141-BinomialModel!N143)/(Stock*(up_factor-down_factor))</f>
        <v>9.7897219379630153E-4</v>
      </c>
      <c r="N141" s="105">
        <f>((O140*$E$7)+O142*(1-$E$7))*$E$6</f>
        <v>6.7637054262583646E-3</v>
      </c>
      <c r="O141" s="116">
        <f>EXP(-dividend_rate*Time/n_periods)*(BinomialModel!P141-BinomialModel!P143)/(Stock*(up_factor-down_factor))</f>
        <v>4.0473442756379336E-4</v>
      </c>
      <c r="P141" s="105">
        <f>((Q140*$E$7)+Q142*(1-$E$7))*$E$6</f>
        <v>2.6494865494330177E-3</v>
      </c>
      <c r="Q141" s="116">
        <f>EXP(-dividend_rate*Time/n_periods)*(BinomialModel!R141-BinomialModel!R143)/(Stock*(up_factor-down_factor))</f>
        <v>1.0059626800166602E-4</v>
      </c>
      <c r="R141" s="105">
        <f>((S140*$E$7)+S142*(1-$E$7))*$E$6</f>
        <v>6.2093578871783917E-4</v>
      </c>
      <c r="S141" s="116">
        <f>EXP(-dividend_rate*Time/n_periods)*(BinomialModel!T141-BinomialModel!T143)/(Stock*(up_factor-down_factor))</f>
        <v>0</v>
      </c>
      <c r="T141" s="105">
        <f>((U140*$E$7)+U142*(1-$E$7))*$E$6</f>
        <v>0</v>
      </c>
      <c r="U141" s="116">
        <f>EXP(-dividend_rate*Time/n_periods)*(BinomialModel!V141-BinomialModel!V143)/(Stock*(up_factor-down_factor))</f>
        <v>0</v>
      </c>
      <c r="V141" s="105">
        <f>((W140*$E$7)+W142*(1-$E$7))*$E$6</f>
        <v>0</v>
      </c>
      <c r="W141" s="116">
        <f>EXP(-dividend_rate*Time/n_periods)*(BinomialModel!X141-BinomialModel!X143)/(Stock*(up_factor-down_factor))</f>
        <v>0</v>
      </c>
      <c r="X141" s="105">
        <f>((Y140*$E$7)+Y142*(1-$E$7))*$E$6</f>
        <v>0</v>
      </c>
      <c r="Y141" s="116">
        <f>EXP(-dividend_rate*Time/n_periods)*(BinomialModel!Z141-BinomialModel!Z143)/(Stock*(up_factor-down_factor))</f>
        <v>0</v>
      </c>
      <c r="Z141" s="105">
        <f>((AA140*$E$7)+AA142*(1-$E$7))*$E$6</f>
        <v>0</v>
      </c>
      <c r="AA141" s="116">
        <f>EXP(-dividend_rate*Time/n_periods)*(BinomialModel!AB141-BinomialModel!AB143)/(Stock*(up_factor-down_factor))</f>
        <v>0</v>
      </c>
      <c r="AB141" s="105">
        <f>((AC140*$E$7)+AC142*(1-$E$7))*$E$6</f>
        <v>0</v>
      </c>
      <c r="AC141" s="116">
        <f>EXP(-dividend_rate*Time/n_periods)*(BinomialModel!AD141-BinomialModel!AD143)/(Stock*(up_factor-down_factor))</f>
        <v>0</v>
      </c>
      <c r="AD141" s="105">
        <f>((AE140*$E$7)+AE142*(1-$E$7))*$E$6</f>
        <v>0</v>
      </c>
    </row>
    <row r="142" spans="1:31" ht="18.75" customHeight="1">
      <c r="A142" s="107"/>
      <c r="B142" s="107"/>
      <c r="C142" s="107"/>
      <c r="D142" s="107"/>
      <c r="E142" s="107"/>
      <c r="F142" s="107"/>
      <c r="G142" s="107"/>
      <c r="H142" s="107"/>
      <c r="I142" s="107"/>
      <c r="J142" s="107"/>
      <c r="K142" s="105">
        <f>((L141*$E$7)+L143*(1-$E$7))*$E$6</f>
        <v>7.6597504690264278E-3</v>
      </c>
      <c r="L142" s="116">
        <f>EXP(-dividend_rate*Time/n_periods)*(BinomialModel!M142-BinomialModel!M144)/(Stock*(up_factor-down_factor))</f>
        <v>5.3928508308238583E-4</v>
      </c>
      <c r="M142" s="105">
        <f>((N141*$E$7)+N143*(1-$E$7))*$E$6</f>
        <v>3.7032321997142693E-3</v>
      </c>
      <c r="N142" s="116">
        <f>EXP(-dividend_rate*Time/n_periods)*(BinomialModel!O142-BinomialModel!O144)/(Stock*(up_factor-down_factor))</f>
        <v>2.1215817448297491E-4</v>
      </c>
      <c r="O142" s="105">
        <f>((P141*$E$7)+P143*(1-$E$7))*$E$6</f>
        <v>1.3841998118044225E-3</v>
      </c>
      <c r="P142" s="116">
        <f>EXP(-dividend_rate*Time/n_periods)*(BinomialModel!Q142-BinomialModel!Q144)/(Stock*(up_factor-down_factor))</f>
        <v>4.9647175612746425E-5</v>
      </c>
      <c r="Q142" s="105">
        <f>((R141*$E$7)+R143*(1-$E$7))*$E$6</f>
        <v>3.0644981925376415E-4</v>
      </c>
      <c r="R142" s="116">
        <f>EXP(-dividend_rate*Time/n_periods)*(BinomialModel!S142-BinomialModel!S144)/(Stock*(up_factor-down_factor))</f>
        <v>0</v>
      </c>
      <c r="S142" s="105">
        <f>((T141*$E$7)+T143*(1-$E$7))*$E$6</f>
        <v>0</v>
      </c>
      <c r="T142" s="116">
        <f>EXP(-dividend_rate*Time/n_periods)*(BinomialModel!U142-BinomialModel!U144)/(Stock*(up_factor-down_factor))</f>
        <v>0</v>
      </c>
      <c r="U142" s="105">
        <f>((V141*$E$7)+V143*(1-$E$7))*$E$6</f>
        <v>0</v>
      </c>
      <c r="V142" s="116">
        <f>EXP(-dividend_rate*Time/n_periods)*(BinomialModel!W142-BinomialModel!W144)/(Stock*(up_factor-down_factor))</f>
        <v>0</v>
      </c>
      <c r="W142" s="105">
        <f>((X141*$E$7)+X143*(1-$E$7))*$E$6</f>
        <v>0</v>
      </c>
      <c r="X142" s="116">
        <f>EXP(-dividend_rate*Time/n_periods)*(BinomialModel!Y142-BinomialModel!Y144)/(Stock*(up_factor-down_factor))</f>
        <v>0</v>
      </c>
      <c r="Y142" s="105">
        <f>((Z141*$E$7)+Z143*(1-$E$7))*$E$6</f>
        <v>0</v>
      </c>
      <c r="Z142" s="116">
        <f>EXP(-dividend_rate*Time/n_periods)*(BinomialModel!AA142-BinomialModel!AA144)/(Stock*(up_factor-down_factor))</f>
        <v>0</v>
      </c>
      <c r="AA142" s="105">
        <f>((AB141*$E$7)+AB143*(1-$E$7))*$E$6</f>
        <v>0</v>
      </c>
      <c r="AB142" s="116">
        <f>EXP(-dividend_rate*Time/n_periods)*(BinomialModel!AC142-BinomialModel!AC144)/(Stock*(up_factor-down_factor))</f>
        <v>0</v>
      </c>
      <c r="AC142" s="105">
        <f>((AD141*$E$7)+AD143*(1-$E$7))*$E$6</f>
        <v>0</v>
      </c>
      <c r="AD142" s="116">
        <f>EXP(-dividend_rate*Time/n_periods)*(BinomialModel!AE142-BinomialModel!AE144)/(Stock*(up_factor-down_factor))</f>
        <v>0</v>
      </c>
      <c r="AE142" s="105">
        <f>IF(AE59&gt;$AE$84,AE59-$AE$84,0)</f>
        <v>0</v>
      </c>
    </row>
    <row r="143" spans="1:31" ht="18.75" customHeight="1">
      <c r="A143" s="107"/>
      <c r="B143" s="107"/>
      <c r="C143" s="107"/>
      <c r="D143" s="107"/>
      <c r="E143" s="107"/>
      <c r="F143" s="107"/>
      <c r="G143" s="107"/>
      <c r="H143" s="107"/>
      <c r="I143" s="107"/>
      <c r="J143" s="107"/>
      <c r="K143" s="107"/>
      <c r="L143" s="105">
        <f>((M142*$E$7)+M144*(1-$E$7))*$E$6</f>
        <v>2.0173132081353516E-3</v>
      </c>
      <c r="M143" s="116">
        <f>EXP(-dividend_rate*Time/n_periods)*(BinomialModel!N143-BinomialModel!N145)/(Stock*(up_factor-down_factor))</f>
        <v>1.1083090520890087E-4</v>
      </c>
      <c r="N143" s="105">
        <f>((O142*$E$7)+O144*(1-$E$7))*$E$6</f>
        <v>7.2094774385932808E-4</v>
      </c>
      <c r="O143" s="116">
        <f>EXP(-dividend_rate*Time/n_periods)*(BinomialModel!P143-BinomialModel!P145)/(Stock*(up_factor-down_factor))</f>
        <v>2.4502320963657033E-5</v>
      </c>
      <c r="P143" s="105">
        <f>((Q142*$E$7)+Q144*(1-$E$7))*$E$6</f>
        <v>1.5124187303582726E-4</v>
      </c>
      <c r="Q143" s="116">
        <f>EXP(-dividend_rate*Time/n_periods)*(BinomialModel!R143-BinomialModel!R145)/(Stock*(up_factor-down_factor))</f>
        <v>0</v>
      </c>
      <c r="R143" s="105">
        <f>((S142*$E$7)+S144*(1-$E$7))*$E$6</f>
        <v>0</v>
      </c>
      <c r="S143" s="116">
        <f>EXP(-dividend_rate*Time/n_periods)*(BinomialModel!T143-BinomialModel!T145)/(Stock*(up_factor-down_factor))</f>
        <v>0</v>
      </c>
      <c r="T143" s="105">
        <f>((U142*$E$7)+U144*(1-$E$7))*$E$6</f>
        <v>0</v>
      </c>
      <c r="U143" s="116">
        <f>EXP(-dividend_rate*Time/n_periods)*(BinomialModel!V143-BinomialModel!V145)/(Stock*(up_factor-down_factor))</f>
        <v>0</v>
      </c>
      <c r="V143" s="105">
        <f>((W142*$E$7)+W144*(1-$E$7))*$E$6</f>
        <v>0</v>
      </c>
      <c r="W143" s="116">
        <f>EXP(-dividend_rate*Time/n_periods)*(BinomialModel!X143-BinomialModel!X145)/(Stock*(up_factor-down_factor))</f>
        <v>0</v>
      </c>
      <c r="X143" s="105">
        <f>((Y142*$E$7)+Y144*(1-$E$7))*$E$6</f>
        <v>0</v>
      </c>
      <c r="Y143" s="116">
        <f>EXP(-dividend_rate*Time/n_periods)*(BinomialModel!Z143-BinomialModel!Z145)/(Stock*(up_factor-down_factor))</f>
        <v>0</v>
      </c>
      <c r="Z143" s="105">
        <f>((AA142*$E$7)+AA144*(1-$E$7))*$E$6</f>
        <v>0</v>
      </c>
      <c r="AA143" s="116">
        <f>EXP(-dividend_rate*Time/n_periods)*(BinomialModel!AB143-BinomialModel!AB145)/(Stock*(up_factor-down_factor))</f>
        <v>0</v>
      </c>
      <c r="AB143" s="105">
        <f>((AC142*$E$7)+AC144*(1-$E$7))*$E$6</f>
        <v>0</v>
      </c>
      <c r="AC143" s="116">
        <f>EXP(-dividend_rate*Time/n_periods)*(BinomialModel!AD143-BinomialModel!AD145)/(Stock*(up_factor-down_factor))</f>
        <v>0</v>
      </c>
      <c r="AD143" s="105">
        <f>((AE142*$E$7)+AE144*(1-$E$7))*$E$6</f>
        <v>0</v>
      </c>
    </row>
    <row r="144" spans="1:31" ht="18.75" customHeight="1">
      <c r="A144" s="107"/>
      <c r="B144" s="107"/>
      <c r="C144" s="107"/>
      <c r="D144" s="107"/>
      <c r="E144" s="107"/>
      <c r="F144" s="107"/>
      <c r="G144" s="107"/>
      <c r="H144" s="107"/>
      <c r="I144" s="107"/>
      <c r="J144" s="107"/>
      <c r="K144" s="107"/>
      <c r="L144" s="107"/>
      <c r="M144" s="105">
        <f>((N143*$E$7)+N145*(1-$E$7))*$E$6</f>
        <v>3.7446648047326442E-4</v>
      </c>
      <c r="N144" s="116">
        <f>EXP(-dividend_rate*Time/n_periods)*(BinomialModel!O144-BinomialModel!O146)/(Stock*(up_factor-down_factor))</f>
        <v>1.2092605978011155E-5</v>
      </c>
      <c r="O144" s="105">
        <f>((P143*$E$7)+P145*(1-$E$7))*$E$6</f>
        <v>7.4642250450941759E-5</v>
      </c>
      <c r="P144" s="116">
        <f>EXP(-dividend_rate*Time/n_periods)*(BinomialModel!Q144-BinomialModel!Q146)/(Stock*(up_factor-down_factor))</f>
        <v>0</v>
      </c>
      <c r="Q144" s="105">
        <f>((R143*$E$7)+R145*(1-$E$7))*$E$6</f>
        <v>0</v>
      </c>
      <c r="R144" s="116">
        <f>EXP(-dividend_rate*Time/n_periods)*(BinomialModel!S144-BinomialModel!S146)/(Stock*(up_factor-down_factor))</f>
        <v>0</v>
      </c>
      <c r="S144" s="105">
        <f>((T143*$E$7)+T145*(1-$E$7))*$E$6</f>
        <v>0</v>
      </c>
      <c r="T144" s="116">
        <f>EXP(-dividend_rate*Time/n_periods)*(BinomialModel!U144-BinomialModel!U146)/(Stock*(up_factor-down_factor))</f>
        <v>0</v>
      </c>
      <c r="U144" s="105">
        <f>((V143*$E$7)+V145*(1-$E$7))*$E$6</f>
        <v>0</v>
      </c>
      <c r="V144" s="116">
        <f>EXP(-dividend_rate*Time/n_periods)*(BinomialModel!W144-BinomialModel!W146)/(Stock*(up_factor-down_factor))</f>
        <v>0</v>
      </c>
      <c r="W144" s="105">
        <f>((X143*$E$7)+X145*(1-$E$7))*$E$6</f>
        <v>0</v>
      </c>
      <c r="X144" s="116">
        <f>EXP(-dividend_rate*Time/n_periods)*(BinomialModel!Y144-BinomialModel!Y146)/(Stock*(up_factor-down_factor))</f>
        <v>0</v>
      </c>
      <c r="Y144" s="105">
        <f>((Z143*$E$7)+Z145*(1-$E$7))*$E$6</f>
        <v>0</v>
      </c>
      <c r="Z144" s="116">
        <f>EXP(-dividend_rate*Time/n_periods)*(BinomialModel!AA144-BinomialModel!AA146)/(Stock*(up_factor-down_factor))</f>
        <v>0</v>
      </c>
      <c r="AA144" s="105">
        <f>((AB143*$E$7)+AB145*(1-$E$7))*$E$6</f>
        <v>0</v>
      </c>
      <c r="AB144" s="116">
        <f>EXP(-dividend_rate*Time/n_periods)*(BinomialModel!AC144-BinomialModel!AC146)/(Stock*(up_factor-down_factor))</f>
        <v>0</v>
      </c>
      <c r="AC144" s="105">
        <f>((AD143*$E$7)+AD145*(1-$E$7))*$E$6</f>
        <v>0</v>
      </c>
      <c r="AD144" s="116">
        <f>EXP(-dividend_rate*Time/n_periods)*(BinomialModel!AE144-BinomialModel!AE146)/(Stock*(up_factor-down_factor))</f>
        <v>0</v>
      </c>
      <c r="AE144" s="105">
        <f>IF(AE61&gt;$AE$84,AE61-$AE$84,0)</f>
        <v>0</v>
      </c>
    </row>
    <row r="145" spans="1:31" ht="18.75" customHeight="1">
      <c r="A145" s="107"/>
      <c r="B145" s="107"/>
      <c r="C145" s="107"/>
      <c r="D145" s="107"/>
      <c r="E145" s="107"/>
      <c r="F145" s="107"/>
      <c r="G145" s="107"/>
      <c r="H145" s="107"/>
      <c r="I145" s="107"/>
      <c r="J145" s="107"/>
      <c r="K145" s="107"/>
      <c r="L145" s="107"/>
      <c r="M145" s="107"/>
      <c r="N145" s="105">
        <f>((O144*$E$7)+O146*(1-$E$7))*$E$6</f>
        <v>3.6838115268919649E-5</v>
      </c>
      <c r="O145" s="116">
        <f>EXP(-dividend_rate*Time/n_periods)*(BinomialModel!P145-BinomialModel!P147)/(Stock*(up_factor-down_factor))</f>
        <v>0</v>
      </c>
      <c r="P145" s="105">
        <f>((Q144*$E$7)+Q146*(1-$E$7))*$E$6</f>
        <v>0</v>
      </c>
      <c r="Q145" s="116">
        <f>EXP(-dividend_rate*Time/n_periods)*(BinomialModel!R145-BinomialModel!R147)/(Stock*(up_factor-down_factor))</f>
        <v>0</v>
      </c>
      <c r="R145" s="105">
        <f>((S144*$E$7)+S146*(1-$E$7))*$E$6</f>
        <v>0</v>
      </c>
      <c r="S145" s="116">
        <f>EXP(-dividend_rate*Time/n_periods)*(BinomialModel!T145-BinomialModel!T147)/(Stock*(up_factor-down_factor))</f>
        <v>0</v>
      </c>
      <c r="T145" s="105">
        <f>((U144*$E$7)+U146*(1-$E$7))*$E$6</f>
        <v>0</v>
      </c>
      <c r="U145" s="116">
        <f>EXP(-dividend_rate*Time/n_periods)*(BinomialModel!V145-BinomialModel!V147)/(Stock*(up_factor-down_factor))</f>
        <v>0</v>
      </c>
      <c r="V145" s="105">
        <f>((W144*$E$7)+W146*(1-$E$7))*$E$6</f>
        <v>0</v>
      </c>
      <c r="W145" s="116">
        <f>EXP(-dividend_rate*Time/n_periods)*(BinomialModel!X145-BinomialModel!X147)/(Stock*(up_factor-down_factor))</f>
        <v>0</v>
      </c>
      <c r="X145" s="105">
        <f>((Y144*$E$7)+Y146*(1-$E$7))*$E$6</f>
        <v>0</v>
      </c>
      <c r="Y145" s="116">
        <f>EXP(-dividend_rate*Time/n_periods)*(BinomialModel!Z145-BinomialModel!Z147)/(Stock*(up_factor-down_factor))</f>
        <v>0</v>
      </c>
      <c r="Z145" s="105">
        <f>((AA144*$E$7)+AA146*(1-$E$7))*$E$6</f>
        <v>0</v>
      </c>
      <c r="AA145" s="116">
        <f>EXP(-dividend_rate*Time/n_periods)*(BinomialModel!AB145-BinomialModel!AB147)/(Stock*(up_factor-down_factor))</f>
        <v>0</v>
      </c>
      <c r="AB145" s="105">
        <f>((AC144*$E$7)+AC146*(1-$E$7))*$E$6</f>
        <v>0</v>
      </c>
      <c r="AC145" s="116">
        <f>EXP(-dividend_rate*Time/n_periods)*(BinomialModel!AD145-BinomialModel!AD147)/(Stock*(up_factor-down_factor))</f>
        <v>0</v>
      </c>
      <c r="AD145" s="105">
        <f>((AE144*$E$7)+AE146*(1-$E$7))*$E$6</f>
        <v>0</v>
      </c>
    </row>
    <row r="146" spans="1:31" ht="18.75" customHeight="1">
      <c r="A146" s="107"/>
      <c r="B146" s="107"/>
      <c r="C146" s="107"/>
      <c r="D146" s="107"/>
      <c r="E146" s="107"/>
      <c r="F146" s="107"/>
      <c r="G146" s="107"/>
      <c r="H146" s="107"/>
      <c r="I146" s="107"/>
      <c r="J146" s="107"/>
      <c r="K146" s="107"/>
      <c r="L146" s="107"/>
      <c r="M146" s="107"/>
      <c r="O146" s="105">
        <f>((P145*$E$7)+P147*(1-$E$7))*$E$6</f>
        <v>0</v>
      </c>
      <c r="P146" s="116">
        <f>EXP(-dividend_rate*Time/n_periods)*(BinomialModel!Q146-BinomialModel!Q148)/(Stock*(up_factor-down_factor))</f>
        <v>0</v>
      </c>
      <c r="Q146" s="105">
        <f>((R145*$E$7)+R147*(1-$E$7))*$E$6</f>
        <v>0</v>
      </c>
      <c r="R146" s="116">
        <f>EXP(-dividend_rate*Time/n_periods)*(BinomialModel!S146-BinomialModel!S148)/(Stock*(up_factor-down_factor))</f>
        <v>0</v>
      </c>
      <c r="S146" s="105">
        <f>((T145*$E$7)+T147*(1-$E$7))*$E$6</f>
        <v>0</v>
      </c>
      <c r="T146" s="116">
        <f>EXP(-dividend_rate*Time/n_periods)*(BinomialModel!U146-BinomialModel!U148)/(Stock*(up_factor-down_factor))</f>
        <v>0</v>
      </c>
      <c r="U146" s="105">
        <f>((V145*$E$7)+V147*(1-$E$7))*$E$6</f>
        <v>0</v>
      </c>
      <c r="V146" s="116">
        <f>EXP(-dividend_rate*Time/n_periods)*(BinomialModel!W146-BinomialModel!W148)/(Stock*(up_factor-down_factor))</f>
        <v>0</v>
      </c>
      <c r="W146" s="105">
        <f>((X145*$E$7)+X147*(1-$E$7))*$E$6</f>
        <v>0</v>
      </c>
      <c r="X146" s="116">
        <f>EXP(-dividend_rate*Time/n_periods)*(BinomialModel!Y146-BinomialModel!Y148)/(Stock*(up_factor-down_factor))</f>
        <v>0</v>
      </c>
      <c r="Y146" s="105">
        <f>((Z145*$E$7)+Z147*(1-$E$7))*$E$6</f>
        <v>0</v>
      </c>
      <c r="Z146" s="116">
        <f>EXP(-dividend_rate*Time/n_periods)*(BinomialModel!AA146-BinomialModel!AA148)/(Stock*(up_factor-down_factor))</f>
        <v>0</v>
      </c>
      <c r="AA146" s="105">
        <f>((AB145*$E$7)+AB147*(1-$E$7))*$E$6</f>
        <v>0</v>
      </c>
      <c r="AB146" s="116">
        <f>EXP(-dividend_rate*Time/n_periods)*(BinomialModel!AC146-BinomialModel!AC148)/(Stock*(up_factor-down_factor))</f>
        <v>0</v>
      </c>
      <c r="AC146" s="105">
        <f>((AD145*$E$7)+AD147*(1-$E$7))*$E$6</f>
        <v>0</v>
      </c>
      <c r="AD146" s="116">
        <f>EXP(-dividend_rate*Time/n_periods)*(BinomialModel!AE146-BinomialModel!AE148)/(Stock*(up_factor-down_factor))</f>
        <v>0</v>
      </c>
      <c r="AE146" s="105">
        <f>IF(AE63&gt;$AE$84,AE63-$AE$84,0)</f>
        <v>0</v>
      </c>
    </row>
    <row r="147" spans="1:31" ht="18.75" customHeight="1">
      <c r="A147" s="107"/>
      <c r="B147" s="107"/>
      <c r="C147" s="107"/>
      <c r="D147" s="107"/>
      <c r="E147" s="107"/>
      <c r="F147" s="107"/>
      <c r="G147" s="107"/>
      <c r="H147" s="107"/>
      <c r="I147" s="107"/>
      <c r="J147" s="107"/>
      <c r="K147" s="107"/>
      <c r="L147" s="107"/>
      <c r="M147" s="107"/>
      <c r="P147" s="105">
        <f>((Q146*$E$7)+Q148*(1-$E$7))*$E$6</f>
        <v>0</v>
      </c>
      <c r="Q147" s="116">
        <f>EXP(-dividend_rate*Time/n_periods)*(BinomialModel!R147-BinomialModel!R149)/(Stock*(up_factor-down_factor))</f>
        <v>0</v>
      </c>
      <c r="R147" s="105">
        <f>((S146*$E$7)+S148*(1-$E$7))*$E$6</f>
        <v>0</v>
      </c>
      <c r="S147" s="116">
        <f>EXP(-dividend_rate*Time/n_periods)*(BinomialModel!T147-BinomialModel!T149)/(Stock*(up_factor-down_factor))</f>
        <v>0</v>
      </c>
      <c r="T147" s="105">
        <f>((U146*$E$7)+U148*(1-$E$7))*$E$6</f>
        <v>0</v>
      </c>
      <c r="U147" s="116">
        <f>EXP(-dividend_rate*Time/n_periods)*(BinomialModel!V147-BinomialModel!V149)/(Stock*(up_factor-down_factor))</f>
        <v>0</v>
      </c>
      <c r="V147" s="105">
        <f>((W146*$E$7)+W148*(1-$E$7))*$E$6</f>
        <v>0</v>
      </c>
      <c r="W147" s="116">
        <f>EXP(-dividend_rate*Time/n_periods)*(BinomialModel!X147-BinomialModel!X149)/(Stock*(up_factor-down_factor))</f>
        <v>0</v>
      </c>
      <c r="X147" s="105">
        <f>((Y146*$E$7)+Y148*(1-$E$7))*$E$6</f>
        <v>0</v>
      </c>
      <c r="Y147" s="116">
        <f>EXP(-dividend_rate*Time/n_periods)*(BinomialModel!Z147-BinomialModel!Z149)/(Stock*(up_factor-down_factor))</f>
        <v>0</v>
      </c>
      <c r="Z147" s="105">
        <f>((AA146*$E$7)+AA148*(1-$E$7))*$E$6</f>
        <v>0</v>
      </c>
      <c r="AA147" s="116">
        <f>EXP(-dividend_rate*Time/n_periods)*(BinomialModel!AB147-BinomialModel!AB149)/(Stock*(up_factor-down_factor))</f>
        <v>0</v>
      </c>
      <c r="AB147" s="105">
        <f>((AC146*$E$7)+AC148*(1-$E$7))*$E$6</f>
        <v>0</v>
      </c>
      <c r="AC147" s="116">
        <f>EXP(-dividend_rate*Time/n_periods)*(BinomialModel!AD147-BinomialModel!AD149)/(Stock*(up_factor-down_factor))</f>
        <v>0</v>
      </c>
      <c r="AD147" s="105">
        <f>((AE146*$E$7)+AE148*(1-$E$7))*$E$6</f>
        <v>0</v>
      </c>
    </row>
    <row r="148" spans="1:31" ht="18.75" customHeight="1">
      <c r="A148" s="107"/>
      <c r="B148" s="107"/>
      <c r="C148" s="107"/>
      <c r="D148" s="107"/>
      <c r="E148" s="107"/>
      <c r="F148" s="107"/>
      <c r="G148" s="107"/>
      <c r="H148" s="107"/>
      <c r="I148" s="107"/>
      <c r="J148" s="107"/>
      <c r="K148" s="107"/>
      <c r="L148" s="107"/>
      <c r="M148" s="107"/>
      <c r="Q148" s="105">
        <f>((R147*$E$7)+R149*(1-$E$7))*$E$6</f>
        <v>0</v>
      </c>
      <c r="R148" s="116">
        <f>EXP(-dividend_rate*Time/n_periods)*(BinomialModel!S148-BinomialModel!S150)/(Stock*(up_factor-down_factor))</f>
        <v>0</v>
      </c>
      <c r="S148" s="105">
        <f>((T147*$E$7)+T149*(1-$E$7))*$E$6</f>
        <v>0</v>
      </c>
      <c r="T148" s="116">
        <f>EXP(-dividend_rate*Time/n_periods)*(BinomialModel!U148-BinomialModel!U150)/(Stock*(up_factor-down_factor))</f>
        <v>0</v>
      </c>
      <c r="U148" s="105">
        <f>((V147*$E$7)+V149*(1-$E$7))*$E$6</f>
        <v>0</v>
      </c>
      <c r="V148" s="116">
        <f>EXP(-dividend_rate*Time/n_periods)*(BinomialModel!W148-BinomialModel!W150)/(Stock*(up_factor-down_factor))</f>
        <v>0</v>
      </c>
      <c r="W148" s="105">
        <f>((X147*$E$7)+X149*(1-$E$7))*$E$6</f>
        <v>0</v>
      </c>
      <c r="X148" s="116">
        <f>EXP(-dividend_rate*Time/n_periods)*(BinomialModel!Y148-BinomialModel!Y150)/(Stock*(up_factor-down_factor))</f>
        <v>0</v>
      </c>
      <c r="Y148" s="105">
        <f>((Z147*$E$7)+Z149*(1-$E$7))*$E$6</f>
        <v>0</v>
      </c>
      <c r="Z148" s="116">
        <f>EXP(-dividend_rate*Time/n_periods)*(BinomialModel!AA148-BinomialModel!AA150)/(Stock*(up_factor-down_factor))</f>
        <v>0</v>
      </c>
      <c r="AA148" s="105">
        <f>((AB147*$E$7)+AB149*(1-$E$7))*$E$6</f>
        <v>0</v>
      </c>
      <c r="AB148" s="116">
        <f>EXP(-dividend_rate*Time/n_periods)*(BinomialModel!AC148-BinomialModel!AC150)/(Stock*(up_factor-down_factor))</f>
        <v>0</v>
      </c>
      <c r="AC148" s="105">
        <f>((AD147*$E$7)+AD149*(1-$E$7))*$E$6</f>
        <v>0</v>
      </c>
      <c r="AD148" s="116">
        <f>EXP(-dividend_rate*Time/n_periods)*(BinomialModel!AE148-BinomialModel!AE150)/(Stock*(up_factor-down_factor))</f>
        <v>0</v>
      </c>
      <c r="AE148" s="105">
        <f>IF(AE65&gt;$AE$84,AE65-$AE$84,0)</f>
        <v>0</v>
      </c>
    </row>
    <row r="149" spans="1:31" ht="18.75" customHeight="1">
      <c r="A149" s="107"/>
      <c r="B149" s="107"/>
      <c r="C149" s="107"/>
      <c r="D149" s="107"/>
      <c r="E149" s="107"/>
      <c r="F149" s="107"/>
      <c r="G149" s="107"/>
      <c r="H149" s="107"/>
      <c r="I149" s="107"/>
      <c r="J149" s="107"/>
      <c r="K149" s="107"/>
      <c r="L149" s="107"/>
      <c r="M149" s="107"/>
      <c r="R149" s="105">
        <f>((S148*$E$7)+S150*(1-$E$7))*$E$6</f>
        <v>0</v>
      </c>
      <c r="S149" s="116">
        <f>EXP(-dividend_rate*Time/n_periods)*(BinomialModel!T149-BinomialModel!T151)/(Stock*(up_factor-down_factor))</f>
        <v>0</v>
      </c>
      <c r="T149" s="105">
        <f>((U148*$E$7)+U150*(1-$E$7))*$E$6</f>
        <v>0</v>
      </c>
      <c r="U149" s="116">
        <f>EXP(-dividend_rate*Time/n_periods)*(BinomialModel!V149-BinomialModel!V151)/(Stock*(up_factor-down_factor))</f>
        <v>0</v>
      </c>
      <c r="V149" s="105">
        <f>((W148*$E$7)+W150*(1-$E$7))*$E$6</f>
        <v>0</v>
      </c>
      <c r="W149" s="116">
        <f>EXP(-dividend_rate*Time/n_periods)*(BinomialModel!X149-BinomialModel!X151)/(Stock*(up_factor-down_factor))</f>
        <v>0</v>
      </c>
      <c r="X149" s="105">
        <f>((Y148*$E$7)+Y150*(1-$E$7))*$E$6</f>
        <v>0</v>
      </c>
      <c r="Y149" s="116">
        <f>EXP(-dividend_rate*Time/n_periods)*(BinomialModel!Z149-BinomialModel!Z151)/(Stock*(up_factor-down_factor))</f>
        <v>0</v>
      </c>
      <c r="Z149" s="105">
        <f>((AA148*$E$7)+AA150*(1-$E$7))*$E$6</f>
        <v>0</v>
      </c>
      <c r="AA149" s="116">
        <f>EXP(-dividend_rate*Time/n_periods)*(BinomialModel!AB149-BinomialModel!AB151)/(Stock*(up_factor-down_factor))</f>
        <v>0</v>
      </c>
      <c r="AB149" s="105">
        <f>((AC148*$E$7)+AC150*(1-$E$7))*$E$6</f>
        <v>0</v>
      </c>
      <c r="AC149" s="116">
        <f>EXP(-dividend_rate*Time/n_periods)*(BinomialModel!AD149-BinomialModel!AD151)/(Stock*(up_factor-down_factor))</f>
        <v>0</v>
      </c>
      <c r="AD149" s="105">
        <f>((AE148*$E$7)+AE150*(1-$E$7))*$E$6</f>
        <v>0</v>
      </c>
    </row>
    <row r="150" spans="1:31" ht="18.75" customHeight="1">
      <c r="A150" s="107"/>
      <c r="B150" s="107"/>
      <c r="C150" s="107"/>
      <c r="D150" s="107"/>
      <c r="E150" s="107"/>
      <c r="F150" s="107"/>
      <c r="G150" s="107"/>
      <c r="H150" s="107"/>
      <c r="I150" s="107"/>
      <c r="J150" s="107"/>
      <c r="K150" s="107"/>
      <c r="L150" s="107"/>
      <c r="M150" s="107"/>
      <c r="S150" s="105">
        <f>((T149*$E$7)+T151*(1-$E$7))*$E$6</f>
        <v>0</v>
      </c>
      <c r="T150" s="116">
        <f>EXP(-dividend_rate*Time/n_periods)*(BinomialModel!U150-BinomialModel!U152)/(Stock*(up_factor-down_factor))</f>
        <v>0</v>
      </c>
      <c r="U150" s="105">
        <f>((V149*$E$7)+V151*(1-$E$7))*$E$6</f>
        <v>0</v>
      </c>
      <c r="V150" s="116">
        <f>EXP(-dividend_rate*Time/n_periods)*(BinomialModel!W150-BinomialModel!W152)/(Stock*(up_factor-down_factor))</f>
        <v>0</v>
      </c>
      <c r="W150" s="105">
        <f>((X149*$E$7)+X151*(1-$E$7))*$E$6</f>
        <v>0</v>
      </c>
      <c r="X150" s="116">
        <f>EXP(-dividend_rate*Time/n_periods)*(BinomialModel!Y150-BinomialModel!Y152)/(Stock*(up_factor-down_factor))</f>
        <v>0</v>
      </c>
      <c r="Y150" s="105">
        <f>((Z149*$E$7)+Z151*(1-$E$7))*$E$6</f>
        <v>0</v>
      </c>
      <c r="Z150" s="116">
        <f>EXP(-dividend_rate*Time/n_periods)*(BinomialModel!AA150-BinomialModel!AA152)/(Stock*(up_factor-down_factor))</f>
        <v>0</v>
      </c>
      <c r="AA150" s="105">
        <f>((AB149*$E$7)+AB151*(1-$E$7))*$E$6</f>
        <v>0</v>
      </c>
      <c r="AB150" s="116">
        <f>EXP(-dividend_rate*Time/n_periods)*(BinomialModel!AC150-BinomialModel!AC152)/(Stock*(up_factor-down_factor))</f>
        <v>0</v>
      </c>
      <c r="AC150" s="105">
        <f>((AD149*$E$7)+AD151*(1-$E$7))*$E$6</f>
        <v>0</v>
      </c>
      <c r="AD150" s="116">
        <f>EXP(-dividend_rate*Time/n_periods)*(BinomialModel!AE150-BinomialModel!AE152)/(Stock*(up_factor-down_factor))</f>
        <v>0</v>
      </c>
      <c r="AE150" s="105">
        <f>IF(AE67&gt;$AE$84,AE67-$AE$84,0)</f>
        <v>0</v>
      </c>
    </row>
    <row r="151" spans="1:31" ht="18.75" customHeight="1">
      <c r="A151" s="107"/>
      <c r="B151" s="107"/>
      <c r="C151" s="107"/>
      <c r="D151" s="107"/>
      <c r="E151" s="107"/>
      <c r="F151" s="107"/>
      <c r="G151" s="107"/>
      <c r="H151" s="107"/>
      <c r="I151" s="107"/>
      <c r="J151" s="107"/>
      <c r="K151" s="107"/>
      <c r="L151" s="107"/>
      <c r="M151" s="107"/>
      <c r="T151" s="105">
        <f>((U150*$E$7)+U152*(1-$E$7))*$E$6</f>
        <v>0</v>
      </c>
      <c r="U151" s="116">
        <f>EXP(-dividend_rate*Time/n_periods)*(BinomialModel!V151-BinomialModel!V153)/(Stock*(up_factor-down_factor))</f>
        <v>0</v>
      </c>
      <c r="V151" s="105">
        <f>((W150*$E$7)+W152*(1-$E$7))*$E$6</f>
        <v>0</v>
      </c>
      <c r="W151" s="116">
        <f>EXP(-dividend_rate*Time/n_periods)*(BinomialModel!X151-BinomialModel!X153)/(Stock*(up_factor-down_factor))</f>
        <v>0</v>
      </c>
      <c r="X151" s="105">
        <f>((Y150*$E$7)+Y152*(1-$E$7))*$E$6</f>
        <v>0</v>
      </c>
      <c r="Y151" s="116">
        <f>EXP(-dividend_rate*Time/n_periods)*(BinomialModel!Z151-BinomialModel!Z153)/(Stock*(up_factor-down_factor))</f>
        <v>0</v>
      </c>
      <c r="Z151" s="105">
        <f>((AA150*$E$7)+AA152*(1-$E$7))*$E$6</f>
        <v>0</v>
      </c>
      <c r="AA151" s="116">
        <f>EXP(-dividend_rate*Time/n_periods)*(BinomialModel!AB151-BinomialModel!AB153)/(Stock*(up_factor-down_factor))</f>
        <v>0</v>
      </c>
      <c r="AB151" s="105">
        <f>((AC150*$E$7)+AC152*(1-$E$7))*$E$6</f>
        <v>0</v>
      </c>
      <c r="AC151" s="116">
        <f>EXP(-dividend_rate*Time/n_periods)*(BinomialModel!AD151-BinomialModel!AD153)/(Stock*(up_factor-down_factor))</f>
        <v>0</v>
      </c>
      <c r="AD151" s="105">
        <f>((AE150*$E$7)+AE152*(1-$E$7))*$E$6</f>
        <v>0</v>
      </c>
    </row>
    <row r="152" spans="1:31" ht="18.75" customHeight="1">
      <c r="A152" s="107"/>
      <c r="B152" s="107"/>
      <c r="C152" s="107"/>
      <c r="D152" s="107"/>
      <c r="E152" s="107"/>
      <c r="F152" s="107"/>
      <c r="G152" s="107"/>
      <c r="H152" s="107"/>
      <c r="I152" s="107"/>
      <c r="J152" s="107"/>
      <c r="K152" s="107"/>
      <c r="L152" s="107"/>
      <c r="M152" s="107"/>
      <c r="U152" s="105">
        <f>((V151*$E$7)+V153*(1-$E$7))*$E$6</f>
        <v>0</v>
      </c>
      <c r="V152" s="116">
        <f>EXP(-dividend_rate*Time/n_periods)*(BinomialModel!W152-BinomialModel!W154)/(Stock*(up_factor-down_factor))</f>
        <v>0</v>
      </c>
      <c r="W152" s="105">
        <f>((X151*$E$7)+X153*(1-$E$7))*$E$6</f>
        <v>0</v>
      </c>
      <c r="X152" s="116">
        <f>EXP(-dividend_rate*Time/n_periods)*(BinomialModel!Y152-BinomialModel!Y154)/(Stock*(up_factor-down_factor))</f>
        <v>0</v>
      </c>
      <c r="Y152" s="105">
        <f>((Z151*$E$7)+Z153*(1-$E$7))*$E$6</f>
        <v>0</v>
      </c>
      <c r="Z152" s="116">
        <f>EXP(-dividend_rate*Time/n_periods)*(BinomialModel!AA152-BinomialModel!AA154)/(Stock*(up_factor-down_factor))</f>
        <v>0</v>
      </c>
      <c r="AA152" s="105">
        <f>((AB151*$E$7)+AB153*(1-$E$7))*$E$6</f>
        <v>0</v>
      </c>
      <c r="AB152" s="116">
        <f>EXP(-dividend_rate*Time/n_periods)*(BinomialModel!AC152-BinomialModel!AC154)/(Stock*(up_factor-down_factor))</f>
        <v>0</v>
      </c>
      <c r="AC152" s="105">
        <f>((AD151*$E$7)+AD153*(1-$E$7))*$E$6</f>
        <v>0</v>
      </c>
      <c r="AD152" s="116">
        <f>EXP(-dividend_rate*Time/n_periods)*(BinomialModel!AE152-BinomialModel!AE154)/(Stock*(up_factor-down_factor))</f>
        <v>0</v>
      </c>
      <c r="AE152" s="105">
        <f>IF(AE69&gt;$AE$84,AE69-$AE$84,0)</f>
        <v>0</v>
      </c>
    </row>
    <row r="153" spans="1:31" ht="18.75" customHeight="1">
      <c r="A153" s="107"/>
      <c r="B153" s="107"/>
      <c r="C153" s="107"/>
      <c r="D153" s="107"/>
      <c r="E153" s="107"/>
      <c r="F153" s="107"/>
      <c r="G153" s="107"/>
      <c r="H153" s="107"/>
      <c r="I153" s="107"/>
      <c r="J153" s="107"/>
      <c r="K153" s="107"/>
      <c r="L153" s="107"/>
      <c r="M153" s="107"/>
      <c r="V153" s="105">
        <f>((W152*$E$7)+W154*(1-$E$7))*$E$6</f>
        <v>0</v>
      </c>
      <c r="W153" s="116">
        <f>EXP(-dividend_rate*Time/n_periods)*(BinomialModel!X153-BinomialModel!X155)/(Stock*(up_factor-down_factor))</f>
        <v>0</v>
      </c>
      <c r="X153" s="105">
        <f>((Y152*$E$7)+Y154*(1-$E$7))*$E$6</f>
        <v>0</v>
      </c>
      <c r="Y153" s="116">
        <f>EXP(-dividend_rate*Time/n_periods)*(BinomialModel!Z153-BinomialModel!Z155)/(Stock*(up_factor-down_factor))</f>
        <v>0</v>
      </c>
      <c r="Z153" s="105">
        <f>((AA152*$E$7)+AA154*(1-$E$7))*$E$6</f>
        <v>0</v>
      </c>
      <c r="AA153" s="116">
        <f>EXP(-dividend_rate*Time/n_periods)*(BinomialModel!AB153-BinomialModel!AB155)/(Stock*(up_factor-down_factor))</f>
        <v>0</v>
      </c>
      <c r="AB153" s="105">
        <f>((AC152*$E$7)+AC154*(1-$E$7))*$E$6</f>
        <v>0</v>
      </c>
      <c r="AC153" s="116">
        <f>EXP(-dividend_rate*Time/n_periods)*(BinomialModel!AD153-BinomialModel!AD155)/(Stock*(up_factor-down_factor))</f>
        <v>0</v>
      </c>
      <c r="AD153" s="105">
        <f>((AE152*$E$7)+AE154*(1-$E$7))*$E$6</f>
        <v>0</v>
      </c>
    </row>
    <row r="154" spans="1:31" ht="18.75" customHeight="1">
      <c r="A154" s="107"/>
      <c r="B154" s="107"/>
      <c r="C154" s="107"/>
      <c r="D154" s="107"/>
      <c r="E154" s="107"/>
      <c r="F154" s="107"/>
      <c r="G154" s="107"/>
      <c r="H154" s="107"/>
      <c r="I154" s="107"/>
      <c r="J154" s="107"/>
      <c r="K154" s="107"/>
      <c r="L154" s="107"/>
      <c r="M154" s="107"/>
      <c r="W154" s="105">
        <f>((X153*$E$7)+X155*(1-$E$7))*$E$6</f>
        <v>0</v>
      </c>
      <c r="X154" s="116">
        <f>EXP(-dividend_rate*Time/n_periods)*(BinomialModel!Y154-BinomialModel!Y156)/(Stock*(up_factor-down_factor))</f>
        <v>0</v>
      </c>
      <c r="Y154" s="105">
        <f>((Z153*$E$7)+Z155*(1-$E$7))*$E$6</f>
        <v>0</v>
      </c>
      <c r="Z154" s="116">
        <f>EXP(-dividend_rate*Time/n_periods)*(BinomialModel!AA154-BinomialModel!AA156)/(Stock*(up_factor-down_factor))</f>
        <v>0</v>
      </c>
      <c r="AA154" s="105">
        <f>((AB153*$E$7)+AB155*(1-$E$7))*$E$6</f>
        <v>0</v>
      </c>
      <c r="AB154" s="116">
        <f>EXP(-dividend_rate*Time/n_periods)*(BinomialModel!AC154-BinomialModel!AC156)/(Stock*(up_factor-down_factor))</f>
        <v>0</v>
      </c>
      <c r="AC154" s="105">
        <f>((AD153*$E$7)+AD155*(1-$E$7))*$E$6</f>
        <v>0</v>
      </c>
      <c r="AD154" s="116">
        <f>EXP(-dividend_rate*Time/n_periods)*(BinomialModel!AE154-BinomialModel!AE156)/(Stock*(up_factor-down_factor))</f>
        <v>0</v>
      </c>
      <c r="AE154" s="105">
        <f>IF(AE71&gt;$AE$84,AE71-$AE$84,0)</f>
        <v>0</v>
      </c>
    </row>
    <row r="155" spans="1:31" ht="18.75" customHeight="1">
      <c r="A155" s="107"/>
      <c r="B155" s="107"/>
      <c r="C155" s="107"/>
      <c r="D155" s="107"/>
      <c r="E155" s="107"/>
      <c r="F155" s="107"/>
      <c r="G155" s="107"/>
      <c r="H155" s="107"/>
      <c r="I155" s="107"/>
      <c r="J155" s="107"/>
      <c r="K155" s="107"/>
      <c r="L155" s="107"/>
      <c r="M155" s="107"/>
      <c r="X155" s="105">
        <f>((Y154*$E$7)+Y156*(1-$E$7))*$E$6</f>
        <v>0</v>
      </c>
      <c r="Y155" s="116">
        <f>EXP(-dividend_rate*Time/n_periods)*(BinomialModel!Z155-BinomialModel!Z157)/(Stock*(up_factor-down_factor))</f>
        <v>0</v>
      </c>
      <c r="Z155" s="105">
        <f>((AA154*$E$7)+AA156*(1-$E$7))*$E$6</f>
        <v>0</v>
      </c>
      <c r="AA155" s="116">
        <f>EXP(-dividend_rate*Time/n_periods)*(BinomialModel!AB155-BinomialModel!AB157)/(Stock*(up_factor-down_factor))</f>
        <v>0</v>
      </c>
      <c r="AB155" s="105">
        <f>((AC154*$E$7)+AC156*(1-$E$7))*$E$6</f>
        <v>0</v>
      </c>
      <c r="AC155" s="116">
        <f>EXP(-dividend_rate*Time/n_periods)*(BinomialModel!AD155-BinomialModel!AD157)/(Stock*(up_factor-down_factor))</f>
        <v>0</v>
      </c>
      <c r="AD155" s="105">
        <f>((AE154*$E$7)+AE156*(1-$E$7))*$E$6</f>
        <v>0</v>
      </c>
    </row>
    <row r="156" spans="1:31" ht="18.75" customHeight="1">
      <c r="A156" s="107"/>
      <c r="B156" s="107"/>
      <c r="C156" s="107"/>
      <c r="D156" s="107"/>
      <c r="E156" s="107"/>
      <c r="F156" s="107"/>
      <c r="G156" s="107"/>
      <c r="H156" s="107"/>
      <c r="I156" s="107"/>
      <c r="J156" s="107"/>
      <c r="K156" s="107"/>
      <c r="L156" s="107"/>
      <c r="M156" s="107"/>
      <c r="Y156" s="105">
        <f>((Z155*$E$7)+Z157*(1-$E$7))*$E$6</f>
        <v>0</v>
      </c>
      <c r="Z156" s="116">
        <f>EXP(-dividend_rate*Time/n_periods)*(BinomialModel!AA156-BinomialModel!AA158)/(Stock*(up_factor-down_factor))</f>
        <v>0</v>
      </c>
      <c r="AA156" s="105">
        <f>((AB155*$E$7)+AB157*(1-$E$7))*$E$6</f>
        <v>0</v>
      </c>
      <c r="AB156" s="116">
        <f>EXP(-dividend_rate*Time/n_periods)*(BinomialModel!AC156-BinomialModel!AC158)/(Stock*(up_factor-down_factor))</f>
        <v>0</v>
      </c>
      <c r="AC156" s="105">
        <f>((AD155*$E$7)+AD157*(1-$E$7))*$E$6</f>
        <v>0</v>
      </c>
      <c r="AD156" s="116">
        <f>EXP(-dividend_rate*Time/n_periods)*(BinomialModel!AE156-BinomialModel!AE158)/(Stock*(up_factor-down_factor))</f>
        <v>0</v>
      </c>
      <c r="AE156" s="105">
        <f>IF(AE73&gt;$AE$84,AE73-$AE$84,0)</f>
        <v>0</v>
      </c>
    </row>
    <row r="157" spans="1:31" ht="18.75" customHeight="1">
      <c r="A157" s="107"/>
      <c r="B157" s="107"/>
      <c r="C157" s="107"/>
      <c r="D157" s="107"/>
      <c r="E157" s="107"/>
      <c r="F157" s="107"/>
      <c r="G157" s="107"/>
      <c r="H157" s="107"/>
      <c r="I157" s="107"/>
      <c r="J157" s="107"/>
      <c r="K157" s="107"/>
      <c r="L157" s="107"/>
      <c r="M157" s="107"/>
      <c r="Z157" s="105">
        <f>((AA156*$E$7)+AA158*(1-$E$7))*$E$6</f>
        <v>0</v>
      </c>
      <c r="AA157" s="116">
        <f>EXP(-dividend_rate*Time/n_periods)*(BinomialModel!AB157-BinomialModel!AB159)/(Stock*(up_factor-down_factor))</f>
        <v>0</v>
      </c>
      <c r="AB157" s="105">
        <f>((AC156*$E$7)+AC158*(1-$E$7))*$E$6</f>
        <v>0</v>
      </c>
      <c r="AC157" s="116">
        <f>EXP(-dividend_rate*Time/n_periods)*(BinomialModel!AD157-BinomialModel!AD159)/(Stock*(up_factor-down_factor))</f>
        <v>0</v>
      </c>
      <c r="AD157" s="105">
        <f>((AE156*$E$7)+AE158*(1-$E$7))*$E$6</f>
        <v>0</v>
      </c>
    </row>
    <row r="158" spans="1:31" ht="18.75" customHeight="1">
      <c r="A158" s="107"/>
      <c r="B158" s="107"/>
      <c r="C158" s="107"/>
      <c r="D158" s="107"/>
      <c r="E158" s="107"/>
      <c r="F158" s="107"/>
      <c r="G158" s="107"/>
      <c r="H158" s="107"/>
      <c r="I158" s="107"/>
      <c r="J158" s="107"/>
      <c r="K158" s="107"/>
      <c r="L158" s="107"/>
      <c r="M158" s="107"/>
      <c r="AA158" s="105">
        <f>((AB157*$E$7)+AB159*(1-$E$7))*$E$6</f>
        <v>0</v>
      </c>
      <c r="AB158" s="116">
        <f>EXP(-dividend_rate*Time/n_periods)*(BinomialModel!AC158-BinomialModel!AC160)/(Stock*(up_factor-down_factor))</f>
        <v>0</v>
      </c>
      <c r="AC158" s="105">
        <f>((AD157*$E$7)+AD159*(1-$E$7))*$E$6</f>
        <v>0</v>
      </c>
      <c r="AD158" s="116">
        <f>EXP(-dividend_rate*Time/n_periods)*(BinomialModel!AE158-BinomialModel!AE160)/(Stock*(up_factor-down_factor))</f>
        <v>0</v>
      </c>
      <c r="AE158" s="105">
        <f>IF(AE75&gt;$AE$84,AE75-$AE$84,0)</f>
        <v>0</v>
      </c>
    </row>
    <row r="159" spans="1:31" ht="18.75" customHeight="1">
      <c r="A159" s="107"/>
      <c r="B159" s="107"/>
      <c r="C159" s="107"/>
      <c r="D159" s="107"/>
      <c r="E159" s="107"/>
      <c r="F159" s="107"/>
      <c r="G159" s="107"/>
      <c r="H159" s="107"/>
      <c r="I159" s="107"/>
      <c r="J159" s="107"/>
      <c r="K159" s="107"/>
      <c r="L159" s="107"/>
      <c r="M159" s="107"/>
      <c r="AB159" s="105">
        <f>((AC158*$E$7)+AC160*(1-$E$7))*$E$6</f>
        <v>0</v>
      </c>
      <c r="AC159" s="116">
        <f>EXP(-dividend_rate*Time/n_periods)*(BinomialModel!AD159-BinomialModel!AD161)/(Stock*(up_factor-down_factor))</f>
        <v>0</v>
      </c>
      <c r="AD159" s="105">
        <f>((AE158*$E$7)+AE160*(1-$E$7))*$E$6</f>
        <v>0</v>
      </c>
    </row>
    <row r="160" spans="1:31" ht="18.75" customHeight="1">
      <c r="A160" s="107"/>
      <c r="B160" s="107"/>
      <c r="C160" s="107"/>
      <c r="D160" s="107"/>
      <c r="E160" s="107"/>
      <c r="F160" s="107"/>
      <c r="G160" s="107"/>
      <c r="H160" s="107"/>
      <c r="I160" s="107"/>
      <c r="J160" s="107"/>
      <c r="K160" s="107"/>
      <c r="L160" s="107"/>
      <c r="M160" s="107"/>
      <c r="AC160" s="105">
        <f>((AD159*$E$7)+AD161*(1-$E$7))*$E$6</f>
        <v>0</v>
      </c>
      <c r="AD160" s="116">
        <f>EXP(-dividend_rate*Time/n_periods)*(BinomialModel!AE160-BinomialModel!AE162)/(Stock*(up_factor-down_factor))</f>
        <v>0</v>
      </c>
      <c r="AE160" s="105">
        <f>IF(AE77&gt;$AE$84,AE77-$AE$84,0)</f>
        <v>0</v>
      </c>
    </row>
    <row r="161" spans="1:31" ht="18.75" customHeight="1">
      <c r="A161" s="107"/>
      <c r="B161" s="107"/>
      <c r="C161" s="107"/>
      <c r="D161" s="107"/>
      <c r="E161" s="107"/>
      <c r="F161" s="107"/>
      <c r="G161" s="107"/>
      <c r="H161" s="107"/>
      <c r="I161" s="107"/>
      <c r="J161" s="107"/>
      <c r="K161" s="107"/>
      <c r="L161" s="107"/>
      <c r="M161" s="107"/>
      <c r="AD161" s="105">
        <f>((AE160*$E$7)+AE162*(1-$E$7))*$E$6</f>
        <v>0</v>
      </c>
    </row>
    <row r="162" spans="1:31" ht="18.75" customHeight="1">
      <c r="A162" s="107"/>
      <c r="B162" s="107"/>
      <c r="C162" s="107"/>
      <c r="D162" s="107"/>
      <c r="E162" s="107"/>
      <c r="F162" s="107"/>
      <c r="G162" s="107"/>
      <c r="H162" s="107"/>
      <c r="I162" s="107"/>
      <c r="J162" s="107"/>
      <c r="K162" s="107"/>
      <c r="L162" s="107"/>
      <c r="M162" s="107"/>
      <c r="AE162" s="105">
        <f>IF(AE79&gt;$AE$84,AE79-$AE$84,0)</f>
        <v>0</v>
      </c>
    </row>
    <row r="163" spans="1:31" ht="18.75" customHeight="1">
      <c r="A163" s="107"/>
      <c r="B163" s="107"/>
      <c r="C163" s="107"/>
      <c r="D163" s="107"/>
      <c r="E163" s="107"/>
      <c r="F163" s="107"/>
      <c r="G163" s="107"/>
      <c r="H163" s="107"/>
      <c r="I163" s="107"/>
      <c r="J163" s="107"/>
      <c r="K163" s="107"/>
      <c r="L163" s="107"/>
      <c r="M163" s="107"/>
    </row>
    <row r="164" spans="1:31" ht="18.75" customHeight="1" thickBot="1">
      <c r="A164" s="107"/>
      <c r="B164" s="107"/>
      <c r="C164" s="107"/>
      <c r="D164" s="107"/>
      <c r="E164" s="107"/>
      <c r="F164" s="107"/>
      <c r="G164" s="107"/>
      <c r="H164" s="107"/>
      <c r="I164" s="107"/>
      <c r="J164" s="107"/>
      <c r="K164" s="107"/>
      <c r="L164" s="107"/>
      <c r="M164" s="107"/>
    </row>
    <row r="165" spans="1:31" ht="18.75" customHeight="1" thickBot="1">
      <c r="A165" s="161" t="s">
        <v>27</v>
      </c>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3"/>
    </row>
    <row r="166" spans="1:31" ht="18.75" customHeight="1">
      <c r="A166" s="107"/>
      <c r="B166" s="107"/>
      <c r="C166" s="107"/>
      <c r="D166" s="107"/>
      <c r="E166" s="107"/>
      <c r="F166" s="107"/>
      <c r="G166" s="107"/>
      <c r="H166" s="107"/>
      <c r="I166" s="107"/>
      <c r="J166" s="107"/>
      <c r="K166" s="107"/>
      <c r="L166" s="107"/>
    </row>
    <row r="167" spans="1:31" ht="18.75" customHeight="1">
      <c r="A167" s="107"/>
      <c r="B167" s="107"/>
      <c r="C167" s="107"/>
      <c r="D167" s="107"/>
      <c r="E167" s="107"/>
      <c r="F167" s="107"/>
      <c r="G167" s="107"/>
      <c r="H167" s="107"/>
      <c r="I167" s="107"/>
      <c r="J167" s="107"/>
      <c r="K167" s="107"/>
      <c r="L167" s="107"/>
    </row>
    <row r="168" spans="1:31" ht="18.75" customHeight="1">
      <c r="A168" s="107"/>
      <c r="B168" s="107"/>
      <c r="C168" s="107"/>
      <c r="D168" s="107"/>
      <c r="E168" s="107"/>
      <c r="F168" s="107"/>
      <c r="G168" s="107"/>
      <c r="H168" s="107"/>
      <c r="I168" s="107"/>
      <c r="J168" s="107"/>
      <c r="K168" s="107"/>
      <c r="L168" s="107"/>
    </row>
    <row r="169" spans="1:31" ht="18.75" customHeight="1">
      <c r="A169" s="107"/>
      <c r="B169" s="107"/>
      <c r="C169" s="107"/>
      <c r="D169" s="107"/>
      <c r="E169" s="107"/>
      <c r="F169" s="107"/>
      <c r="G169" s="107"/>
      <c r="H169" s="107"/>
      <c r="I169" s="107"/>
      <c r="J169" s="107"/>
      <c r="K169" s="107"/>
      <c r="L169" s="107"/>
    </row>
    <row r="170" spans="1:31" ht="18.75" customHeight="1">
      <c r="A170" s="107"/>
      <c r="B170" s="107"/>
      <c r="C170" s="107"/>
      <c r="D170" s="107"/>
      <c r="E170" s="107"/>
      <c r="F170" s="107"/>
      <c r="G170" s="107"/>
      <c r="H170" s="107"/>
      <c r="I170" s="107"/>
      <c r="J170" s="107"/>
      <c r="K170" s="107"/>
      <c r="L170" s="107"/>
    </row>
    <row r="171" spans="1:31" ht="18.75" customHeight="1">
      <c r="A171" s="107"/>
      <c r="B171" s="107"/>
      <c r="C171" s="107"/>
      <c r="D171" s="107"/>
      <c r="E171" s="107"/>
      <c r="F171" s="107"/>
      <c r="G171" s="107"/>
      <c r="H171" s="107"/>
      <c r="I171" s="107"/>
      <c r="J171" s="107"/>
      <c r="K171" s="107"/>
      <c r="L171" s="107"/>
    </row>
    <row r="172" spans="1:31" ht="18.75" customHeight="1">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row>
    <row r="173" spans="1:31" ht="18.75" customHeight="1">
      <c r="AD173" s="116">
        <f>-EXP(-dividend_rate*Time/n_periods)*(BinomialModel!AE173-BinomialModel!AE175)/(Stock*(up_factor-down_factor))</f>
        <v>0</v>
      </c>
      <c r="AE173" s="105">
        <f>IF(AE19&lt;$AE$84,$AE$84-AE19,0)</f>
        <v>0</v>
      </c>
    </row>
    <row r="174" spans="1:31" ht="18.75" customHeight="1">
      <c r="AC174" s="116">
        <f>-EXP(-dividend_rate*Time/n_periods)*(BinomialModel!AD174-BinomialModel!AD176)/(Stock*(up_factor-down_factor))</f>
        <v>0</v>
      </c>
      <c r="AD174" s="105">
        <f t="shared" ref="AD174:AD205" si="7">((AE173*$E$7)+AE175*(1-$E$7))*$E$6</f>
        <v>0</v>
      </c>
      <c r="AE174" s="105"/>
    </row>
    <row r="175" spans="1:31" ht="18.75" customHeight="1">
      <c r="AB175" s="116">
        <f>-EXP(-dividend_rate*Time/n_periods)*(BinomialModel!AC175-BinomialModel!AC177)/(Stock*(up_factor-down_factor))</f>
        <v>0</v>
      </c>
      <c r="AC175" s="105">
        <f t="shared" ref="AC175:AC206" si="8">((AD174*$E$7)+AD176*(1-$E$7))*$E$6</f>
        <v>0</v>
      </c>
      <c r="AD175" s="105">
        <f t="shared" si="7"/>
        <v>0</v>
      </c>
      <c r="AE175" s="105">
        <f>IF(AE21&lt;$AE$84,$AE$84-AE21,0)</f>
        <v>0</v>
      </c>
    </row>
    <row r="176" spans="1:31" ht="18.75" customHeight="1">
      <c r="AA176" s="116">
        <f>-EXP(-dividend_rate*Time/n_periods)*(BinomialModel!AB176-BinomialModel!AB178)/(Stock*(up_factor-down_factor))</f>
        <v>0</v>
      </c>
      <c r="AB176" s="105">
        <f t="shared" ref="AB176:AB207" si="9">((AC175*$E$7)+AC177*(1-$E$7))*$E$6</f>
        <v>0</v>
      </c>
      <c r="AC176" s="105">
        <f t="shared" si="8"/>
        <v>0</v>
      </c>
      <c r="AD176" s="105">
        <f t="shared" si="7"/>
        <v>0</v>
      </c>
      <c r="AE176" s="105"/>
    </row>
    <row r="177" spans="1:31" ht="18.75" customHeight="1">
      <c r="Z177" s="116">
        <f>-EXP(-dividend_rate*Time/n_periods)*(BinomialModel!AA177-BinomialModel!AA179)/(Stock*(up_factor-down_factor))</f>
        <v>0</v>
      </c>
      <c r="AA177" s="105">
        <f t="shared" ref="AA177:AA208" si="10">((AB176*$E$7)+AB178*(1-$E$7))*$E$6</f>
        <v>0</v>
      </c>
      <c r="AB177" s="105">
        <f t="shared" si="9"/>
        <v>0</v>
      </c>
      <c r="AC177" s="105">
        <f t="shared" si="8"/>
        <v>0</v>
      </c>
      <c r="AD177" s="105">
        <f t="shared" si="7"/>
        <v>0</v>
      </c>
      <c r="AE177" s="105">
        <f>IF(AE23&lt;$AE$84,$AE$84-AE23,0)</f>
        <v>0</v>
      </c>
    </row>
    <row r="178" spans="1:31" ht="18.75" customHeight="1">
      <c r="Y178" s="116">
        <f>-EXP(-dividend_rate*Time/n_periods)*(BinomialModel!Z178-BinomialModel!Z180)/(Stock*(up_factor-down_factor))</f>
        <v>0</v>
      </c>
      <c r="Z178" s="105">
        <f t="shared" ref="Z178:Z209" si="11">((AA177*$E$7)+AA179*(1-$E$7))*$E$6</f>
        <v>0</v>
      </c>
      <c r="AA178" s="105">
        <f t="shared" si="10"/>
        <v>0</v>
      </c>
      <c r="AB178" s="105">
        <f t="shared" si="9"/>
        <v>0</v>
      </c>
      <c r="AC178" s="105">
        <f t="shared" si="8"/>
        <v>0</v>
      </c>
      <c r="AD178" s="105">
        <f t="shared" si="7"/>
        <v>0</v>
      </c>
      <c r="AE178" s="105"/>
    </row>
    <row r="179" spans="1:31" ht="18.75" customHeight="1">
      <c r="X179" s="116">
        <f>-EXP(-dividend_rate*Time/n_periods)*(BinomialModel!Y179-BinomialModel!Y181)/(Stock*(up_factor-down_factor))</f>
        <v>0</v>
      </c>
      <c r="Y179" s="105">
        <f t="shared" ref="Y179:Y210" si="12">((Z178*$E$7)+Z180*(1-$E$7))*$E$6</f>
        <v>0</v>
      </c>
      <c r="Z179" s="105">
        <f t="shared" si="11"/>
        <v>0</v>
      </c>
      <c r="AA179" s="105">
        <f t="shared" si="10"/>
        <v>0</v>
      </c>
      <c r="AB179" s="105">
        <f t="shared" si="9"/>
        <v>0</v>
      </c>
      <c r="AC179" s="105">
        <f t="shared" si="8"/>
        <v>0</v>
      </c>
      <c r="AD179" s="105">
        <f t="shared" si="7"/>
        <v>0</v>
      </c>
      <c r="AE179" s="105">
        <f>IF(AE25&lt;$AE$84,$AE$84-AE25,0)</f>
        <v>0</v>
      </c>
    </row>
    <row r="180" spans="1:31" ht="18.75" customHeight="1">
      <c r="W180" s="116">
        <f>-EXP(-dividend_rate*Time/n_periods)*(BinomialModel!X180-BinomialModel!X182)/(Stock*(up_factor-down_factor))</f>
        <v>0</v>
      </c>
      <c r="X180" s="105">
        <f t="shared" ref="X180:X226" si="13">((Y179*$E$7)+Y181*(1-$E$7))*$E$6</f>
        <v>0</v>
      </c>
      <c r="Y180" s="105">
        <f t="shared" si="12"/>
        <v>0</v>
      </c>
      <c r="Z180" s="105">
        <f t="shared" si="11"/>
        <v>0</v>
      </c>
      <c r="AA180" s="105">
        <f t="shared" si="10"/>
        <v>0</v>
      </c>
      <c r="AB180" s="105">
        <f t="shared" si="9"/>
        <v>0</v>
      </c>
      <c r="AC180" s="105">
        <f t="shared" si="8"/>
        <v>0</v>
      </c>
      <c r="AD180" s="105">
        <f t="shared" si="7"/>
        <v>0</v>
      </c>
      <c r="AE180" s="105"/>
    </row>
    <row r="181" spans="1:31" ht="18.75" customHeight="1">
      <c r="V181" s="116">
        <f>-EXP(-dividend_rate*Time/n_periods)*(BinomialModel!W181-BinomialModel!W183)/(Stock*(up_factor-down_factor))</f>
        <v>0</v>
      </c>
      <c r="W181" s="105">
        <f t="shared" ref="W181:W225" si="14">((X180*$E$7)+X182*(1-$E$7))*$E$6</f>
        <v>0</v>
      </c>
      <c r="X181" s="105">
        <f t="shared" si="13"/>
        <v>0</v>
      </c>
      <c r="Y181" s="105">
        <f t="shared" si="12"/>
        <v>0</v>
      </c>
      <c r="Z181" s="105">
        <f t="shared" si="11"/>
        <v>0</v>
      </c>
      <c r="AA181" s="105">
        <f t="shared" si="10"/>
        <v>0</v>
      </c>
      <c r="AB181" s="105">
        <f t="shared" si="9"/>
        <v>0</v>
      </c>
      <c r="AC181" s="105">
        <f t="shared" si="8"/>
        <v>0</v>
      </c>
      <c r="AD181" s="105">
        <f t="shared" si="7"/>
        <v>0</v>
      </c>
      <c r="AE181" s="105">
        <f>IF(AE27&lt;$AE$84,$AE$84-AE27,0)</f>
        <v>0</v>
      </c>
    </row>
    <row r="182" spans="1:31" ht="18.75" customHeight="1">
      <c r="U182" s="116">
        <f>-EXP(-dividend_rate*Time/n_periods)*(BinomialModel!V182-BinomialModel!V184)/(Stock*(up_factor-down_factor))</f>
        <v>0</v>
      </c>
      <c r="V182" s="105">
        <f t="shared" ref="V182:V224" si="15">((W181*$E$7)+W183*(1-$E$7))*$E$6</f>
        <v>0</v>
      </c>
      <c r="W182" s="105">
        <f t="shared" si="14"/>
        <v>0</v>
      </c>
      <c r="X182" s="105">
        <f t="shared" si="13"/>
        <v>0</v>
      </c>
      <c r="Y182" s="105">
        <f t="shared" si="12"/>
        <v>0</v>
      </c>
      <c r="Z182" s="105">
        <f t="shared" si="11"/>
        <v>0</v>
      </c>
      <c r="AA182" s="105">
        <f t="shared" si="10"/>
        <v>0</v>
      </c>
      <c r="AB182" s="105">
        <f t="shared" si="9"/>
        <v>0</v>
      </c>
      <c r="AC182" s="105">
        <f t="shared" si="8"/>
        <v>0</v>
      </c>
      <c r="AD182" s="105">
        <f t="shared" si="7"/>
        <v>0</v>
      </c>
      <c r="AE182" s="105"/>
    </row>
    <row r="183" spans="1:31" ht="18.75" customHeight="1">
      <c r="T183" s="116">
        <f>-EXP(-dividend_rate*Time/n_periods)*(BinomialModel!U183-BinomialModel!U185)/(Stock*(up_factor-down_factor))</f>
        <v>0</v>
      </c>
      <c r="U183" s="105">
        <f>((V182*$E$7)+V184*(1-$E$7))*$E$6</f>
        <v>0</v>
      </c>
      <c r="V183" s="105">
        <f t="shared" si="15"/>
        <v>0</v>
      </c>
      <c r="W183" s="105">
        <f t="shared" si="14"/>
        <v>0</v>
      </c>
      <c r="X183" s="105">
        <f t="shared" si="13"/>
        <v>0</v>
      </c>
      <c r="Y183" s="105">
        <f t="shared" si="12"/>
        <v>0</v>
      </c>
      <c r="Z183" s="105">
        <f t="shared" si="11"/>
        <v>0</v>
      </c>
      <c r="AA183" s="105">
        <f t="shared" si="10"/>
        <v>0</v>
      </c>
      <c r="AB183" s="105">
        <f t="shared" si="9"/>
        <v>0</v>
      </c>
      <c r="AC183" s="105">
        <f t="shared" si="8"/>
        <v>0</v>
      </c>
      <c r="AD183" s="105">
        <f t="shared" si="7"/>
        <v>0</v>
      </c>
      <c r="AE183" s="105">
        <f>IF(AE29&lt;$AE$84,$AE$84-AE29,0)</f>
        <v>0</v>
      </c>
    </row>
    <row r="184" spans="1:31" ht="18.75" customHeight="1">
      <c r="S184" s="116">
        <f>-EXP(-dividend_rate*Time/n_periods)*(BinomialModel!T184-BinomialModel!T186)/(Stock*(up_factor-down_factor))</f>
        <v>0</v>
      </c>
      <c r="T184" s="105">
        <f>((U183*$E$7)+U185*(1-$E$7))*$E$6</f>
        <v>0</v>
      </c>
      <c r="U184" s="116">
        <f>-EXP(-dividend_rate*Time/n_periods)*(BinomialModel!V184-BinomialModel!V186)/(Stock*(up_factor-down_factor))</f>
        <v>0</v>
      </c>
      <c r="V184" s="105">
        <f t="shared" si="15"/>
        <v>0</v>
      </c>
      <c r="W184" s="105">
        <f t="shared" si="14"/>
        <v>0</v>
      </c>
      <c r="X184" s="105">
        <f t="shared" si="13"/>
        <v>0</v>
      </c>
      <c r="Y184" s="105">
        <f t="shared" si="12"/>
        <v>0</v>
      </c>
      <c r="Z184" s="105">
        <f t="shared" si="11"/>
        <v>0</v>
      </c>
      <c r="AA184" s="105">
        <f t="shared" si="10"/>
        <v>0</v>
      </c>
      <c r="AB184" s="105">
        <f t="shared" si="9"/>
        <v>0</v>
      </c>
      <c r="AC184" s="105">
        <f t="shared" si="8"/>
        <v>0</v>
      </c>
      <c r="AD184" s="105">
        <f t="shared" si="7"/>
        <v>0</v>
      </c>
      <c r="AE184" s="105"/>
    </row>
    <row r="185" spans="1:31" ht="18.75" customHeight="1">
      <c r="R185" s="116">
        <f>-EXP(-dividend_rate*Time/n_periods)*(BinomialModel!S185-BinomialModel!S187)/(Stock*(up_factor-down_factor))</f>
        <v>0</v>
      </c>
      <c r="S185" s="105">
        <f>((T184*$E$7)+T186*(1-$E$7))*$E$6</f>
        <v>0</v>
      </c>
      <c r="T185" s="116">
        <f>-EXP(-dividend_rate*Time/n_periods)*(BinomialModel!U185-BinomialModel!U187)/(Stock*(up_factor-down_factor))</f>
        <v>0</v>
      </c>
      <c r="U185" s="105">
        <f>((V184*$E$7)+V186*(1-$E$7))*$E$6</f>
        <v>0</v>
      </c>
      <c r="V185" s="105">
        <f t="shared" si="15"/>
        <v>0</v>
      </c>
      <c r="W185" s="105">
        <f t="shared" si="14"/>
        <v>0</v>
      </c>
      <c r="X185" s="105">
        <f t="shared" si="13"/>
        <v>0</v>
      </c>
      <c r="Y185" s="105">
        <f t="shared" si="12"/>
        <v>0</v>
      </c>
      <c r="Z185" s="105">
        <f t="shared" si="11"/>
        <v>0</v>
      </c>
      <c r="AA185" s="105">
        <f t="shared" si="10"/>
        <v>0</v>
      </c>
      <c r="AB185" s="105">
        <f t="shared" si="9"/>
        <v>0</v>
      </c>
      <c r="AC185" s="105">
        <f t="shared" si="8"/>
        <v>0</v>
      </c>
      <c r="AD185" s="105">
        <f t="shared" si="7"/>
        <v>0</v>
      </c>
      <c r="AE185" s="105">
        <f>IF(AE31&lt;$AE$84,$AE$84-AE31,0)</f>
        <v>0</v>
      </c>
    </row>
    <row r="186" spans="1:31" ht="18.75" customHeight="1">
      <c r="A186" s="107"/>
      <c r="B186" s="107"/>
      <c r="C186" s="107"/>
      <c r="D186" s="107"/>
      <c r="E186" s="107"/>
      <c r="F186" s="107"/>
      <c r="G186" s="107"/>
      <c r="H186" s="107"/>
      <c r="I186" s="107"/>
      <c r="J186" s="107"/>
      <c r="K186" s="107"/>
      <c r="L186" s="107"/>
      <c r="M186" s="107"/>
      <c r="Q186" s="116">
        <f>-EXP(-dividend_rate*Time/n_periods)*(BinomialModel!R186-BinomialModel!R188)/(Stock*(up_factor-down_factor))</f>
        <v>9.5409845624562792E-6</v>
      </c>
      <c r="R186" s="105">
        <f>((S185*$E$7)+S187*(1-$E$7))*$E$6</f>
        <v>0</v>
      </c>
      <c r="S186" s="116">
        <f>-EXP(-dividend_rate*Time/n_periods)*(BinomialModel!T186-BinomialModel!T188)/(Stock*(up_factor-down_factor))</f>
        <v>0</v>
      </c>
      <c r="T186" s="105">
        <f>((U185*$E$7)+U187*(1-$E$7))*$E$6</f>
        <v>0</v>
      </c>
      <c r="U186" s="116">
        <f>-EXP(-dividend_rate*Time/n_periods)*(BinomialModel!V186-BinomialModel!V188)/(Stock*(up_factor-down_factor))</f>
        <v>0</v>
      </c>
      <c r="V186" s="105">
        <f t="shared" si="15"/>
        <v>0</v>
      </c>
      <c r="W186" s="105">
        <f t="shared" si="14"/>
        <v>0</v>
      </c>
      <c r="X186" s="105">
        <f t="shared" si="13"/>
        <v>0</v>
      </c>
      <c r="Y186" s="105">
        <f t="shared" si="12"/>
        <v>0</v>
      </c>
      <c r="Z186" s="105">
        <f t="shared" si="11"/>
        <v>0</v>
      </c>
      <c r="AA186" s="105">
        <f t="shared" si="10"/>
        <v>0</v>
      </c>
      <c r="AB186" s="105">
        <f t="shared" si="9"/>
        <v>0</v>
      </c>
      <c r="AC186" s="105">
        <f t="shared" si="8"/>
        <v>0</v>
      </c>
      <c r="AD186" s="105">
        <f t="shared" si="7"/>
        <v>0</v>
      </c>
      <c r="AE186" s="105"/>
    </row>
    <row r="187" spans="1:31" ht="18.75" customHeight="1">
      <c r="A187" s="107"/>
      <c r="B187" s="107"/>
      <c r="C187" s="107"/>
      <c r="D187" s="107"/>
      <c r="E187" s="107"/>
      <c r="F187" s="107"/>
      <c r="G187" s="107"/>
      <c r="H187" s="107"/>
      <c r="I187" s="107"/>
      <c r="J187" s="107"/>
      <c r="K187" s="107"/>
      <c r="L187" s="107"/>
      <c r="M187" s="107"/>
      <c r="P187" s="116">
        <f>-EXP(-dividend_rate*Time/n_periods)*(BinomialModel!Q187-BinomialModel!Q189)/(Stock*(up_factor-down_factor))</f>
        <v>1.3826187596723081E-4</v>
      </c>
      <c r="Q187" s="105">
        <f>((R186*$E$7)+R188*(1-$E$7))*$E$6</f>
        <v>2.9827885370279611E-5</v>
      </c>
      <c r="R187" s="116">
        <f>-EXP(-dividend_rate*Time/n_periods)*(BinomialModel!S187-BinomialModel!S189)/(Stock*(up_factor-down_factor))</f>
        <v>1.8837737619408793E-5</v>
      </c>
      <c r="S187" s="105">
        <f>((T186*$E$7)+T188*(1-$E$7))*$E$6</f>
        <v>0</v>
      </c>
      <c r="T187" s="116">
        <f>-EXP(-dividend_rate*Time/n_periods)*(BinomialModel!U187-BinomialModel!U189)/(Stock*(up_factor-down_factor))</f>
        <v>0</v>
      </c>
      <c r="U187" s="105">
        <f>((V186*$E$7)+V188*(1-$E$7))*$E$6</f>
        <v>0</v>
      </c>
      <c r="V187" s="105">
        <f t="shared" si="15"/>
        <v>0</v>
      </c>
      <c r="W187" s="105">
        <f t="shared" si="14"/>
        <v>0</v>
      </c>
      <c r="X187" s="105">
        <f t="shared" si="13"/>
        <v>0</v>
      </c>
      <c r="Y187" s="105">
        <f t="shared" si="12"/>
        <v>0</v>
      </c>
      <c r="Z187" s="105">
        <f t="shared" si="11"/>
        <v>0</v>
      </c>
      <c r="AA187" s="105">
        <f t="shared" si="10"/>
        <v>0</v>
      </c>
      <c r="AB187" s="105">
        <f t="shared" si="9"/>
        <v>0</v>
      </c>
      <c r="AC187" s="105">
        <f t="shared" si="8"/>
        <v>0</v>
      </c>
      <c r="AD187" s="105">
        <f t="shared" si="7"/>
        <v>0</v>
      </c>
      <c r="AE187" s="105">
        <f>IF(AE33&lt;$AE$84,$AE$84-AE33,0)</f>
        <v>0</v>
      </c>
    </row>
    <row r="188" spans="1:31" ht="18.75" customHeight="1">
      <c r="A188" s="107"/>
      <c r="B188" s="107"/>
      <c r="C188" s="107"/>
      <c r="D188" s="107"/>
      <c r="E188" s="107"/>
      <c r="F188" s="107"/>
      <c r="G188" s="107"/>
      <c r="H188" s="107"/>
      <c r="I188" s="107"/>
      <c r="J188" s="107"/>
      <c r="K188" s="107"/>
      <c r="L188" s="107"/>
      <c r="M188" s="107"/>
      <c r="O188" s="116">
        <f>-EXP(-dividend_rate*Time/n_periods)*(BinomialModel!P188-BinomialModel!P190)/(Stock*(up_factor-down_factor))</f>
        <v>8.1432203645996919E-4</v>
      </c>
      <c r="P188" s="105">
        <f>((Q187*$E$7)+Q189*(1-$E$7))*$E$6</f>
        <v>4.6207495957493143E-4</v>
      </c>
      <c r="Q188" s="116">
        <f>-EXP(-dividend_rate*Time/n_periods)*(BinomialModel!R188-BinomialModel!R190)/(Stock*(up_factor-down_factor))</f>
        <v>2.6368753457541277E-4</v>
      </c>
      <c r="R188" s="105">
        <f>((S187*$E$7)+S189*(1-$E$7))*$E$6</f>
        <v>5.889223220821076E-5</v>
      </c>
      <c r="S188" s="116">
        <f>-EXP(-dividend_rate*Time/n_periods)*(BinomialModel!T188-BinomialModel!T190)/(Stock*(up_factor-down_factor))</f>
        <v>3.7193264101281827E-5</v>
      </c>
      <c r="T188" s="105">
        <f>((U187*$E$7)+U189*(1-$E$7))*$E$6</f>
        <v>0</v>
      </c>
      <c r="U188" s="116">
        <f>-EXP(-dividend_rate*Time/n_periods)*(BinomialModel!V188-BinomialModel!V190)/(Stock*(up_factor-down_factor))</f>
        <v>0</v>
      </c>
      <c r="V188" s="105">
        <f t="shared" si="15"/>
        <v>0</v>
      </c>
      <c r="W188" s="105">
        <f t="shared" si="14"/>
        <v>0</v>
      </c>
      <c r="X188" s="105">
        <f t="shared" si="13"/>
        <v>0</v>
      </c>
      <c r="Y188" s="105">
        <f t="shared" si="12"/>
        <v>0</v>
      </c>
      <c r="Z188" s="105">
        <f t="shared" si="11"/>
        <v>0</v>
      </c>
      <c r="AA188" s="105">
        <f t="shared" si="10"/>
        <v>0</v>
      </c>
      <c r="AB188" s="105">
        <f t="shared" si="9"/>
        <v>0</v>
      </c>
      <c r="AC188" s="105">
        <f t="shared" si="8"/>
        <v>0</v>
      </c>
      <c r="AD188" s="105">
        <f t="shared" si="7"/>
        <v>0</v>
      </c>
      <c r="AE188" s="105"/>
    </row>
    <row r="189" spans="1:31" ht="18.75" customHeight="1">
      <c r="A189" s="107"/>
      <c r="B189" s="107"/>
      <c r="C189" s="107"/>
      <c r="D189" s="107"/>
      <c r="E189" s="107"/>
      <c r="F189" s="107"/>
      <c r="G189" s="107"/>
      <c r="H189" s="107"/>
      <c r="I189" s="107"/>
      <c r="J189" s="107"/>
      <c r="K189" s="107"/>
      <c r="L189" s="107"/>
      <c r="M189" s="107"/>
      <c r="N189" s="116">
        <f>-EXP(-dividend_rate*Time/n_periods)*(BinomialModel!O189-BinomialModel!O191)/(Stock*(up_factor-down_factor))</f>
        <v>3.0480791355332205E-3</v>
      </c>
      <c r="O189" s="105">
        <f>((P188*$E$7)+P190*(1-$E$7))*$E$6</f>
        <v>3.0078871793707404E-3</v>
      </c>
      <c r="P189" s="116">
        <f>-EXP(-dividend_rate*Time/n_periods)*(BinomialModel!Q189-BinomialModel!Q191)/(Stock*(up_factor-down_factor))</f>
        <v>1.4730731697805337E-3</v>
      </c>
      <c r="Q189" s="105">
        <f>((R188*$E$7)+R190*(1-$E$7))*$E$6</f>
        <v>8.8325663286515374E-4</v>
      </c>
      <c r="R189" s="116">
        <f>-EXP(-dividend_rate*Time/n_periods)*(BinomialModel!S189-BinomialModel!S191)/(Stock*(up_factor-down_factor))</f>
        <v>5.0226920296569694E-4</v>
      </c>
      <c r="S189" s="105">
        <f>((T188*$E$7)+T190*(1-$E$7))*$E$6</f>
        <v>1.1627693252172723E-4</v>
      </c>
      <c r="T189" s="116">
        <f>-EXP(-dividend_rate*Time/n_periods)*(BinomialModel!U189-BinomialModel!U191)/(Stock*(up_factor-down_factor))</f>
        <v>7.3434449638072545E-5</v>
      </c>
      <c r="U189" s="105">
        <f>((V188*$E$7)+V190*(1-$E$7))*$E$6</f>
        <v>0</v>
      </c>
      <c r="V189" s="105">
        <f t="shared" si="15"/>
        <v>0</v>
      </c>
      <c r="W189" s="105">
        <f t="shared" si="14"/>
        <v>0</v>
      </c>
      <c r="X189" s="105">
        <f t="shared" si="13"/>
        <v>0</v>
      </c>
      <c r="Y189" s="105">
        <f t="shared" si="12"/>
        <v>0</v>
      </c>
      <c r="Z189" s="105">
        <f t="shared" si="11"/>
        <v>0</v>
      </c>
      <c r="AA189" s="105">
        <f t="shared" si="10"/>
        <v>0</v>
      </c>
      <c r="AB189" s="105">
        <f t="shared" si="9"/>
        <v>0</v>
      </c>
      <c r="AC189" s="105">
        <f t="shared" si="8"/>
        <v>0</v>
      </c>
      <c r="AD189" s="105">
        <f t="shared" si="7"/>
        <v>0</v>
      </c>
      <c r="AE189" s="105">
        <f>IF(AE35&lt;$AE$84,$AE$84-AE35,0)</f>
        <v>0</v>
      </c>
    </row>
    <row r="190" spans="1:31" ht="18.75" customHeight="1">
      <c r="A190" s="117"/>
      <c r="M190" s="116">
        <f>-EXP(-dividend_rate*Time/n_periods)*(BinomialModel!N190-BinomialModel!N192)/(Stock*(up_factor-down_factor))</f>
        <v>8.5611514011163375E-3</v>
      </c>
      <c r="N190" s="105">
        <f>((O189*$E$7)+O191*(1-$E$7))*$E$6</f>
        <v>1.2537101348714455E-2</v>
      </c>
      <c r="O190" s="116">
        <f>-EXP(-dividend_rate*Time/n_periods)*(BinomialModel!P190-BinomialModel!P192)/(Stock*(up_factor-down_factor))</f>
        <v>5.2246376958630285E-3</v>
      </c>
      <c r="P190" s="105">
        <f>((Q189*$E$7)+Q191*(1-$E$7))*$E$6</f>
        <v>5.4885208310183316E-3</v>
      </c>
      <c r="Q190" s="116">
        <f>-EXP(-dividend_rate*Time/n_periods)*(BinomialModel!R190-BinomialModel!R192)/(Stock*(up_factor-down_factor))</f>
        <v>2.6514947854424974E-3</v>
      </c>
      <c r="R190" s="105">
        <f>((S189*$E$7)+S191*(1-$E$7))*$E$6</f>
        <v>1.6865174961388247E-3</v>
      </c>
      <c r="S190" s="116">
        <f>-EXP(-dividend_rate*Time/n_periods)*(BinomialModel!T190-BinomialModel!T192)/(Stock*(up_factor-down_factor))</f>
        <v>9.554392155445143E-4</v>
      </c>
      <c r="T190" s="105">
        <f>((U189*$E$7)+U191*(1-$E$7))*$E$6</f>
        <v>2.2957739127397694E-4</v>
      </c>
      <c r="U190" s="116">
        <f>-EXP(-dividend_rate*Time/n_periods)*(BinomialModel!V190-BinomialModel!V192)/(Stock*(up_factor-down_factor))</f>
        <v>1.449891135922314E-4</v>
      </c>
      <c r="V190" s="105">
        <f t="shared" si="15"/>
        <v>0</v>
      </c>
      <c r="W190" s="105">
        <f t="shared" si="14"/>
        <v>0</v>
      </c>
      <c r="X190" s="105">
        <f t="shared" si="13"/>
        <v>0</v>
      </c>
      <c r="Y190" s="105">
        <f t="shared" si="12"/>
        <v>0</v>
      </c>
      <c r="Z190" s="105">
        <f t="shared" si="11"/>
        <v>0</v>
      </c>
      <c r="AA190" s="105">
        <f t="shared" si="10"/>
        <v>0</v>
      </c>
      <c r="AB190" s="105">
        <f t="shared" si="9"/>
        <v>0</v>
      </c>
      <c r="AC190" s="105">
        <f t="shared" si="8"/>
        <v>0</v>
      </c>
      <c r="AD190" s="105">
        <f t="shared" si="7"/>
        <v>0</v>
      </c>
      <c r="AE190" s="105"/>
    </row>
    <row r="191" spans="1:31" ht="18.75" customHeight="1">
      <c r="A191" s="107"/>
      <c r="B191" s="107"/>
      <c r="C191" s="107"/>
      <c r="D191" s="107"/>
      <c r="E191" s="107"/>
      <c r="F191" s="107"/>
      <c r="G191" s="107"/>
      <c r="H191" s="107"/>
      <c r="I191" s="107"/>
      <c r="J191" s="107"/>
      <c r="K191" s="107"/>
      <c r="L191" s="116">
        <f>-EXP(-dividend_rate*Time/n_periods)*(BinomialModel!M191-BinomialModel!M193)/(Stock*(up_factor-down_factor))</f>
        <v>1.963723015239182E-2</v>
      </c>
      <c r="M191" s="105">
        <f>((N190*$E$7)+N192*(1-$E$7))*$E$6</f>
        <v>3.930188829214009E-2</v>
      </c>
      <c r="N191" s="116">
        <f>-EXP(-dividend_rate*Time/n_periods)*(BinomialModel!O191-BinomialModel!O193)/(Stock*(up_factor-down_factor))</f>
        <v>1.3933029993744624E-2</v>
      </c>
      <c r="O191" s="105">
        <f>((P190*$E$7)+P192*(1-$E$7))*$E$6</f>
        <v>2.1822316975766014E-2</v>
      </c>
      <c r="P191" s="116">
        <f>-EXP(-dividend_rate*Time/n_periods)*(BinomialModel!Q191-BinomialModel!Q193)/(Stock*(up_factor-down_factor))</f>
        <v>8.8801356623773343E-3</v>
      </c>
      <c r="Q191" s="105">
        <f>((R190*$E$7)+R192*(1-$E$7))*$E$6</f>
        <v>9.9758787418842941E-3</v>
      </c>
      <c r="R191" s="116">
        <f>-EXP(-dividend_rate*Time/n_periods)*(BinomialModel!S191-BinomialModel!S193)/(Stock*(up_factor-down_factor))</f>
        <v>4.7456927688021983E-3</v>
      </c>
      <c r="S191" s="105">
        <f>((T190*$E$7)+T192*(1-$E$7))*$E$6</f>
        <v>3.2165601725224432E-3</v>
      </c>
      <c r="T191" s="116">
        <f>-EXP(-dividend_rate*Time/n_periods)*(BinomialModel!U191-BinomialModel!U193)/(Stock*(up_factor-down_factor))</f>
        <v>1.8148646272561767E-3</v>
      </c>
      <c r="U191" s="105">
        <f>((V190*$E$7)+V192*(1-$E$7))*$E$6</f>
        <v>4.5327802721589874E-4</v>
      </c>
      <c r="V191" s="105">
        <f t="shared" si="15"/>
        <v>0</v>
      </c>
      <c r="W191" s="105">
        <f t="shared" si="14"/>
        <v>0</v>
      </c>
      <c r="X191" s="105">
        <f t="shared" si="13"/>
        <v>0</v>
      </c>
      <c r="Y191" s="105">
        <f t="shared" si="12"/>
        <v>0</v>
      </c>
      <c r="Z191" s="105">
        <f t="shared" si="11"/>
        <v>0</v>
      </c>
      <c r="AA191" s="105">
        <f t="shared" si="10"/>
        <v>0</v>
      </c>
      <c r="AB191" s="105">
        <f t="shared" si="9"/>
        <v>0</v>
      </c>
      <c r="AC191" s="105">
        <f t="shared" si="8"/>
        <v>0</v>
      </c>
      <c r="AD191" s="105">
        <f t="shared" si="7"/>
        <v>0</v>
      </c>
      <c r="AE191" s="105">
        <f>IF(AE37&lt;$AE$84,$AE$84-AE37,0)</f>
        <v>0</v>
      </c>
    </row>
    <row r="192" spans="1:31" ht="18.75" customHeight="1">
      <c r="A192" s="107"/>
      <c r="B192" s="107"/>
      <c r="C192" s="107"/>
      <c r="D192" s="107"/>
      <c r="E192" s="107"/>
      <c r="F192" s="107"/>
      <c r="G192" s="107"/>
      <c r="H192" s="107"/>
      <c r="I192" s="107"/>
      <c r="J192" s="107"/>
      <c r="K192" s="116">
        <f>-EXP(-dividend_rate*Time/n_periods)*(BinomialModel!L192-BinomialModel!L194)/(Stock*(up_factor-down_factor))</f>
        <v>3.8691102490318659E-2</v>
      </c>
      <c r="L192" s="105">
        <f>((M191*$E$7)+M193*(1-$E$7))*$E$6</f>
        <v>0.10069401831701842</v>
      </c>
      <c r="M192" s="116">
        <f>-EXP(-dividend_rate*Time/n_periods)*(BinomialModel!N192-BinomialModel!N194)/(Stock*(up_factor-down_factor))</f>
        <v>3.0429587331497206E-2</v>
      </c>
      <c r="N192" s="105">
        <f>((O191*$E$7)+O193*(1-$E$7))*$E$6</f>
        <v>6.5381261506792757E-2</v>
      </c>
      <c r="O192" s="116">
        <f>-EXP(-dividend_rate*Time/n_periods)*(BinomialModel!P192-BinomialModel!P194)/(Stock*(up_factor-down_factor))</f>
        <v>2.2418384903587427E-2</v>
      </c>
      <c r="P192" s="105">
        <f>((Q191*$E$7)+Q193*(1-$E$7))*$E$6</f>
        <v>3.7737873544500068E-2</v>
      </c>
      <c r="Q192" s="116">
        <f>-EXP(-dividend_rate*Time/n_periods)*(BinomialModel!R192-BinomialModel!R194)/(Stock*(up_factor-down_factor))</f>
        <v>1.4949274647453221E-2</v>
      </c>
      <c r="R192" s="105">
        <f>((S191*$E$7)+S193*(1-$E$7))*$E$6</f>
        <v>1.805300940071632E-2</v>
      </c>
      <c r="S192" s="116">
        <f>-EXP(-dividend_rate*Time/n_periods)*(BinomialModel!T192-BinomialModel!T194)/(Stock*(up_factor-down_factor))</f>
        <v>8.438901155435604E-3</v>
      </c>
      <c r="T192" s="105">
        <f>((U191*$E$7)+U193*(1-$E$7))*$E$6</f>
        <v>6.1270765198327137E-3</v>
      </c>
      <c r="U192" s="116">
        <f>-EXP(-dividend_rate*Time/n_periods)*(BinomialModel!V192-BinomialModel!V194)/(Stock*(up_factor-down_factor))</f>
        <v>3.4419911314763569E-3</v>
      </c>
      <c r="V192" s="105">
        <f t="shared" si="15"/>
        <v>8.9495297780233321E-4</v>
      </c>
      <c r="W192" s="105">
        <f t="shared" si="14"/>
        <v>0</v>
      </c>
      <c r="X192" s="105">
        <f t="shared" si="13"/>
        <v>0</v>
      </c>
      <c r="Y192" s="105">
        <f t="shared" si="12"/>
        <v>0</v>
      </c>
      <c r="Z192" s="105">
        <f t="shared" si="11"/>
        <v>0</v>
      </c>
      <c r="AA192" s="105">
        <f t="shared" si="10"/>
        <v>0</v>
      </c>
      <c r="AB192" s="105">
        <f t="shared" si="9"/>
        <v>0</v>
      </c>
      <c r="AC192" s="105">
        <f t="shared" si="8"/>
        <v>0</v>
      </c>
      <c r="AD192" s="105">
        <f t="shared" si="7"/>
        <v>0</v>
      </c>
      <c r="AE192" s="105"/>
    </row>
    <row r="193" spans="1:33" ht="18.75" customHeight="1">
      <c r="A193" s="107"/>
      <c r="B193" s="107"/>
      <c r="C193" s="107"/>
      <c r="D193" s="107"/>
      <c r="E193" s="107"/>
      <c r="F193" s="107"/>
      <c r="G193" s="107"/>
      <c r="H193" s="107"/>
      <c r="I193" s="107"/>
      <c r="J193" s="116">
        <f>-EXP(-dividend_rate*Time/n_periods)*(BinomialModel!K193-BinomialModel!K195)/(Stock*(up_factor-down_factor))</f>
        <v>6.7693323352587223E-2</v>
      </c>
      <c r="K193" s="105">
        <f>((L192*$E$7)+L194*(1-$E$7))*$E$6</f>
        <v>0.22165478681013753</v>
      </c>
      <c r="L193" s="116">
        <f>-EXP(-dividend_rate*Time/n_periods)*(BinomialModel!M193-BinomialModel!M195)/(Stock*(up_factor-down_factor))</f>
        <v>5.7256784899224075E-2</v>
      </c>
      <c r="M193" s="105">
        <f>((N192*$E$7)+N194*(1-$E$7))*$E$6</f>
        <v>0.16051373079018591</v>
      </c>
      <c r="N193" s="116">
        <f>-EXP(-dividend_rate*Time/n_periods)*(BinomialModel!O193-BinomialModel!O195)/(Stock*(up_factor-down_factor))</f>
        <v>4.6503546855501517E-2</v>
      </c>
      <c r="O193" s="105">
        <f>((P192*$E$7)+P194*(1-$E$7))*$E$6</f>
        <v>0.10782468207594892</v>
      </c>
      <c r="P193" s="116">
        <f>-EXP(-dividend_rate*Time/n_periods)*(BinomialModel!Q193-BinomialModel!Q195)/(Stock*(up_factor-down_factor))</f>
        <v>3.5609878328518467E-2</v>
      </c>
      <c r="Q193" s="105">
        <f>((R192*$E$7)+R194*(1-$E$7))*$E$6</f>
        <v>6.4788986136170151E-2</v>
      </c>
      <c r="R193" s="116">
        <f>-EXP(-dividend_rate*Time/n_periods)*(BinomialModel!S193-BinomialModel!S195)/(Stock*(up_factor-down_factor))</f>
        <v>2.4891555939776579E-2</v>
      </c>
      <c r="S193" s="105">
        <f>((T192*$E$7)+T194*(1-$E$7))*$E$6</f>
        <v>3.2509599973560947E-2</v>
      </c>
      <c r="T193" s="116">
        <f>-EXP(-dividend_rate*Time/n_periods)*(BinomialModel!U193-BinomialModel!U195)/(Stock*(up_factor-down_factor))</f>
        <v>1.4893333404205938E-2</v>
      </c>
      <c r="U193" s="105">
        <f>((V192*$E$7)+V194*(1-$E$7))*$E$6</f>
        <v>1.1655625998243591E-2</v>
      </c>
      <c r="V193" s="105">
        <f t="shared" si="15"/>
        <v>0</v>
      </c>
      <c r="W193" s="105">
        <f t="shared" si="14"/>
        <v>1.7669968195828099E-3</v>
      </c>
      <c r="X193" s="105">
        <f t="shared" si="13"/>
        <v>0</v>
      </c>
      <c r="Y193" s="105">
        <f t="shared" si="12"/>
        <v>0</v>
      </c>
      <c r="Z193" s="105">
        <f t="shared" si="11"/>
        <v>0</v>
      </c>
      <c r="AA193" s="105">
        <f t="shared" si="10"/>
        <v>0</v>
      </c>
      <c r="AB193" s="105">
        <f t="shared" si="9"/>
        <v>0</v>
      </c>
      <c r="AC193" s="105">
        <f t="shared" si="8"/>
        <v>0</v>
      </c>
      <c r="AD193" s="105">
        <f t="shared" si="7"/>
        <v>0</v>
      </c>
      <c r="AE193" s="105">
        <f>IF(AE39&lt;$AE$84,$AE$84-AE39,0)</f>
        <v>0</v>
      </c>
    </row>
    <row r="194" spans="1:33" ht="18.75" customHeight="1">
      <c r="A194" s="107"/>
      <c r="B194" s="107"/>
      <c r="C194" s="107"/>
      <c r="D194" s="107"/>
      <c r="E194" s="107"/>
      <c r="F194" s="107"/>
      <c r="G194" s="107"/>
      <c r="H194" s="107"/>
      <c r="I194" s="116">
        <f>-EXP(-dividend_rate*Time/n_periods)*(BinomialModel!J194-BinomialModel!J196)/(Stock*(up_factor-down_factor))</f>
        <v>0.10764873951671199</v>
      </c>
      <c r="J194" s="105">
        <f>((K193*$E$7)+K195*(1-$E$7))*$E$6</f>
        <v>0.43328630250517303</v>
      </c>
      <c r="K194" s="116">
        <f>-EXP(-dividend_rate*Time/n_periods)*(BinomialModel!L194-BinomialModel!L196)/(Stock*(up_factor-down_factor))</f>
        <v>9.5952262128427265E-2</v>
      </c>
      <c r="L194" s="105">
        <f>((M193*$E$7)+M195*(1-$E$7))*$E$6</f>
        <v>0.33951689632667659</v>
      </c>
      <c r="M194" s="116">
        <f>-EXP(-dividend_rate*Time/n_periods)*(BinomialModel!N194-BinomialModel!N196)/(Stock*(up_factor-down_factor))</f>
        <v>8.3396564637656906E-2</v>
      </c>
      <c r="N194" s="105">
        <f>((O193*$E$7)+O195*(1-$E$7))*$E$6</f>
        <v>0.25320949992343716</v>
      </c>
      <c r="O194" s="116">
        <f>-EXP(-dividend_rate*Time/n_periods)*(BinomialModel!P194-BinomialModel!P196)/(Stock*(up_factor-down_factor))</f>
        <v>6.9971664011903204E-2</v>
      </c>
      <c r="P194" s="105">
        <f>((Q193*$E$7)+Q195*(1-$E$7))*$E$6</f>
        <v>0.17611654094852955</v>
      </c>
      <c r="Q194" s="116">
        <f>-EXP(-dividend_rate*Time/n_periods)*(BinomialModel!R194-BinomialModel!R196)/(Stock*(up_factor-down_factor))</f>
        <v>5.574126924574601E-2</v>
      </c>
      <c r="R194" s="105">
        <f>((S193*$E$7)+S195*(1-$E$7))*$E$6</f>
        <v>0.11032819841490749</v>
      </c>
      <c r="S194" s="116">
        <f>-EXP(-dividend_rate*Time/n_periods)*(BinomialModel!T194-BinomialModel!T196)/(Stock*(up_factor-down_factor))</f>
        <v>4.092286155691971E-2</v>
      </c>
      <c r="T194" s="105">
        <f>((U193*$E$7)+U195*(1-$E$7))*$E$6</f>
        <v>5.821664056584195E-2</v>
      </c>
      <c r="U194" s="116">
        <f>-EXP(-dividend_rate*Time/n_periods)*(BinomialModel!V194-BinomialModel!V196)/(Stock*(up_factor-down_factor))</f>
        <v>2.6051464358371967E-2</v>
      </c>
      <c r="V194" s="105">
        <f t="shared" si="15"/>
        <v>2.2140825418593905E-2</v>
      </c>
      <c r="W194" s="105">
        <f t="shared" si="14"/>
        <v>0</v>
      </c>
      <c r="X194" s="105">
        <f t="shared" si="13"/>
        <v>3.4887617985057736E-3</v>
      </c>
      <c r="Y194" s="105">
        <f t="shared" si="12"/>
        <v>0</v>
      </c>
      <c r="Z194" s="105">
        <f t="shared" si="11"/>
        <v>0</v>
      </c>
      <c r="AA194" s="105">
        <f t="shared" si="10"/>
        <v>0</v>
      </c>
      <c r="AB194" s="105">
        <f t="shared" si="9"/>
        <v>0</v>
      </c>
      <c r="AC194" s="105">
        <f t="shared" si="8"/>
        <v>0</v>
      </c>
      <c r="AD194" s="105">
        <f t="shared" si="7"/>
        <v>0</v>
      </c>
      <c r="AE194" s="105"/>
    </row>
    <row r="195" spans="1:33" ht="18.75" customHeight="1">
      <c r="A195" s="107"/>
      <c r="B195" s="107"/>
      <c r="C195" s="107"/>
      <c r="D195" s="107"/>
      <c r="E195" s="107"/>
      <c r="F195" s="107"/>
      <c r="G195" s="107"/>
      <c r="H195" s="116">
        <f>-EXP(-dividend_rate*Time/n_periods)*(BinomialModel!I195-BinomialModel!I197)/(Stock*(up_factor-down_factor))</f>
        <v>0.15829256964238322</v>
      </c>
      <c r="I195" s="105">
        <f>((J194*$E$7)+J196*(1-$E$7))*$E$6</f>
        <v>0.76983247453541515</v>
      </c>
      <c r="J195" s="116">
        <f>-EXP(-dividend_rate*Time/n_periods)*(BinomialModel!K195-BinomialModel!K197)/(Stock*(up_factor-down_factor))</f>
        <v>0.1465798332042991</v>
      </c>
      <c r="K195" s="105">
        <f>((L194*$E$7)+L196*(1-$E$7))*$E$6</f>
        <v>0.63949540815579553</v>
      </c>
      <c r="L195" s="116">
        <f>-EXP(-dividend_rate*Time/n_periods)*(BinomialModel!M195-BinomialModel!M197)/(Stock*(up_factor-down_factor))</f>
        <v>0.13365590609112929</v>
      </c>
      <c r="M195" s="105">
        <f>((N194*$E$7)+N196*(1-$E$7))*$E$6</f>
        <v>0.5139342661350812</v>
      </c>
      <c r="N195" s="116">
        <f>-EXP(-dividend_rate*Time/n_periods)*(BinomialModel!O195-BinomialModel!O197)/(Stock*(up_factor-down_factor))</f>
        <v>0.11934413307722408</v>
      </c>
      <c r="O195" s="105">
        <f>((P194*$E$7)+P196*(1-$E$7))*$E$6</f>
        <v>0.39487028643593969</v>
      </c>
      <c r="P195" s="116">
        <f>-EXP(-dividend_rate*Time/n_periods)*(BinomialModel!Q195-BinomialModel!Q197)/(Stock*(up_factor-down_factor))</f>
        <v>0.10345304269504359</v>
      </c>
      <c r="Q195" s="105">
        <f>((R194*$E$7)+R196*(1-$E$7))*$E$6</f>
        <v>0.28459284492046127</v>
      </c>
      <c r="R195" s="116">
        <f>-EXP(-dividend_rate*Time/n_periods)*(BinomialModel!S195-BinomialModel!S197)/(Stock*(up_factor-down_factor))</f>
        <v>8.5800721601673263E-2</v>
      </c>
      <c r="S195" s="105">
        <f>((T194*$E$7)+T196*(1-$E$7))*$E$6</f>
        <v>0.18615404650137257</v>
      </c>
      <c r="T195" s="116">
        <f>-EXP(-dividend_rate*Time/n_periods)*(BinomialModel!U195-BinomialModel!U197)/(Stock*(up_factor-down_factor))</f>
        <v>6.6285743710053566E-2</v>
      </c>
      <c r="U195" s="105">
        <f>((V194*$E$7)+V196*(1-$E$7))*$E$6</f>
        <v>0.103585514727567</v>
      </c>
      <c r="V195" s="105">
        <f t="shared" si="15"/>
        <v>0</v>
      </c>
      <c r="W195" s="105">
        <f t="shared" si="14"/>
        <v>4.1993081655676674E-2</v>
      </c>
      <c r="X195" s="105">
        <f t="shared" si="13"/>
        <v>0</v>
      </c>
      <c r="Y195" s="105">
        <f t="shared" si="12"/>
        <v>6.888217766904038E-3</v>
      </c>
      <c r="Z195" s="105">
        <f t="shared" si="11"/>
        <v>0</v>
      </c>
      <c r="AA195" s="105">
        <f t="shared" si="10"/>
        <v>0</v>
      </c>
      <c r="AB195" s="105">
        <f t="shared" si="9"/>
        <v>0</v>
      </c>
      <c r="AC195" s="105">
        <f t="shared" si="8"/>
        <v>0</v>
      </c>
      <c r="AD195" s="105">
        <f t="shared" si="7"/>
        <v>0</v>
      </c>
      <c r="AE195" s="105">
        <f>IF(AE41&lt;$AE$84,$AE$84-AE41,0)</f>
        <v>0</v>
      </c>
    </row>
    <row r="196" spans="1:33" ht="18.75" customHeight="1">
      <c r="A196" s="107"/>
      <c r="B196" s="107"/>
      <c r="C196" s="107"/>
      <c r="D196" s="107"/>
      <c r="E196" s="107"/>
      <c r="F196" s="107"/>
      <c r="G196" s="116">
        <f>-EXP(-dividend_rate*Time/n_periods)*(BinomialModel!H196-BinomialModel!H198)/(Stock*(up_factor-down_factor))</f>
        <v>0.21807516149423004</v>
      </c>
      <c r="H196" s="105">
        <f>((I195*$E$7)+I197*(1-$E$7))*$E$6</f>
        <v>1.2647098227989204</v>
      </c>
      <c r="I196" s="116">
        <f>-EXP(-dividend_rate*Time/n_periods)*(BinomialModel!J196-BinomialModel!J198)/(Stock*(up_factor-down_factor))</f>
        <v>0.20763756596386893</v>
      </c>
      <c r="J196" s="105">
        <f>((K195*$E$7)+K197*(1-$E$7))*$E$6</f>
        <v>1.0977538449311381</v>
      </c>
      <c r="K196" s="116">
        <f>-EXP(-dividend_rate*Time/n_periods)*(BinomialModel!L196-BinomialModel!L198)/(Stock*(up_factor-down_factor))</f>
        <v>0.19590925241298879</v>
      </c>
      <c r="L196" s="105">
        <f>((M195*$E$7)+M197*(1-$E$7))*$E$6</f>
        <v>0.93178731298854611</v>
      </c>
      <c r="M196" s="116">
        <f>-EXP(-dividend_rate*Time/n_periods)*(BinomialModel!N196-BinomialModel!N198)/(Stock*(up_factor-down_factor))</f>
        <v>0.18262680692900568</v>
      </c>
      <c r="N196" s="105">
        <f>((O195*$E$7)+O197*(1-$E$7))*$E$6</f>
        <v>0.76797920926080676</v>
      </c>
      <c r="O196" s="116">
        <f>-EXP(-dividend_rate*Time/n_periods)*(BinomialModel!P196-BinomialModel!P198)/(Stock*(up_factor-down_factor))</f>
        <v>0.16745116881887978</v>
      </c>
      <c r="P196" s="105">
        <f>((Q195*$E$7)+Q197*(1-$E$7))*$E$6</f>
        <v>0.60802034060450882</v>
      </c>
      <c r="Q196" s="116">
        <f>-EXP(-dividend_rate*Time/n_periods)*(BinomialModel!R196-BinomialModel!R198)/(Stock*(up_factor-down_factor))</f>
        <v>0.149942216851979</v>
      </c>
      <c r="R196" s="105">
        <f>((S195*$E$7)+S197*(1-$E$7))*$E$6</f>
        <v>0.45439413317371496</v>
      </c>
      <c r="S196" s="116">
        <f>-EXP(-dividend_rate*Time/n_periods)*(BinomialModel!T196-BinomialModel!T198)/(Stock*(up_factor-down_factor))</f>
        <v>0.1295288619435678</v>
      </c>
      <c r="T196" s="105">
        <f>((U195*$E$7)+U197*(1-$E$7))*$E$6</f>
        <v>0.31081516953926319</v>
      </c>
      <c r="U196" s="116">
        <f>-EXP(-dividend_rate*Time/n_periods)*(BinomialModel!V196-BinomialModel!V198)/(Stock*(up_factor-down_factor))</f>
        <v>0.10548950827777022</v>
      </c>
      <c r="V196" s="105">
        <f t="shared" si="15"/>
        <v>0.18294486805318222</v>
      </c>
      <c r="W196" s="105">
        <f t="shared" si="14"/>
        <v>0</v>
      </c>
      <c r="X196" s="105">
        <f t="shared" si="13"/>
        <v>7.9511683090979848E-2</v>
      </c>
      <c r="Y196" s="105">
        <f t="shared" si="12"/>
        <v>0</v>
      </c>
      <c r="Z196" s="105">
        <f t="shared" si="11"/>
        <v>1.3600109937174299E-2</v>
      </c>
      <c r="AA196" s="105">
        <f t="shared" si="10"/>
        <v>0</v>
      </c>
      <c r="AB196" s="105">
        <f t="shared" si="9"/>
        <v>0</v>
      </c>
      <c r="AC196" s="105">
        <f t="shared" si="8"/>
        <v>0</v>
      </c>
      <c r="AD196" s="105">
        <f t="shared" si="7"/>
        <v>0</v>
      </c>
      <c r="AE196" s="105"/>
    </row>
    <row r="197" spans="1:33" ht="18.75" customHeight="1">
      <c r="A197" s="107"/>
      <c r="B197" s="107"/>
      <c r="C197" s="107"/>
      <c r="D197" s="107"/>
      <c r="E197" s="107"/>
      <c r="F197" s="116">
        <f>-EXP(-dividend_rate*Time/n_periods)*(BinomialModel!G197-BinomialModel!G199)/(Stock*(up_factor-down_factor))</f>
        <v>0.28440805058050656</v>
      </c>
      <c r="G197" s="105">
        <f>((H196*$E$7)+H198*(1-$E$7))*$E$6</f>
        <v>1.9464905893072988</v>
      </c>
      <c r="H197" s="116">
        <f>-EXP(-dividend_rate*Time/n_periods)*(BinomialModel!I197-BinomialModel!I199)/(Stock*(up_factor-down_factor))</f>
        <v>0.27632383360371937</v>
      </c>
      <c r="I197" s="105">
        <f>((J196*$E$7)+J198*(1-$E$7))*$E$6</f>
        <v>1.7469017389482748</v>
      </c>
      <c r="J197" s="116">
        <f>-EXP(-dividend_rate*Time/n_periods)*(BinomialModel!K197-BinomialModel!K199)/(Stock*(up_factor-down_factor))</f>
        <v>0.26712900384421673</v>
      </c>
      <c r="K197" s="105">
        <f>((L196*$E$7)+L198*(1-$E$7))*$E$6</f>
        <v>1.5442671869590947</v>
      </c>
      <c r="L197" s="116">
        <f>-EXP(-dividend_rate*Time/n_periods)*(BinomialModel!M197-BinomialModel!M199)/(Stock*(up_factor-down_factor))</f>
        <v>0.25656599198864988</v>
      </c>
      <c r="M197" s="105">
        <f>((N196*$E$7)+N198*(1-$E$7))*$E$6</f>
        <v>1.3389324207795292</v>
      </c>
      <c r="N197" s="116">
        <f>-EXP(-dividend_rate*Time/n_periods)*(BinomialModel!O197-BinomialModel!O199)/(Stock*(up_factor-down_factor))</f>
        <v>0.24428685031242017</v>
      </c>
      <c r="O197" s="105">
        <f>((P196*$E$7)+P198*(1-$E$7))*$E$6</f>
        <v>1.1315282646417077</v>
      </c>
      <c r="P197" s="116">
        <f>-EXP(-dividend_rate*Time/n_periods)*(BinomialModel!Q197-BinomialModel!Q199)/(Stock*(up_factor-down_factor))</f>
        <v>0.22980871125746385</v>
      </c>
      <c r="Q197" s="105">
        <f>((R196*$E$7)+R198*(1-$E$7))*$E$6</f>
        <v>0.92316222663990344</v>
      </c>
      <c r="R197" s="116">
        <f>-EXP(-dividend_rate*Time/n_periods)*(BinomialModel!S197-BinomialModel!S199)/(Stock*(up_factor-down_factor))</f>
        <v>0.21243985948129959</v>
      </c>
      <c r="S197" s="105">
        <f>((T196*$E$7)+T198*(1-$E$7))*$E$6</f>
        <v>0.71576354194917979</v>
      </c>
      <c r="T197" s="116">
        <f>-EXP(-dividend_rate*Time/n_periods)*(BinomialModel!U197-BinomialModel!U199)/(Stock*(up_factor-down_factor))</f>
        <v>0.19115156770732114</v>
      </c>
      <c r="U197" s="105">
        <f>((V196*$E$7)+V198*(1-$E$7))*$E$6</f>
        <v>0.51273777622765571</v>
      </c>
      <c r="V197" s="105">
        <f t="shared" si="15"/>
        <v>0</v>
      </c>
      <c r="W197" s="105">
        <f t="shared" si="14"/>
        <v>0.32028759614344754</v>
      </c>
      <c r="X197" s="105">
        <f t="shared" si="13"/>
        <v>0</v>
      </c>
      <c r="Y197" s="105">
        <f t="shared" si="12"/>
        <v>0.15027596592982292</v>
      </c>
      <c r="Z197" s="105">
        <f t="shared" si="11"/>
        <v>0</v>
      </c>
      <c r="AA197" s="105">
        <f t="shared" si="10"/>
        <v>2.685208228925668E-2</v>
      </c>
      <c r="AB197" s="105">
        <f t="shared" si="9"/>
        <v>0</v>
      </c>
      <c r="AC197" s="105">
        <f t="shared" si="8"/>
        <v>0</v>
      </c>
      <c r="AD197" s="105">
        <f t="shared" si="7"/>
        <v>0</v>
      </c>
      <c r="AE197" s="105">
        <f>IF(AE43&lt;$AE$84,$AE$84-AE43,0)</f>
        <v>0</v>
      </c>
    </row>
    <row r="198" spans="1:33" ht="18.75" customHeight="1">
      <c r="A198" s="107"/>
      <c r="B198" s="107"/>
      <c r="C198" s="107"/>
      <c r="D198" s="107"/>
      <c r="E198" s="116">
        <f>-EXP(-dividend_rate*Time/n_periods)*(BinomialModel!F198-BinomialModel!F200)/(Stock*(up_factor-down_factor))</f>
        <v>0.35407727032377917</v>
      </c>
      <c r="F198" s="105">
        <f>((G197*$E$7)+G199*(1-$E$7))*$E$6</f>
        <v>2.83565505399319</v>
      </c>
      <c r="G198" s="116">
        <f>-EXP(-dividend_rate*Time/n_periods)*(BinomialModel!H198-BinomialModel!H200)/(Stock*(up_factor-down_factor))</f>
        <v>0.34903798624938792</v>
      </c>
      <c r="H198" s="105">
        <f>((I197*$E$7)+I199*(1-$E$7))*$E$6</f>
        <v>2.6107902996606196</v>
      </c>
      <c r="I198" s="116">
        <f>-EXP(-dividend_rate*Time/n_periods)*(BinomialModel!J198-BinomialModel!J200)/(Stock*(up_factor-down_factor))</f>
        <v>0.34324714283551688</v>
      </c>
      <c r="J198" s="105">
        <f>((K197*$E$7)+K199*(1-$E$7))*$E$6</f>
        <v>2.3794077109283545</v>
      </c>
      <c r="K198" s="116">
        <f>-EXP(-dividend_rate*Time/n_periods)*(BinomialModel!L198-BinomialModel!L200)/(Stock*(up_factor-down_factor))</f>
        <v>0.33652121084093362</v>
      </c>
      <c r="L198" s="105">
        <f>((M197*$E$7)+M199*(1-$E$7))*$E$6</f>
        <v>2.1410475428229847</v>
      </c>
      <c r="M198" s="116">
        <f>-EXP(-dividend_rate*Time/n_periods)*(BinomialModel!N198-BinomialModel!N200)/(Stock*(up_factor-down_factor))</f>
        <v>0.32860832192520073</v>
      </c>
      <c r="N198" s="105">
        <f>((O197*$E$7)+O199*(1-$E$7))*$E$6</f>
        <v>1.8952528413164673</v>
      </c>
      <c r="O198" s="116">
        <f>-EXP(-dividend_rate*Time/n_periods)*(BinomialModel!P198-BinomialModel!P200)/(Stock*(up_factor-down_factor))</f>
        <v>0.31915187652689442</v>
      </c>
      <c r="P198" s="105">
        <f>((Q197*$E$7)+Q199*(1-$E$7))*$E$6</f>
        <v>1.6416215431913996</v>
      </c>
      <c r="Q198" s="116">
        <f>-EXP(-dividend_rate*Time/n_periods)*(BinomialModel!R198-BinomialModel!R200)/(Stock*(up_factor-down_factor))</f>
        <v>0.30762736498643961</v>
      </c>
      <c r="R198" s="105">
        <f>((S197*$E$7)+S199*(1-$E$7))*$E$6</f>
        <v>1.3799204030105134</v>
      </c>
      <c r="S198" s="116">
        <f>-EXP(-dividend_rate*Time/n_periods)*(BinomialModel!T198-BinomialModel!T200)/(Stock*(up_factor-down_factor))</f>
        <v>0.29322554648676646</v>
      </c>
      <c r="T198" s="105">
        <f>((U197*$E$7)+U199*(1-$E$7))*$E$6</f>
        <v>1.1103389257418426</v>
      </c>
      <c r="U198" s="116">
        <f>-EXP(-dividend_rate*Time/n_periods)*(BinomialModel!V198-BinomialModel!V200)/(Stock*(up_factor-down_factor))</f>
        <v>0.2746184406803131</v>
      </c>
      <c r="V198" s="105">
        <f t="shared" si="15"/>
        <v>0.83408444137044946</v>
      </c>
      <c r="W198" s="105">
        <f t="shared" si="14"/>
        <v>0</v>
      </c>
      <c r="X198" s="105">
        <f t="shared" si="13"/>
        <v>0.55489828603266944</v>
      </c>
      <c r="Y198" s="105">
        <f t="shared" si="12"/>
        <v>0</v>
      </c>
      <c r="Z198" s="105">
        <f t="shared" si="11"/>
        <v>0.28345286456914265</v>
      </c>
      <c r="AA198" s="105">
        <f t="shared" si="10"/>
        <v>0</v>
      </c>
      <c r="AB198" s="105">
        <f t="shared" si="9"/>
        <v>5.3016801084684609E-2</v>
      </c>
      <c r="AC198" s="105">
        <f t="shared" si="8"/>
        <v>0</v>
      </c>
      <c r="AD198" s="105">
        <f t="shared" si="7"/>
        <v>0</v>
      </c>
      <c r="AE198" s="105"/>
    </row>
    <row r="199" spans="1:33" ht="18.75" customHeight="1">
      <c r="A199" s="107"/>
      <c r="B199" s="107"/>
      <c r="C199" s="107"/>
      <c r="D199" s="116">
        <f>-EXP(-dividend_rate*Time/n_periods)*(BinomialModel!E199-BinomialModel!E201)/(Stock*(up_factor-down_factor))</f>
        <v>0.42370794044436072</v>
      </c>
      <c r="E199" s="105">
        <f>((F198*$E$7)+F200*(1-$E$7))*$E$6</f>
        <v>3.9426359406325964</v>
      </c>
      <c r="F199" s="116">
        <f>-EXP(-dividend_rate*Time/n_periods)*(BinomialModel!G199-BinomialModel!G201)/(Stock*(up_factor-down_factor))</f>
        <v>0.42195662573882775</v>
      </c>
      <c r="G199" s="105">
        <f>((H198*$E$7)+H200*(1-$E$7))*$E$6</f>
        <v>3.7020143349991885</v>
      </c>
      <c r="H199" s="116">
        <f>-EXP(-dividend_rate*Time/n_periods)*(BinomialModel!I199-BinomialModel!I201)/(Stock*(up_factor-down_factor))</f>
        <v>0.41988451360067847</v>
      </c>
      <c r="I199" s="105">
        <f>((J198*$E$7)+J200*(1-$E$7))*$E$6</f>
        <v>3.4525252274600042</v>
      </c>
      <c r="J199" s="116">
        <f>-EXP(-dividend_rate*Time/n_periods)*(BinomialModel!K199-BinomialModel!K201)/(Stock*(up_factor-down_factor))</f>
        <v>0.41741072969652915</v>
      </c>
      <c r="K199" s="105">
        <f>((L198*$E$7)+L200*(1-$E$7))*$E$6</f>
        <v>3.1931351021055328</v>
      </c>
      <c r="L199" s="116">
        <f>-EXP(-dividend_rate*Time/n_periods)*(BinomialModel!M199-BinomialModel!M201)/(Stock*(up_factor-down_factor))</f>
        <v>0.41442389542055569</v>
      </c>
      <c r="M199" s="105">
        <f>((N198*$E$7)+N200*(1-$E$7))*$E$6</f>
        <v>2.9225995861559695</v>
      </c>
      <c r="N199" s="116">
        <f>-EXP(-dividend_rate*Time/n_periods)*(BinomialModel!O199-BinomialModel!O201)/(Stock*(up_factor-down_factor))</f>
        <v>0.41076577026760203</v>
      </c>
      <c r="O199" s="105">
        <f>((P198*$E$7)+P200*(1-$E$7))*$E$6</f>
        <v>2.6394017780967713</v>
      </c>
      <c r="P199" s="116">
        <f>-EXP(-dividend_rate*Time/n_periods)*(BinomialModel!Q199-BinomialModel!Q201)/(Stock*(up_factor-down_factor))</f>
        <v>0.40620280141680964</v>
      </c>
      <c r="Q199" s="105">
        <f>((R198*$E$7)+R200*(1-$E$7))*$E$6</f>
        <v>2.3416686604622816</v>
      </c>
      <c r="R199" s="116">
        <f>-EXP(-dividend_rate*Time/n_periods)*(BinomialModel!S199-BinomialModel!S201)/(Stock*(up_factor-down_factor))</f>
        <v>0.40037342045147806</v>
      </c>
      <c r="S199" s="105">
        <f>((T198*$E$7)+T200*(1-$E$7))*$E$6</f>
        <v>2.0270598188641746</v>
      </c>
      <c r="T199" s="116">
        <f>-EXP(-dividend_rate*Time/n_periods)*(BinomialModel!U199-BinomialModel!U201)/(Stock*(up_factor-down_factor))</f>
        <v>0.39268227793981342</v>
      </c>
      <c r="U199" s="105">
        <f>((V198*$E$7)+V200*(1-$E$7))*$E$6</f>
        <v>1.6926309453960304</v>
      </c>
      <c r="V199" s="105">
        <f t="shared" si="15"/>
        <v>0</v>
      </c>
      <c r="W199" s="105">
        <f t="shared" si="14"/>
        <v>1.3347217637920994</v>
      </c>
      <c r="X199" s="105">
        <f t="shared" si="13"/>
        <v>0</v>
      </c>
      <c r="Y199" s="105">
        <f t="shared" si="12"/>
        <v>0.94915961118684067</v>
      </c>
      <c r="Z199" s="105">
        <f t="shared" si="11"/>
        <v>0</v>
      </c>
      <c r="AA199" s="105">
        <f t="shared" si="10"/>
        <v>0.53348453277793872</v>
      </c>
      <c r="AB199" s="105">
        <f t="shared" si="9"/>
        <v>0</v>
      </c>
      <c r="AC199" s="105">
        <f t="shared" si="8"/>
        <v>0.10467647041203905</v>
      </c>
      <c r="AD199" s="105">
        <f t="shared" si="7"/>
        <v>0</v>
      </c>
      <c r="AE199" s="105">
        <f>IF(AE45&lt;$AE$84,$AE$84-AE45,0)</f>
        <v>0</v>
      </c>
    </row>
    <row r="200" spans="1:33" ht="18.75" customHeight="1">
      <c r="A200" s="107"/>
      <c r="B200" s="107"/>
      <c r="C200" s="116">
        <f>-EXP(-dividend_rate*Time/n_periods)*(BinomialModel!D200-BinomialModel!D202)/(Stock*(up_factor-down_factor))</f>
        <v>0.4901797535682319</v>
      </c>
      <c r="D200" s="105">
        <f>((E199*$E$7)+E201*(1-$E$7))*$E$6</f>
        <v>5.2673152383177611</v>
      </c>
      <c r="E200" s="116">
        <f>-EXP(-dividend_rate*Time/n_periods)*(BinomialModel!F200-BinomialModel!F202)/(Stock*(up_factor-down_factor))</f>
        <v>0.49154815020136028</v>
      </c>
      <c r="F200" s="105">
        <f>((G199*$E$7)+G201*(1-$E$7))*$E$6</f>
        <v>5.0212157460848106</v>
      </c>
      <c r="G200" s="116">
        <f>-EXP(-dividend_rate*Time/n_periods)*(BinomialModel!H200-BinomialModel!H202)/(Stock*(up_factor-down_factor))</f>
        <v>0.49300075343717309</v>
      </c>
      <c r="H200" s="105">
        <f>((I199*$E$7)+I201*(1-$E$7))*$E$6</f>
        <v>4.7652457440779079</v>
      </c>
      <c r="I200" s="116">
        <f>-EXP(-dividend_rate*Time/n_periods)*(BinomialModel!J200-BinomialModel!J202)/(Stock*(up_factor-down_factor))</f>
        <v>0.49455231151639917</v>
      </c>
      <c r="J200" s="105">
        <f>((K199*$E$7)+K201*(1-$E$7))*$E$6</f>
        <v>4.4981188678689543</v>
      </c>
      <c r="K200" s="116">
        <f>-EXP(-dividend_rate*Time/n_periods)*(BinomialModel!L200-BinomialModel!L202)/(Stock*(up_factor-down_factor))</f>
        <v>0.49622198140794765</v>
      </c>
      <c r="L200" s="105">
        <f>((M199*$E$7)+M201*(1-$E$7))*$E$6</f>
        <v>4.2182425285289824</v>
      </c>
      <c r="M200" s="116">
        <f>-EXP(-dividend_rate*Time/n_periods)*(BinomialModel!N200-BinomialModel!N202)/(Stock*(up_factor-down_factor))</f>
        <v>0.49803528368628541</v>
      </c>
      <c r="N200" s="105">
        <f>((O199*$E$7)+O201*(1-$E$7))*$E$6</f>
        <v>3.9236051013674151</v>
      </c>
      <c r="O200" s="116">
        <f>-EXP(-dividend_rate*Time/n_periods)*(BinomialModel!P200-BinomialModel!P202)/(Stock*(up_factor-down_factor))</f>
        <v>0.50002726738034142</v>
      </c>
      <c r="P200" s="105">
        <f>((Q199*$E$7)+Q201*(1-$E$7))*$E$6</f>
        <v>3.6116033934994407</v>
      </c>
      <c r="Q200" s="116">
        <f>-EXP(-dividend_rate*Time/n_periods)*(BinomialModel!R200-BinomialModel!R202)/(Stock*(up_factor-down_factor))</f>
        <v>0.50224790046912993</v>
      </c>
      <c r="R200" s="105">
        <f>((S199*$E$7)+S201*(1-$E$7))*$E$6</f>
        <v>3.2787665958521997</v>
      </c>
      <c r="S200" s="116">
        <f>-EXP(-dividend_rate*Time/n_periods)*(BinomialModel!T200-BinomialModel!T202)/(Stock*(up_factor-down_factor))</f>
        <v>0.50477184573870304</v>
      </c>
      <c r="T200" s="105">
        <f>((U199*$E$7)+U201*(1-$E$7))*$E$6</f>
        <v>2.9202891316179129</v>
      </c>
      <c r="U200" s="116">
        <f>-EXP(-dividend_rate*Time/n_periods)*(BinomialModel!V200-BinomialModel!V202)/(Stock*(up_factor-down_factor))</f>
        <v>0.50771766085143211</v>
      </c>
      <c r="V200" s="105">
        <f t="shared" si="15"/>
        <v>2.5291813017974114</v>
      </c>
      <c r="W200" s="105">
        <f t="shared" si="14"/>
        <v>0</v>
      </c>
      <c r="X200" s="105">
        <f t="shared" si="13"/>
        <v>2.0945706002693223</v>
      </c>
      <c r="Y200" s="105">
        <f t="shared" si="12"/>
        <v>0</v>
      </c>
      <c r="Z200" s="105">
        <f t="shared" si="11"/>
        <v>1.597819060187101</v>
      </c>
      <c r="AA200" s="105">
        <f t="shared" si="10"/>
        <v>0</v>
      </c>
      <c r="AB200" s="105">
        <f t="shared" si="9"/>
        <v>1.0016519773428989</v>
      </c>
      <c r="AC200" s="105">
        <f t="shared" si="8"/>
        <v>0</v>
      </c>
      <c r="AD200" s="105">
        <f t="shared" si="7"/>
        <v>0.20667341736481668</v>
      </c>
      <c r="AE200" s="105"/>
    </row>
    <row r="201" spans="1:33" ht="18.75" customHeight="1">
      <c r="A201" s="110" t="s">
        <v>46</v>
      </c>
      <c r="B201" s="116">
        <f>-EXP(-dividend_rate*Time/n_periods)*(BinomialModel!C201-BinomialModel!C203)/(Stock*(up_factor-down_factor))</f>
        <v>0.55092932026371866</v>
      </c>
      <c r="C201" s="105">
        <f>((D200*$E$7)+D202*(1-$E$7))*$E$6</f>
        <v>6.7998199487998274</v>
      </c>
      <c r="D201" s="116">
        <f>-EXP(-dividend_rate*Time/n_periods)*(BinomialModel!E201-BinomialModel!E203)/(Stock*(up_factor-down_factor))</f>
        <v>0.55494038524933509</v>
      </c>
      <c r="E201" s="105">
        <f>((F200*$E$7)+F202*(1-$E$7))*$E$6</f>
        <v>6.5579956295374879</v>
      </c>
      <c r="F201" s="116">
        <f>-EXP(-dividend_rate*Time/n_periods)*(BinomialModel!G201-BinomialModel!G203)/(Stock*(up_factor-down_factor))</f>
        <v>0.55934867418677259</v>
      </c>
      <c r="G201" s="105">
        <f>((H200*$E$7)+H202*(1-$E$7))*$E$6</f>
        <v>6.3065639411885339</v>
      </c>
      <c r="H201" s="116">
        <f>-EXP(-dividend_rate*Time/n_periods)*(BinomialModel!I201-BinomialModel!I203)/(Stock*(up_factor-down_factor))</f>
        <v>0.5642358136984913</v>
      </c>
      <c r="I201" s="105">
        <f>((J200*$E$7)+J202*(1-$E$7))*$E$6</f>
        <v>6.0442846118014355</v>
      </c>
      <c r="J201" s="116">
        <f>-EXP(-dividend_rate*Time/n_periods)*(BinomialModel!K201-BinomialModel!K203)/(Stock*(up_factor-down_factor))</f>
        <v>0.56970972867622971</v>
      </c>
      <c r="K201" s="105">
        <f>((L200*$E$7)+L202*(1-$E$7))*$E$6</f>
        <v>5.7696249243632591</v>
      </c>
      <c r="L201" s="116">
        <f>-EXP(-dividend_rate*Time/n_periods)*(BinomialModel!M201-BinomialModel!M203)/(Stock*(up_factor-down_factor))</f>
        <v>0.57591677272551178</v>
      </c>
      <c r="M201" s="105">
        <f>((N200*$E$7)+N202*(1-$E$7))*$E$6</f>
        <v>5.480653015754573</v>
      </c>
      <c r="N201" s="116">
        <f>-EXP(-dividend_rate*Time/n_periods)*(BinomialModel!O201-BinomialModel!O203)/(Stock*(up_factor-down_factor))</f>
        <v>0.5830615271527918</v>
      </c>
      <c r="O201" s="105">
        <f>((P200*$E$7)+P202*(1-$E$7))*$E$6</f>
        <v>5.1748752365672193</v>
      </c>
      <c r="P201" s="116">
        <f>-EXP(-dividend_rate*Time/n_periods)*(BinomialModel!Q201-BinomialModel!Q203)/(Stock*(up_factor-down_factor))</f>
        <v>0.59144077243385862</v>
      </c>
      <c r="Q201" s="105">
        <f>((R200*$E$7)+R202*(1-$E$7))*$E$6</f>
        <v>4.8489769521870327</v>
      </c>
      <c r="R201" s="116">
        <f>-EXP(-dividend_rate*Time/n_periods)*(BinomialModel!S201-BinomialModel!S203)/(Stock*(up_factor-down_factor))</f>
        <v>0.60150548658971781</v>
      </c>
      <c r="S201" s="105">
        <f>((T200*$E$7)+T202*(1-$E$7))*$E$6</f>
        <v>4.4983859480360868</v>
      </c>
      <c r="T201" s="116">
        <f>-EXP(-dividend_rate*Time/n_periods)*(BinomialModel!U201-BinomialModel!U203)/(Stock*(up_factor-down_factor))</f>
        <v>0.61398320708032461</v>
      </c>
      <c r="U201" s="105">
        <f>((V200*$E$7)+V202*(1-$E$7))*$E$6</f>
        <v>4.1164830903288578</v>
      </c>
      <c r="V201" s="105">
        <f t="shared" si="15"/>
        <v>0</v>
      </c>
      <c r="W201" s="105">
        <f t="shared" si="14"/>
        <v>3.6930345675372096</v>
      </c>
      <c r="X201" s="105">
        <f t="shared" si="13"/>
        <v>0</v>
      </c>
      <c r="Y201" s="105">
        <f t="shared" si="12"/>
        <v>3.2106396286424124</v>
      </c>
      <c r="Z201" s="105">
        <f t="shared" si="11"/>
        <v>0</v>
      </c>
      <c r="AA201" s="105">
        <f t="shared" si="10"/>
        <v>2.6348964777389008</v>
      </c>
      <c r="AB201" s="105">
        <f t="shared" si="9"/>
        <v>0</v>
      </c>
      <c r="AC201" s="105">
        <f t="shared" si="8"/>
        <v>1.8756641970846131</v>
      </c>
      <c r="AD201" s="105">
        <f t="shared" si="7"/>
        <v>0</v>
      </c>
      <c r="AE201" s="105">
        <f>IF(AE47&lt;$AE$84,$AE$84-AE47,0)</f>
        <v>0.40805637864093569</v>
      </c>
    </row>
    <row r="202" spans="1:33" ht="18.75" customHeight="1">
      <c r="A202" s="116">
        <f>-EXP(-dividend_rate*Time/n_periods)*(BinomialModel!B202-BinomialModel!B204)/(Stock*(up_factor-down_factor))</f>
        <v>0.60411561415441339</v>
      </c>
      <c r="B202" s="105">
        <f>((C201*$E$7)+C203*(1-$E$7))*$E$6</f>
        <v>8.522263061276341</v>
      </c>
      <c r="C202" s="116">
        <f>-EXP(-dividend_rate*Time/n_periods)*(BinomialModel!D202-BinomialModel!D204)/(Stock*(up_factor-down_factor))</f>
        <v>0.61011267421835058</v>
      </c>
      <c r="D202" s="105">
        <f>((E201*$E$7)+E203*(1-$E$7))*$E$6</f>
        <v>8.2929757120280314</v>
      </c>
      <c r="E202" s="116">
        <f>-EXP(-dividend_rate*Time/n_periods)*(BinomialModel!F202-BinomialModel!F204)/(Stock*(up_factor-down_factor))</f>
        <v>0.61669872906001499</v>
      </c>
      <c r="F202" s="105">
        <f>((G201*$E$7)+G203*(1-$E$7))*$E$6</f>
        <v>8.0553227204411719</v>
      </c>
      <c r="G202" s="116">
        <f>-EXP(-dividend_rate*Time/n_periods)*(BinomialModel!H202-BinomialModel!H204)/(Stock*(up_factor-down_factor))</f>
        <v>0.62398701062605755</v>
      </c>
      <c r="H202" s="105">
        <f>((I201*$E$7)+I203*(1-$E$7))*$E$6</f>
        <v>7.8083189887924158</v>
      </c>
      <c r="I202" s="116">
        <f>-EXP(-dividend_rate*Time/n_periods)*(BinomialModel!J202-BinomialModel!J204)/(Stock*(up_factor-down_factor))</f>
        <v>0.63212431162309457</v>
      </c>
      <c r="J202" s="105">
        <f>((K201*$E$7)+K203*(1-$E$7))*$E$6</f>
        <v>7.5507691869501752</v>
      </c>
      <c r="K202" s="116">
        <f>-EXP(-dividend_rate*Time/n_periods)*(BinomialModel!L202-BinomialModel!L204)/(Stock*(up_factor-down_factor))</f>
        <v>0.64130505213630695</v>
      </c>
      <c r="L202" s="105">
        <f>((M201*$E$7)+M203*(1-$E$7))*$E$6</f>
        <v>7.2811989733900377</v>
      </c>
      <c r="M202" s="116">
        <f>-EXP(-dividend_rate*Time/n_periods)*(BinomialModel!N202-BinomialModel!N204)/(Stock*(up_factor-down_factor))</f>
        <v>0.65179332512102872</v>
      </c>
      <c r="N202" s="105">
        <f>((O201*$E$7)+O203*(1-$E$7))*$E$6</f>
        <v>6.9977542505181054</v>
      </c>
      <c r="O202" s="116">
        <f>-EXP(-dividend_rate*Time/n_periods)*(BinomialModel!P202-BinomialModel!P204)/(Stock*(up_factor-down_factor))</f>
        <v>0.6639589036531407</v>
      </c>
      <c r="P202" s="105">
        <f>((Q201*$E$7)+Q203*(1-$E$7))*$E$6</f>
        <v>6.698048167435747</v>
      </c>
      <c r="Q202" s="116">
        <f>-EXP(-dividend_rate*Time/n_periods)*(BinomialModel!R202-BinomialModel!R204)/(Stock*(up_factor-down_factor))</f>
        <v>0.67833906162791091</v>
      </c>
      <c r="R202" s="105">
        <f>((S201*$E$7)+S203*(1-$E$7))*$E$6</f>
        <v>6.3789183450653324</v>
      </c>
      <c r="S202" s="116">
        <f>-EXP(-dividend_rate*Time/n_periods)*(BinomialModel!T202-BinomialModel!T204)/(Stock*(up_factor-down_factor))</f>
        <v>0.69575145763309387</v>
      </c>
      <c r="T202" s="105">
        <f>((U201*$E$7)+U203*(1-$E$7))*$E$6</f>
        <v>6.0360200665978283</v>
      </c>
      <c r="U202" s="116">
        <f>-EXP(-dividend_rate*Time/n_periods)*(BinomialModel!V202-BinomialModel!V204)/(Stock*(up_factor-down_factor))</f>
        <v>0.71751701747957219</v>
      </c>
      <c r="V202" s="105">
        <f t="shared" si="15"/>
        <v>5.6630954364802131</v>
      </c>
      <c r="W202" s="105">
        <f t="shared" si="14"/>
        <v>0</v>
      </c>
      <c r="X202" s="105">
        <f t="shared" si="13"/>
        <v>5.2505332353962899</v>
      </c>
      <c r="Y202" s="105">
        <f t="shared" si="12"/>
        <v>0</v>
      </c>
      <c r="Z202" s="105">
        <f t="shared" si="11"/>
        <v>4.782138681166189</v>
      </c>
      <c r="AA202" s="105">
        <f t="shared" si="10"/>
        <v>0</v>
      </c>
      <c r="AB202" s="105">
        <f t="shared" si="9"/>
        <v>4.2263101919178343</v>
      </c>
      <c r="AC202" s="105">
        <f t="shared" si="8"/>
        <v>0</v>
      </c>
      <c r="AD202" s="105">
        <f t="shared" si="7"/>
        <v>3.5019272134856796</v>
      </c>
      <c r="AE202" s="105"/>
    </row>
    <row r="203" spans="1:33" ht="18.75" customHeight="1">
      <c r="A203" s="105">
        <f>((B202*$E$7)+B204*(1-$E$7))*$E$6</f>
        <v>10.411001776626952</v>
      </c>
      <c r="B203" s="116">
        <f>-EXP(-dividend_rate*Time/n_periods)*(BinomialModel!C203-BinomialModel!C205)/(Stock*(up_factor-down_factor))</f>
        <v>0.65592792087144247</v>
      </c>
      <c r="C203" s="105">
        <f>((D202*$E$7)+D204*(1-$E$7))*$E$6</f>
        <v>10.200460338362486</v>
      </c>
      <c r="D203" s="116">
        <f>-EXP(-dividend_rate*Time/n_periods)*(BinomialModel!E203-BinomialModel!E205)/(Stock*(up_factor-down_factor))</f>
        <v>0.66386004709538782</v>
      </c>
      <c r="E203" s="105">
        <f>((F202*$E$7)+F204*(1-$E$7))*$E$6</f>
        <v>9.9833945300262279</v>
      </c>
      <c r="F203" s="116">
        <f>-EXP(-dividend_rate*Time/n_periods)*(BinomialModel!G203-BinomialModel!G205)/(Stock*(up_factor-down_factor))</f>
        <v>0.67256802092093115</v>
      </c>
      <c r="G203" s="105">
        <f>((H202*$E$7)+H204*(1-$E$7))*$E$6</f>
        <v>9.7591732384707068</v>
      </c>
      <c r="H203" s="116">
        <f>-EXP(-dividend_rate*Time/n_periods)*(BinomialModel!I203-BinomialModel!I205)/(Stock*(up_factor-down_factor))</f>
        <v>0.68219586872675086</v>
      </c>
      <c r="I203" s="105">
        <f>((J202*$E$7)+J204*(1-$E$7))*$E$6</f>
        <v>9.5270600363919584</v>
      </c>
      <c r="J203" s="116">
        <f>-EXP(-dividend_rate*Time/n_periods)*(BinomialModel!K203-BinomialModel!K205)/(Stock*(up_factor-down_factor))</f>
        <v>0.69292825363840616</v>
      </c>
      <c r="K203" s="105">
        <f>((L202*$E$7)+L204*(1-$E$7))*$E$6</f>
        <v>9.286188378883681</v>
      </c>
      <c r="L203" s="116">
        <f>-EXP(-dividend_rate*Time/n_periods)*(BinomialModel!M203-BinomialModel!M205)/(Stock*(up_factor-down_factor))</f>
        <v>0.70500642848297657</v>
      </c>
      <c r="M203" s="105">
        <f>((N202*$E$7)+N204*(1-$E$7))*$E$6</f>
        <v>9.035529778202914</v>
      </c>
      <c r="N203" s="116">
        <f>-EXP(-dividend_rate*Time/n_periods)*(BinomialModel!O203-BinomialModel!O205)/(Stock*(up_factor-down_factor))</f>
        <v>0.7187524698289226</v>
      </c>
      <c r="O203" s="105">
        <f>((P202*$E$7)+P204*(1-$E$7))*$E$6</f>
        <v>8.7738533738839095</v>
      </c>
      <c r="P203" s="116">
        <f>-EXP(-dividend_rate*Time/n_periods)*(BinomialModel!Q203-BinomialModel!Q205)/(Stock*(up_factor-down_factor))</f>
        <v>0.73460726813442545</v>
      </c>
      <c r="Q203" s="105">
        <f>((R202*$E$7)+R204*(1-$E$7))*$E$6</f>
        <v>8.4996764245076548</v>
      </c>
      <c r="R203" s="116">
        <f>-EXP(-dividend_rate*Time/n_periods)*(BinomialModel!S203-BinomialModel!S205)/(Stock*(up_factor-down_factor))</f>
        <v>0.75319217390882609</v>
      </c>
      <c r="S203" s="105">
        <f>((T202*$E$7)+T204*(1-$E$7))*$E$6</f>
        <v>8.2112104012007752</v>
      </c>
      <c r="T203" s="116">
        <f>-EXP(-dividend_rate*Time/n_periods)*(BinomialModel!U203-BinomialModel!U205)/(Stock*(up_factor-down_factor))</f>
        <v>0.77541264340486526</v>
      </c>
      <c r="U203" s="105">
        <f>((V202*$E$7)+V204*(1-$E$7))*$E$6</f>
        <v>7.9063269336572777</v>
      </c>
      <c r="V203" s="105">
        <f t="shared" si="15"/>
        <v>0</v>
      </c>
      <c r="W203" s="105">
        <f t="shared" si="14"/>
        <v>7.5826424987307153</v>
      </c>
      <c r="X203" s="105">
        <f t="shared" si="13"/>
        <v>0</v>
      </c>
      <c r="Y203" s="105">
        <f t="shared" si="12"/>
        <v>7.2381364065785059</v>
      </c>
      <c r="Z203" s="105">
        <f t="shared" si="11"/>
        <v>0</v>
      </c>
      <c r="AA203" s="105">
        <f t="shared" si="10"/>
        <v>6.8743556045544478</v>
      </c>
      <c r="AB203" s="105">
        <f t="shared" si="9"/>
        <v>0</v>
      </c>
      <c r="AC203" s="105">
        <f t="shared" si="8"/>
        <v>6.5167413961896923</v>
      </c>
      <c r="AD203" s="105">
        <f t="shared" si="7"/>
        <v>0</v>
      </c>
      <c r="AE203" s="105">
        <f>IF(AE49&lt;$AE$84,$AE$84-AE49,0)</f>
        <v>6.5165914235928568</v>
      </c>
      <c r="AG203" s="107"/>
    </row>
    <row r="204" spans="1:33" ht="18.75" customHeight="1">
      <c r="A204" s="107"/>
      <c r="B204" s="105">
        <f>((C203*$E$7)+C205*(1-$E$7))*$E$6</f>
        <v>12.251198664986013</v>
      </c>
      <c r="C204" s="116">
        <f>-EXP(-dividend_rate*Time/n_periods)*(BinomialModel!D204-BinomialModel!D206)/(Stock*(up_factor-down_factor))</f>
        <v>0.7005565208833513</v>
      </c>
      <c r="D204" s="105">
        <f>((E203*$E$7)+E205*(1-$E$7))*$E$6</f>
        <v>12.058928486401802</v>
      </c>
      <c r="E204" s="116">
        <f>-EXP(-dividend_rate*Time/n_periods)*(BinomialModel!F204-BinomialModel!F206)/(Stock*(up_factor-down_factor))</f>
        <v>0.70980011192886816</v>
      </c>
      <c r="F204" s="105">
        <f>((G203*$E$7)+G205*(1-$E$7))*$E$6</f>
        <v>11.861928266919572</v>
      </c>
      <c r="G204" s="116">
        <f>-EXP(-dividend_rate*Time/n_periods)*(BinomialModel!H204-BinomialModel!H206)/(Stock*(up_factor-down_factor))</f>
        <v>0.71989127094123706</v>
      </c>
      <c r="H204" s="105">
        <f>((I203*$E$7)+I205*(1-$E$7))*$E$6</f>
        <v>11.65991183899995</v>
      </c>
      <c r="I204" s="116">
        <f>-EXP(-dividend_rate*Time/n_periods)*(BinomialModel!J204-BinomialModel!J206)/(Stock*(up_factor-down_factor))</f>
        <v>0.73097132544903654</v>
      </c>
      <c r="J204" s="105">
        <f>((K203*$E$7)+K205*(1-$E$7))*$E$6</f>
        <v>11.452589958262555</v>
      </c>
      <c r="K204" s="116">
        <f>-EXP(-dividend_rate*Time/n_periods)*(BinomialModel!L204-BinomialModel!L206)/(Stock*(up_factor-down_factor))</f>
        <v>0.74321542696118881</v>
      </c>
      <c r="L204" s="105">
        <f>((M203*$E$7)+M205*(1-$E$7))*$E$6</f>
        <v>11.239688351449249</v>
      </c>
      <c r="M204" s="116">
        <f>-EXP(-dividend_rate*Time/n_periods)*(BinomialModel!N204-BinomialModel!N206)/(Stock*(up_factor-down_factor))</f>
        <v>0.75684256684143003</v>
      </c>
      <c r="N204" s="105">
        <f>((O203*$E$7)+O205*(1-$E$7))*$E$6</f>
        <v>11.020983048711157</v>
      </c>
      <c r="O204" s="116">
        <f>-EXP(-dividend_rate*Time/n_periods)*(BinomialModel!P204-BinomialModel!P206)/(Stock*(up_factor-down_factor))</f>
        <v>0.77212833769193401</v>
      </c>
      <c r="P204" s="105">
        <f>((Q203*$E$7)+Q205*(1-$E$7))*$E$6</f>
        <v>10.796369643032305</v>
      </c>
      <c r="Q204" s="116">
        <f>-EXP(-dividend_rate*Time/n_periods)*(BinomialModel!R204-BinomialModel!R206)/(Stock*(up_factor-down_factor))</f>
        <v>0.78941970156451058</v>
      </c>
      <c r="R204" s="105">
        <f>((S203*$E$7)+S205*(1-$E$7))*$E$6</f>
        <v>10.566002106891069</v>
      </c>
      <c r="S204" s="116">
        <f>-EXP(-dividend_rate*Time/n_periods)*(BinomialModel!T204-BinomialModel!T206)/(Stock*(up_factor-down_factor))</f>
        <v>0.80914670743611683</v>
      </c>
      <c r="T204" s="105">
        <f>((U203*$E$7)+U205*(1-$E$7))*$E$6</f>
        <v>10.330582764389327</v>
      </c>
      <c r="U204" s="116">
        <f>-EXP(-dividend_rate*Time/n_periods)*(BinomialModel!V204-BinomialModel!V206)/(Stock*(up_factor-down_factor))</f>
        <v>0.83180994724083557</v>
      </c>
      <c r="V204" s="105">
        <f t="shared" si="15"/>
        <v>10.092007204457243</v>
      </c>
      <c r="W204" s="105">
        <f t="shared" si="14"/>
        <v>0</v>
      </c>
      <c r="X204" s="105">
        <f t="shared" si="13"/>
        <v>9.8549348028640757</v>
      </c>
      <c r="Y204" s="105">
        <f t="shared" si="12"/>
        <v>0</v>
      </c>
      <c r="Z204" s="105">
        <f t="shared" si="11"/>
        <v>9.6311564995684904</v>
      </c>
      <c r="AA204" s="105">
        <f t="shared" si="10"/>
        <v>0</v>
      </c>
      <c r="AB204" s="105">
        <f t="shared" si="9"/>
        <v>9.4545199482602147</v>
      </c>
      <c r="AC204" s="105">
        <f t="shared" si="8"/>
        <v>0</v>
      </c>
      <c r="AD204" s="105">
        <f t="shared" si="7"/>
        <v>9.4543023672910973</v>
      </c>
      <c r="AE204" s="105"/>
    </row>
    <row r="205" spans="1:33" ht="18.75" customHeight="1">
      <c r="A205" s="107"/>
      <c r="B205" s="107"/>
      <c r="C205" s="105">
        <f>((D204*$E$7)+D206*(1-$E$7))*$E$6</f>
        <v>14.249210147665712</v>
      </c>
      <c r="D205" s="116">
        <f>-EXP(-dividend_rate*Time/n_periods)*(BinomialModel!E205-BinomialModel!E207)/(Stock*(up_factor-down_factor))</f>
        <v>0.73629855059805627</v>
      </c>
      <c r="E205" s="105">
        <f>((F204*$E$7)+F206*(1-$E$7))*$E$6</f>
        <v>14.08110580828766</v>
      </c>
      <c r="F205" s="116">
        <f>-EXP(-dividend_rate*Time/n_periods)*(BinomialModel!G205-BinomialModel!G207)/(Stock*(up_factor-down_factor))</f>
        <v>0.74606385021747479</v>
      </c>
      <c r="G205" s="105">
        <f>((H204*$E$7)+H206*(1-$E$7))*$E$6</f>
        <v>13.910634946076183</v>
      </c>
      <c r="H205" s="116">
        <f>-EXP(-dividend_rate*Time/n_periods)*(BinomialModel!I205-BinomialModel!I207)/(Stock*(up_factor-down_factor))</f>
        <v>0.75660624179125768</v>
      </c>
      <c r="I205" s="105">
        <f>((J204*$E$7)+J206*(1-$E$7))*$E$6</f>
        <v>13.737950144172906</v>
      </c>
      <c r="J205" s="116">
        <f>-EXP(-dividend_rate*Time/n_periods)*(BinomialModel!K205-BinomialModel!K207)/(Stock*(up_factor-down_factor))</f>
        <v>0.76802482236648872</v>
      </c>
      <c r="K205" s="105">
        <f>((L204*$E$7)+L206*(1-$E$7))*$E$6</f>
        <v>13.563324700588108</v>
      </c>
      <c r="L205" s="116">
        <f>-EXP(-dividend_rate*Time/n_periods)*(BinomialModel!M205-BinomialModel!M207)/(Stock*(up_factor-down_factor))</f>
        <v>0.78043032872395901</v>
      </c>
      <c r="M205" s="105">
        <f>((N204*$E$7)+N206*(1-$E$7))*$E$6</f>
        <v>13.387219273423293</v>
      </c>
      <c r="N205" s="116">
        <f>-EXP(-dividend_rate*Time/n_periods)*(BinomialModel!O205-BinomialModel!O207)/(Stock*(up_factor-down_factor))</f>
        <v>0.793941298495347</v>
      </c>
      <c r="O205" s="105">
        <f>((P204*$E$7)+P206*(1-$E$7))*$E$6</f>
        <v>13.210391036878779</v>
      </c>
      <c r="P205" s="116">
        <f>-EXP(-dividend_rate*Time/n_periods)*(BinomialModel!Q205-BinomialModel!Q207)/(Stock*(up_factor-down_factor))</f>
        <v>0.80867224772858026</v>
      </c>
      <c r="Q205" s="105">
        <f>((R204*$E$7)+R206*(1-$E$7))*$E$6</f>
        <v>13.034078669224648</v>
      </c>
      <c r="R205" s="116">
        <f>-EXP(-dividend_rate*Time/n_periods)*(BinomialModel!S205-BinomialModel!S207)/(Stock*(up_factor-down_factor))</f>
        <v>0.82470275973680407</v>
      </c>
      <c r="S205" s="105">
        <f>((T204*$E$7)+T206*(1-$E$7))*$E$6</f>
        <v>12.860328960494002</v>
      </c>
      <c r="T205" s="116">
        <f>-EXP(-dividend_rate*Time/n_periods)*(BinomialModel!U205-BinomialModel!U207)/(Stock*(up_factor-down_factor))</f>
        <v>0.84199962519422256</v>
      </c>
      <c r="U205" s="105">
        <f>((V204*$E$7)+V206*(1-$E$7))*$E$6</f>
        <v>12.692602517025943</v>
      </c>
      <c r="V205" s="105">
        <f t="shared" si="15"/>
        <v>0</v>
      </c>
      <c r="W205" s="105">
        <f t="shared" si="14"/>
        <v>12.536964556648099</v>
      </c>
      <c r="X205" s="105">
        <f t="shared" si="13"/>
        <v>0</v>
      </c>
      <c r="Y205" s="105">
        <f t="shared" si="12"/>
        <v>12.404583569362584</v>
      </c>
      <c r="Z205" s="105">
        <f t="shared" si="11"/>
        <v>0</v>
      </c>
      <c r="AA205" s="105">
        <f t="shared" si="10"/>
        <v>12.317232225380147</v>
      </c>
      <c r="AB205" s="105">
        <f t="shared" si="9"/>
        <v>0</v>
      </c>
      <c r="AC205" s="105">
        <f t="shared" si="8"/>
        <v>12.316948763571508</v>
      </c>
      <c r="AD205" s="105">
        <f t="shared" si="7"/>
        <v>0</v>
      </c>
      <c r="AE205" s="105">
        <f>IF(AE51&lt;$AE$84,$AE$84-AE51,0)</f>
        <v>12.316665308286289</v>
      </c>
    </row>
    <row r="206" spans="1:33" ht="18.75" customHeight="1">
      <c r="A206" s="107"/>
      <c r="B206" s="107"/>
      <c r="C206" s="107"/>
      <c r="D206" s="105">
        <f>((E205*$E$7)+E207*(1-$E$7))*$E$6</f>
        <v>16.383150691433553</v>
      </c>
      <c r="E206" s="116">
        <f>-EXP(-dividend_rate*Time/n_periods)*(BinomialModel!F206-BinomialModel!F208)/(Stock*(up_factor-down_factor))</f>
        <v>0.76210255224986767</v>
      </c>
      <c r="F206" s="105">
        <f>((G205*$E$7)+G207*(1-$E$7))*$E$6</f>
        <v>16.24320702693543</v>
      </c>
      <c r="G206" s="116">
        <f>-EXP(-dividend_rate*Time/n_periods)*(BinomialModel!H206-BinomialModel!H208)/(Stock*(up_factor-down_factor))</f>
        <v>0.77155010460847839</v>
      </c>
      <c r="H206" s="105">
        <f>((I205*$E$7)+I207*(1-$E$7))*$E$6</f>
        <v>16.103478812136384</v>
      </c>
      <c r="I206" s="116">
        <f>-EXP(-dividend_rate*Time/n_periods)*(BinomialModel!J206-BinomialModel!J208)/(Stock*(up_factor-down_factor))</f>
        <v>0.78156834469113934</v>
      </c>
      <c r="J206" s="105">
        <f>((K205*$E$7)+K207*(1-$E$7))*$E$6</f>
        <v>15.964549154306535</v>
      </c>
      <c r="K206" s="116">
        <f>-EXP(-dividend_rate*Time/n_periods)*(BinomialModel!L206-BinomialModel!L208)/(Stock*(up_factor-down_factor))</f>
        <v>0.79218225795691244</v>
      </c>
      <c r="L206" s="105">
        <f>((M205*$E$7)+M207*(1-$E$7))*$E$6</f>
        <v>15.827224912147191</v>
      </c>
      <c r="M206" s="116">
        <f>-EXP(-dividend_rate*Time/n_periods)*(BinomialModel!N206-BinomialModel!N208)/(Stock*(up_factor-down_factor))</f>
        <v>0.80339709274482363</v>
      </c>
      <c r="N206" s="105">
        <f>((O205*$E$7)+O207*(1-$E$7))*$E$6</f>
        <v>15.69263385159317</v>
      </c>
      <c r="O206" s="116">
        <f>-EXP(-dividend_rate*Time/n_periods)*(BinomialModel!P206-BinomialModel!P208)/(Stock*(up_factor-down_factor))</f>
        <v>0.81517834577068493</v>
      </c>
      <c r="P206" s="105">
        <f>((Q205*$E$7)+Q207*(1-$E$7))*$E$6</f>
        <v>15.562372675552307</v>
      </c>
      <c r="Q206" s="116">
        <f>-EXP(-dividend_rate*Time/n_periods)*(BinomialModel!R206-BinomialModel!R208)/(Stock*(up_factor-down_factor))</f>
        <v>0.82741402938231046</v>
      </c>
      <c r="R206" s="105">
        <f>((S205*$E$7)+S207*(1-$E$7))*$E$6</f>
        <v>15.438736998132189</v>
      </c>
      <c r="S206" s="116">
        <f>-EXP(-dividend_rate*Time/n_periods)*(BinomialModel!T206-BinomialModel!T208)/(Stock*(up_factor-down_factor))</f>
        <v>0.83984222272948239</v>
      </c>
      <c r="T206" s="105">
        <f>((U205*$E$7)+U207*(1-$E$7))*$E$6</f>
        <v>15.325083643507098</v>
      </c>
      <c r="U206" s="116">
        <f>-EXP(-dividend_rate*Time/n_periods)*(BinomialModel!V206-BinomialModel!V208)/(Stock*(up_factor-down_factor))</f>
        <v>0.85190956817544849</v>
      </c>
      <c r="V206" s="105">
        <f t="shared" si="15"/>
        <v>15.226398130816245</v>
      </c>
      <c r="W206" s="105">
        <f t="shared" si="14"/>
        <v>0</v>
      </c>
      <c r="X206" s="105">
        <f t="shared" si="13"/>
        <v>15.15011542713923</v>
      </c>
      <c r="Y206" s="105">
        <f t="shared" si="12"/>
        <v>0</v>
      </c>
      <c r="Z206" s="105">
        <f t="shared" si="11"/>
        <v>15.106797238204202</v>
      </c>
      <c r="AA206" s="105">
        <f t="shared" si="10"/>
        <v>0</v>
      </c>
      <c r="AB206" s="105">
        <f t="shared" si="9"/>
        <v>15.106449578925762</v>
      </c>
      <c r="AC206" s="105">
        <f t="shared" si="8"/>
        <v>0</v>
      </c>
      <c r="AD206" s="105">
        <f t="shared" ref="AD206:AD232" si="16">((AE205*$E$7)+AE207*(1-$E$7))*$E$6</f>
        <v>15.10610192764816</v>
      </c>
      <c r="AE206" s="105"/>
    </row>
    <row r="207" spans="1:33" ht="18.75" customHeight="1">
      <c r="A207" s="107"/>
      <c r="B207" s="107"/>
      <c r="C207" s="107"/>
      <c r="D207" s="107"/>
      <c r="E207" s="105">
        <f>((F206*$E$7)+F208*(1-$E$7))*$E$6</f>
        <v>18.625947583529602</v>
      </c>
      <c r="F207" s="116">
        <f>-EXP(-dividend_rate*Time/n_periods)*(BinomialModel!G207-BinomialModel!G209)/(Stock*(up_factor-down_factor))</f>
        <v>0.7777137432332738</v>
      </c>
      <c r="G207" s="105">
        <f>((H206*$E$7)+H208*(1-$E$7))*$E$6</f>
        <v>18.515753550088245</v>
      </c>
      <c r="H207" s="116">
        <f>-EXP(-dividend_rate*Time/n_periods)*(BinomialModel!I207-BinomialModel!I209)/(Stock*(up_factor-down_factor))</f>
        <v>0.78609424271411144</v>
      </c>
      <c r="I207" s="105">
        <f>((J206*$E$7)+J208*(1-$E$7))*$E$6</f>
        <v>18.408142218174241</v>
      </c>
      <c r="J207" s="116">
        <f>-EXP(-dividend_rate*Time/n_periods)*(BinomialModel!K207-BinomialModel!K209)/(Stock*(up_factor-down_factor))</f>
        <v>0.79474772900119006</v>
      </c>
      <c r="K207" s="105">
        <f>((L206*$E$7)+L208*(1-$E$7))*$E$6</f>
        <v>18.303998567566115</v>
      </c>
      <c r="L207" s="116">
        <f>-EXP(-dividend_rate*Time/n_periods)*(BinomialModel!M207-BinomialModel!M209)/(Stock*(up_factor-down_factor))</f>
        <v>0.80361562879075088</v>
      </c>
      <c r="M207" s="105">
        <f>((N206*$E$7)+N208*(1-$E$7))*$E$6</f>
        <v>18.204466785006012</v>
      </c>
      <c r="N207" s="116">
        <f>-EXP(-dividend_rate*Time/n_periods)*(BinomialModel!O207-BinomialModel!O209)/(Stock*(up_factor-down_factor))</f>
        <v>0.81259279843180432</v>
      </c>
      <c r="O207" s="105">
        <f>((P206*$E$7)+P208*(1-$E$7))*$E$6</f>
        <v>18.111035724499885</v>
      </c>
      <c r="P207" s="116">
        <f>-EXP(-dividend_rate*Time/n_periods)*(BinomialModel!Q207-BinomialModel!Q209)/(Stock*(up_factor-down_factor))</f>
        <v>0.82149952732478715</v>
      </c>
      <c r="Q207" s="105">
        <f>((R206*$E$7)+R208*(1-$E$7))*$E$6</f>
        <v>18.025650920684889</v>
      </c>
      <c r="R207" s="116">
        <f>-EXP(-dividend_rate*Time/n_periods)*(BinomialModel!S207-BinomialModel!S209)/(Stock*(up_factor-down_factor))</f>
        <v>0.83003715890543772</v>
      </c>
      <c r="S207" s="105">
        <f>((T206*$E$7)+T208*(1-$E$7))*$E$6</f>
        <v>17.950850395806793</v>
      </c>
      <c r="T207" s="116">
        <f>-EXP(-dividend_rate*Time/n_periods)*(BinomialModel!U207-BinomialModel!U209)/(Stock*(up_factor-down_factor))</f>
        <v>0.83772091614435606</v>
      </c>
      <c r="U207" s="105">
        <f>((V206*$E$7)+V208*(1-$E$7))*$E$6</f>
        <v>17.889889769883482</v>
      </c>
      <c r="V207" s="105">
        <f t="shared" si="15"/>
        <v>0</v>
      </c>
      <c r="W207" s="105">
        <f t="shared" si="14"/>
        <v>17.846702363851879</v>
      </c>
      <c r="X207" s="105">
        <f t="shared" si="13"/>
        <v>0</v>
      </c>
      <c r="Y207" s="105">
        <f t="shared" si="12"/>
        <v>17.825084939389928</v>
      </c>
      <c r="Z207" s="105">
        <f t="shared" si="11"/>
        <v>0</v>
      </c>
      <c r="AA207" s="105">
        <f t="shared" si="10"/>
        <v>17.824674722977381</v>
      </c>
      <c r="AB207" s="105">
        <f t="shared" si="9"/>
        <v>0</v>
      </c>
      <c r="AC207" s="105">
        <f t="shared" ref="AC207:AC231" si="17">((AD206*$E$7)+AD208*(1-$E$7))*$E$6</f>
        <v>17.824264516005325</v>
      </c>
      <c r="AD207" s="105">
        <f t="shared" si="16"/>
        <v>0</v>
      </c>
      <c r="AE207" s="105">
        <f>IF(AE53&lt;$AE$84,$AE$84-AE53,0)</f>
        <v>17.823854318473551</v>
      </c>
    </row>
    <row r="208" spans="1:33" ht="18.75" customHeight="1">
      <c r="A208" s="107"/>
      <c r="B208" s="107"/>
      <c r="C208" s="107"/>
      <c r="D208" s="107"/>
      <c r="E208" s="107"/>
      <c r="F208" s="105">
        <f>((G207*$E$7)+G209*(1-$E$7))*$E$6</f>
        <v>20.947325368157717</v>
      </c>
      <c r="G208" s="116">
        <f>-EXP(-dividend_rate*Time/n_periods)*(BinomialModel!H208-BinomialModel!H210)/(Stock*(up_factor-down_factor))</f>
        <v>0.78370207508405176</v>
      </c>
      <c r="H208" s="105">
        <f>((I207*$E$7)+I209*(1-$E$7))*$E$6</f>
        <v>20.865912670343356</v>
      </c>
      <c r="I208" s="116">
        <f>-EXP(-dividend_rate*Time/n_periods)*(BinomialModel!J208-BinomialModel!J210)/(Stock*(up_factor-down_factor))</f>
        <v>0.79048652947717646</v>
      </c>
      <c r="J208" s="105">
        <f>((K207*$E$7)+K209*(1-$E$7))*$E$6</f>
        <v>20.788821129680922</v>
      </c>
      <c r="K208" s="116">
        <f>-EXP(-dividend_rate*Time/n_periods)*(BinomialModel!L208-BinomialModel!L210)/(Stock*(up_factor-down_factor))</f>
        <v>0.79722953093904803</v>
      </c>
      <c r="L208" s="105">
        <f>((M207*$E$7)+M209*(1-$E$7))*$E$6</f>
        <v>20.717011828940244</v>
      </c>
      <c r="M208" s="116">
        <f>-EXP(-dividend_rate*Time/n_periods)*(BinomialModel!N208-BinomialModel!N210)/(Stock*(up_factor-down_factor))</f>
        <v>0.80381031811954173</v>
      </c>
      <c r="N208" s="105">
        <f>((O207*$E$7)+O209*(1-$E$7))*$E$6</f>
        <v>20.651644929706567</v>
      </c>
      <c r="O208" s="116">
        <f>-EXP(-dividend_rate*Time/n_periods)*(BinomialModel!P208-BinomialModel!P210)/(Stock*(up_factor-down_factor))</f>
        <v>0.81005491604710522</v>
      </c>
      <c r="P208" s="105">
        <f>((Q207*$E$7)+Q209*(1-$E$7))*$E$6</f>
        <v>20.594104161539846</v>
      </c>
      <c r="Q208" s="116">
        <f>-EXP(-dividend_rate*Time/n_periods)*(BinomialModel!R208-BinomialModel!R210)/(Stock*(up_factor-down_factor))</f>
        <v>0.81571762730089792</v>
      </c>
      <c r="R208" s="105">
        <f>((S207*$E$7)+S209*(1-$E$7))*$E$6</f>
        <v>20.545993888837135</v>
      </c>
      <c r="S208" s="116">
        <f>-EXP(-dividend_rate*Time/n_periods)*(BinomialModel!T208-BinomialModel!T210)/(Stock*(up_factor-down_factor))</f>
        <v>0.82046400591939983</v>
      </c>
      <c r="T208" s="105">
        <f>((U207*$E$7)+U209*(1-$E$7))*$E$6</f>
        <v>20.509054215461493</v>
      </c>
      <c r="U208" s="116">
        <f>-EXP(-dividend_rate*Time/n_periods)*(BinomialModel!V208-BinomialModel!V210)/(Stock*(up_factor-down_factor))</f>
        <v>0.82387611251611637</v>
      </c>
      <c r="V208" s="105">
        <f t="shared" si="15"/>
        <v>20.484855031250515</v>
      </c>
      <c r="W208" s="105">
        <f t="shared" si="14"/>
        <v>0</v>
      </c>
      <c r="X208" s="105">
        <f t="shared" si="13"/>
        <v>20.473917477726793</v>
      </c>
      <c r="Y208" s="105">
        <f t="shared" si="12"/>
        <v>0</v>
      </c>
      <c r="Z208" s="105">
        <f t="shared" si="11"/>
        <v>20.473446302581937</v>
      </c>
      <c r="AA208" s="105">
        <f t="shared" si="10"/>
        <v>0</v>
      </c>
      <c r="AB208" s="105">
        <f t="shared" ref="AB208:AB230" si="18">((AC207*$E$7)+AC209*(1-$E$7))*$E$6</f>
        <v>20.472975138280439</v>
      </c>
      <c r="AC208" s="105">
        <f t="shared" si="17"/>
        <v>0</v>
      </c>
      <c r="AD208" s="105">
        <f t="shared" si="16"/>
        <v>20.472503984822044</v>
      </c>
      <c r="AE208" s="105"/>
    </row>
    <row r="209" spans="1:31" ht="18.75" customHeight="1">
      <c r="A209" s="107"/>
      <c r="B209" s="107"/>
      <c r="C209" s="107"/>
      <c r="D209" s="107"/>
      <c r="E209" s="107"/>
      <c r="F209" s="107"/>
      <c r="G209" s="105">
        <f>((H208*$E$7)+H210*(1-$E$7))*$E$6</f>
        <v>23.31623279394308</v>
      </c>
      <c r="H209" s="116">
        <f>-EXP(-dividend_rate*Time/n_periods)*(BinomialModel!I209-BinomialModel!I211)/(Stock*(up_factor-down_factor))</f>
        <v>0.78135328301610907</v>
      </c>
      <c r="I209" s="105">
        <f>((J208*$E$7)+J210*(1-$E$7))*$E$6</f>
        <v>23.260350538647476</v>
      </c>
      <c r="J209" s="116">
        <f>-EXP(-dividend_rate*Time/n_periods)*(BinomialModel!K209-BinomialModel!K211)/(Stock*(up_factor-down_factor))</f>
        <v>0.78631635266362288</v>
      </c>
      <c r="K209" s="105">
        <f>((L208*$E$7)+L210*(1-$E$7))*$E$6</f>
        <v>23.20962099016824</v>
      </c>
      <c r="L209" s="116">
        <f>-EXP(-dividend_rate*Time/n_periods)*(BinomialModel!M209-BinomialModel!M211)/(Stock*(up_factor-down_factor))</f>
        <v>0.7909886477808773</v>
      </c>
      <c r="M209" s="105">
        <f>((N208*$E$7)+N210*(1-$E$7))*$E$6</f>
        <v>23.164826788429828</v>
      </c>
      <c r="N209" s="116">
        <f>-EXP(-dividend_rate*Time/n_periods)*(BinomialModel!O209-BinomialModel!O211)/(Stock*(up_factor-down_factor))</f>
        <v>0.79523419149153218</v>
      </c>
      <c r="O209" s="105">
        <f>((P208*$E$7)+P210*(1-$E$7))*$E$6</f>
        <v>23.126807782687294</v>
      </c>
      <c r="P209" s="116">
        <f>-EXP(-dividend_rate*Time/n_periods)*(BinomialModel!Q209-BinomialModel!Q211)/(Stock*(up_factor-down_factor))</f>
        <v>0.79888460171349629</v>
      </c>
      <c r="Q209" s="105">
        <f>((R208*$E$7)+R210*(1-$E$7))*$E$6</f>
        <v>23.096400234390053</v>
      </c>
      <c r="R209" s="116">
        <f>-EXP(-dividend_rate*Time/n_periods)*(BinomialModel!S209-BinomialModel!S211)/(Stock*(up_factor-down_factor))</f>
        <v>0.80174579129878643</v>
      </c>
      <c r="S209" s="105">
        <f>((T208*$E$7)+T210*(1-$E$7))*$E$6</f>
        <v>23.074298692333326</v>
      </c>
      <c r="T209" s="116">
        <f>-EXP(-dividend_rate*Time/n_periods)*(BinomialModel!U209-BinomialModel!U211)/(Stock*(up_factor-down_factor))</f>
        <v>0.80362980817108498</v>
      </c>
      <c r="U209" s="105">
        <f>((V208*$E$7)+V210*(1-$E$7))*$E$6</f>
        <v>23.060766464662176</v>
      </c>
      <c r="V209" s="105">
        <f t="shared" si="15"/>
        <v>0</v>
      </c>
      <c r="W209" s="105">
        <f t="shared" si="14"/>
        <v>23.055070420204469</v>
      </c>
      <c r="X209" s="105">
        <f t="shared" si="13"/>
        <v>0</v>
      </c>
      <c r="Y209" s="105">
        <f t="shared" si="12"/>
        <v>23.054539843867197</v>
      </c>
      <c r="Z209" s="105">
        <f t="shared" si="11"/>
        <v>0</v>
      </c>
      <c r="AA209" s="105">
        <f t="shared" ref="AA209:AA229" si="19">((AB208*$E$7)+AB210*(1-$E$7))*$E$6</f>
        <v>23.054009279740313</v>
      </c>
      <c r="AB209" s="105">
        <f t="shared" si="18"/>
        <v>0</v>
      </c>
      <c r="AC209" s="105">
        <f t="shared" si="17"/>
        <v>23.053478727823528</v>
      </c>
      <c r="AD209" s="105">
        <f t="shared" si="16"/>
        <v>0</v>
      </c>
      <c r="AE209" s="105">
        <f>IF(AE55&lt;$AE$84,$AE$84-AE55,0)</f>
        <v>23.052948188116545</v>
      </c>
    </row>
    <row r="210" spans="1:31" ht="18.75" customHeight="1">
      <c r="A210" s="107"/>
      <c r="B210" s="107"/>
      <c r="C210" s="107"/>
      <c r="D210" s="107"/>
      <c r="E210" s="107"/>
      <c r="F210" s="107"/>
      <c r="G210" s="107"/>
      <c r="H210" s="105">
        <f>((I209*$E$7)+I211*(1-$E$7))*$E$6</f>
        <v>25.703355209504586</v>
      </c>
      <c r="I210" s="116">
        <f>-EXP(-dividend_rate*Time/n_periods)*(BinomialModel!J210-BinomialModel!J212)/(Stock*(up_factor-down_factor))</f>
        <v>0.77243587144041415</v>
      </c>
      <c r="J210" s="105">
        <f>((K209*$E$7)+K211*(1-$E$7))*$E$6</f>
        <v>25.668141072679294</v>
      </c>
      <c r="K210" s="116">
        <f>-EXP(-dividend_rate*Time/n_periods)*(BinomialModel!L210-BinomialModel!L212)/(Stock*(up_factor-down_factor))</f>
        <v>0.77566441902999395</v>
      </c>
      <c r="L210" s="105">
        <f>((M209*$E$7)+M211*(1-$E$7))*$E$6</f>
        <v>25.637953305363528</v>
      </c>
      <c r="M210" s="116">
        <f>-EXP(-dividend_rate*Time/n_periods)*(BinomialModel!N210-BinomialModel!N212)/(Stock*(up_factor-down_factor))</f>
        <v>0.77847692642970678</v>
      </c>
      <c r="N210" s="105">
        <f>((O209*$E$7)+O211*(1-$E$7))*$E$6</f>
        <v>25.61320666331709</v>
      </c>
      <c r="O210" s="116">
        <f>-EXP(-dividend_rate*Time/n_periods)*(BinomialModel!P210-BinomialModel!P212)/(Stock*(up_factor-down_factor))</f>
        <v>0.78077444613025948</v>
      </c>
      <c r="P210" s="105">
        <f>((Q209*$E$7)+Q211*(1-$E$7))*$E$6</f>
        <v>25.594211006379677</v>
      </c>
      <c r="Q210" s="116">
        <f>-EXP(-dividend_rate*Time/n_periods)*(BinomialModel!R210-BinomialModel!R212)/(Stock*(up_factor-down_factor))</f>
        <v>0.78246393784113388</v>
      </c>
      <c r="R210" s="105">
        <f>((S209*$E$7)+S211*(1-$E$7))*$E$6</f>
        <v>25.58105411861364</v>
      </c>
      <c r="S210" s="116">
        <f>-EXP(-dividend_rate*Time/n_periods)*(BinomialModel!T210-BinomialModel!T212)/(Stock*(up_factor-down_factor))</f>
        <v>0.78348808790100055</v>
      </c>
      <c r="T210" s="105">
        <f>((U209*$E$7)+U211*(1-$E$7))*$E$6</f>
        <v>25.57341171848261</v>
      </c>
      <c r="U210" s="116">
        <f>-EXP(-dividend_rate*Time/n_periods)*(BinomialModel!V210-BinomialModel!V212)/(Stock*(up_factor-down_factor))</f>
        <v>0.78388305379050816</v>
      </c>
      <c r="V210" s="105">
        <f t="shared" si="15"/>
        <v>25.570273942839854</v>
      </c>
      <c r="W210" s="105">
        <f t="shared" si="14"/>
        <v>0</v>
      </c>
      <c r="X210" s="105">
        <f t="shared" si="13"/>
        <v>25.569685483032778</v>
      </c>
      <c r="Y210" s="105">
        <f t="shared" si="12"/>
        <v>0</v>
      </c>
      <c r="Z210" s="105">
        <f t="shared" ref="Z210:Z228" si="20">((AA209*$E$7)+AA211*(1-$E$7))*$E$6</f>
        <v>25.569097036768188</v>
      </c>
      <c r="AA210" s="105">
        <f t="shared" si="19"/>
        <v>0</v>
      </c>
      <c r="AB210" s="105">
        <f t="shared" si="18"/>
        <v>25.568508604045768</v>
      </c>
      <c r="AC210" s="105">
        <f t="shared" si="17"/>
        <v>0</v>
      </c>
      <c r="AD210" s="105">
        <f t="shared" si="16"/>
        <v>25.567920184865208</v>
      </c>
      <c r="AE210" s="105"/>
    </row>
    <row r="211" spans="1:31" ht="18.75" customHeight="1">
      <c r="A211" s="107"/>
      <c r="B211" s="107"/>
      <c r="C211" s="107"/>
      <c r="D211" s="107"/>
      <c r="E211" s="107"/>
      <c r="F211" s="107"/>
      <c r="G211" s="107"/>
      <c r="H211" s="107"/>
      <c r="I211" s="105">
        <f>((J210*$E$7)+J212*(1-$E$7))*$E$6</f>
        <v>28.083295034449701</v>
      </c>
      <c r="J211" s="116">
        <f>-EXP(-dividend_rate*Time/n_periods)*(BinomialModel!K211-BinomialModel!K213)/(Stock*(up_factor-down_factor))</f>
        <v>0.75889284024938231</v>
      </c>
      <c r="K211" s="105">
        <f>((L210*$E$7)+L212*(1-$E$7))*$E$6</f>
        <v>28.063200296060931</v>
      </c>
      <c r="L211" s="116">
        <f>-EXP(-dividend_rate*Time/n_periods)*(BinomialModel!M211-BinomialModel!M213)/(Stock*(up_factor-down_factor))</f>
        <v>0.76071449141856962</v>
      </c>
      <c r="M211" s="105">
        <f>((N210*$E$7)+N212*(1-$E$7))*$E$6</f>
        <v>28.047246083234501</v>
      </c>
      <c r="N211" s="116">
        <f>-EXP(-dividend_rate*Time/n_periods)*(BinomialModel!O211-BinomialModel!O213)/(Stock*(up_factor-down_factor))</f>
        <v>0.76213054912282352</v>
      </c>
      <c r="O211" s="105">
        <f>((P210*$E$7)+P212*(1-$E$7))*$E$6</f>
        <v>28.035432920759114</v>
      </c>
      <c r="P211" s="116">
        <f>-EXP(-dividend_rate*Time/n_periods)*(BinomialModel!Q211-BinomialModel!Q213)/(Stock*(up_factor-down_factor))</f>
        <v>0.76310972685491885</v>
      </c>
      <c r="Q211" s="105">
        <f>((R210*$E$7)+R212*(1-$E$7))*$E$6</f>
        <v>28.027557722770151</v>
      </c>
      <c r="R211" s="116">
        <f>-EXP(-dividend_rate*Time/n_periods)*(BinomialModel!S211-BinomialModel!S213)/(Stock*(up_factor-down_factor))</f>
        <v>0.76365744897921561</v>
      </c>
      <c r="S211" s="105">
        <f>((T210*$E$7)+T212*(1-$E$7))*$E$6</f>
        <v>28.023117024869034</v>
      </c>
      <c r="T211" s="116">
        <f>-EXP(-dividend_rate*Time/n_periods)*(BinomialModel!U211-BinomialModel!U213)/(Stock*(up_factor-down_factor))</f>
        <v>0.76384370041842842</v>
      </c>
      <c r="U211" s="105">
        <f>((V210*$E$7)+V212*(1-$E$7))*$E$6</f>
        <v>28.021213991061607</v>
      </c>
      <c r="V211" s="105">
        <f t="shared" si="15"/>
        <v>0</v>
      </c>
      <c r="W211" s="105">
        <f t="shared" si="14"/>
        <v>28.020569126707944</v>
      </c>
      <c r="X211" s="105">
        <f t="shared" si="13"/>
        <v>0</v>
      </c>
      <c r="Y211" s="105">
        <f t="shared" ref="Y211:Y227" si="21">((Z210*$E$7)+Z212*(1-$E$7))*$E$6</f>
        <v>28.019924277194825</v>
      </c>
      <c r="Z211" s="105">
        <f t="shared" si="20"/>
        <v>0</v>
      </c>
      <c r="AA211" s="105">
        <f t="shared" si="19"/>
        <v>28.019279442521906</v>
      </c>
      <c r="AB211" s="105">
        <f t="shared" si="18"/>
        <v>0</v>
      </c>
      <c r="AC211" s="105">
        <f t="shared" si="17"/>
        <v>28.018634622688857</v>
      </c>
      <c r="AD211" s="105">
        <f t="shared" si="16"/>
        <v>0</v>
      </c>
      <c r="AE211" s="105">
        <f>IF(AE57&lt;$AE$84,$AE$84-AE57,0)</f>
        <v>28.017989817695351</v>
      </c>
    </row>
    <row r="212" spans="1:31" ht="18.75" customHeight="1">
      <c r="A212" s="107"/>
      <c r="B212" s="107"/>
      <c r="C212" s="107"/>
      <c r="D212" s="107"/>
      <c r="E212" s="107"/>
      <c r="F212" s="107"/>
      <c r="G212" s="107"/>
      <c r="H212" s="107"/>
      <c r="I212" s="107"/>
      <c r="J212" s="105">
        <f>((K211*$E$7)+K213*(1-$E$7))*$E$6</f>
        <v>30.436042373539298</v>
      </c>
      <c r="K212" s="116">
        <f>-EXP(-dividend_rate*Time/n_periods)*(BinomialModel!L212-BinomialModel!L214)/(Stock*(up_factor-down_factor))</f>
        <v>0.74253296023941195</v>
      </c>
      <c r="L212" s="105">
        <f>((M211*$E$7)+M213*(1-$E$7))*$E$6</f>
        <v>30.425782987104576</v>
      </c>
      <c r="M212" s="116">
        <f>-EXP(-dividend_rate*Time/n_periods)*(BinomialModel!N212-BinomialModel!N214)/(Stock*(up_factor-down_factor))</f>
        <v>0.74338905536132649</v>
      </c>
      <c r="N212" s="105">
        <f>((O211*$E$7)+O213*(1-$E$7))*$E$6</f>
        <v>30.418396695846564</v>
      </c>
      <c r="O212" s="116">
        <f>-EXP(-dividend_rate*Time/n_periods)*(BinomialModel!P212-BinomialModel!P214)/(Stock*(up_factor-down_factor))</f>
        <v>0.74394616266322289</v>
      </c>
      <c r="P212" s="105">
        <f>((Q211*$E$7)+Q213*(1-$E$7))*$E$6</f>
        <v>30.413582600866636</v>
      </c>
      <c r="Q212" s="116">
        <f>-EXP(-dividend_rate*Time/n_periods)*(BinomialModel!R212-BinomialModel!R214)/(Stock*(up_factor-down_factor))</f>
        <v>0.74423317075267859</v>
      </c>
      <c r="R212" s="105">
        <f>((S211*$E$7)+S213*(1-$E$7))*$E$6</f>
        <v>30.410854190109376</v>
      </c>
      <c r="S212" s="116">
        <f>-EXP(-dividend_rate*Time/n_periods)*(BinomialModel!T212-BinomialModel!T214)/(Stock*(up_factor-down_factor))</f>
        <v>0.74431663734479458</v>
      </c>
      <c r="T212" s="105">
        <f>((U211*$E$7)+U213*(1-$E$7))*$E$6</f>
        <v>30.409533410430292</v>
      </c>
      <c r="U212" s="116">
        <f>-EXP(-dividend_rate*Time/n_periods)*(BinomialModel!V212-BinomialModel!V214)/(Stock*(up_factor-down_factor))</f>
        <v>0.7442995080631214</v>
      </c>
      <c r="V212" s="105">
        <f t="shared" si="15"/>
        <v>30.408833582645741</v>
      </c>
      <c r="W212" s="105">
        <f t="shared" si="14"/>
        <v>0</v>
      </c>
      <c r="X212" s="105">
        <f t="shared" si="13"/>
        <v>30.408133770966629</v>
      </c>
      <c r="Y212" s="105">
        <f t="shared" si="21"/>
        <v>0</v>
      </c>
      <c r="Z212" s="105">
        <f t="shared" si="20"/>
        <v>30.407433975392586</v>
      </c>
      <c r="AA212" s="105">
        <f t="shared" si="19"/>
        <v>0</v>
      </c>
      <c r="AB212" s="105">
        <f t="shared" si="18"/>
        <v>30.406734195923242</v>
      </c>
      <c r="AC212" s="105">
        <f t="shared" si="17"/>
        <v>0</v>
      </c>
      <c r="AD212" s="105">
        <f t="shared" si="16"/>
        <v>30.406034432558226</v>
      </c>
      <c r="AE212" s="105"/>
    </row>
    <row r="213" spans="1:31" ht="18.75" customHeight="1">
      <c r="A213" s="107"/>
      <c r="B213" s="107"/>
      <c r="C213" s="107"/>
      <c r="D213" s="107"/>
      <c r="E213" s="107"/>
      <c r="F213" s="107"/>
      <c r="G213" s="107"/>
      <c r="H213" s="107"/>
      <c r="I213" s="107"/>
      <c r="J213" s="107"/>
      <c r="K213" s="105">
        <f>((L212*$E$7)+L214*(1-$E$7))*$E$6</f>
        <v>32.747506520072811</v>
      </c>
      <c r="L213" s="116">
        <f>-EXP(-dividend_rate*Time/n_periods)*(BinomialModel!M213-BinomialModel!M215)/(Stock*(up_factor-down_factor))</f>
        <v>0.72479955964824649</v>
      </c>
      <c r="M213" s="105">
        <f>((N212*$E$7)+N214*(1-$E$7))*$E$6</f>
        <v>32.742796545506685</v>
      </c>
      <c r="N213" s="116">
        <f>-EXP(-dividend_rate*Time/n_periods)*(BinomialModel!O213-BinomialModel!O215)/(Stock*(up_factor-down_factor))</f>
        <v>0.72510999401934939</v>
      </c>
      <c r="O213" s="105">
        <f>((P212*$E$7)+P214*(1-$E$7))*$E$6</f>
        <v>32.739724074161572</v>
      </c>
      <c r="P213" s="116">
        <f>-EXP(-dividend_rate*Time/n_periods)*(BinomialModel!Q213-BinomialModel!Q215)/(Stock*(up_factor-down_factor))</f>
        <v>0.72525581286487328</v>
      </c>
      <c r="Q213" s="105">
        <f>((R212*$E$7)+R214*(1-$E$7))*$E$6</f>
        <v>32.737892902551039</v>
      </c>
      <c r="R213" s="116">
        <f>-EXP(-dividend_rate*Time/n_periods)*(BinomialModel!S213-BinomialModel!S215)/(Stock*(up_factor-down_factor))</f>
        <v>0.72528876827128408</v>
      </c>
      <c r="S213" s="105">
        <f>((T212*$E$7)+T214*(1-$E$7))*$E$6</f>
        <v>32.736833048452624</v>
      </c>
      <c r="T213" s="116">
        <f>-EXP(-dividend_rate*Time/n_periods)*(BinomialModel!U213-BinomialModel!U215)/(Stock*(up_factor-down_factor))</f>
        <v>0.7252720768862172</v>
      </c>
      <c r="U213" s="105">
        <f>((V212*$E$7)+V214*(1-$E$7))*$E$6</f>
        <v>32.736079661511873</v>
      </c>
      <c r="V213" s="105">
        <f t="shared" si="15"/>
        <v>0</v>
      </c>
      <c r="W213" s="105">
        <f t="shared" si="14"/>
        <v>32.735326291909153</v>
      </c>
      <c r="X213" s="105">
        <f t="shared" si="13"/>
        <v>0</v>
      </c>
      <c r="Y213" s="105">
        <f t="shared" si="21"/>
        <v>32.734572939644053</v>
      </c>
      <c r="Z213" s="105">
        <f t="shared" si="20"/>
        <v>0</v>
      </c>
      <c r="AA213" s="105">
        <f t="shared" si="19"/>
        <v>32.733819604716174</v>
      </c>
      <c r="AB213" s="105">
        <f t="shared" si="18"/>
        <v>0</v>
      </c>
      <c r="AC213" s="105">
        <f t="shared" si="17"/>
        <v>32.733066287125105</v>
      </c>
      <c r="AD213" s="105">
        <f t="shared" si="16"/>
        <v>0</v>
      </c>
      <c r="AE213" s="105">
        <f>IF(AE59&lt;$AE$84,$AE$84-AE59,0)</f>
        <v>32.73231298687044</v>
      </c>
    </row>
    <row r="214" spans="1:31" ht="18.75" customHeight="1">
      <c r="A214" s="107"/>
      <c r="B214" s="107"/>
      <c r="C214" s="107"/>
      <c r="D214" s="107"/>
      <c r="E214" s="107"/>
      <c r="F214" s="107"/>
      <c r="G214" s="107"/>
      <c r="H214" s="107"/>
      <c r="I214" s="107"/>
      <c r="J214" s="107"/>
      <c r="K214" s="107"/>
      <c r="L214" s="105">
        <f>((M213*$E$7)+M215*(1-$E$7))*$E$6</f>
        <v>35.009106985839949</v>
      </c>
      <c r="M214" s="116">
        <f>-EXP(-dividend_rate*Time/n_periods)*(BinomialModel!N214-BinomialModel!N216)/(Stock*(up_factor-down_factor))</f>
        <v>0.70666903127977154</v>
      </c>
      <c r="N214" s="105">
        <f>((O213*$E$7)+O215*(1-$E$7))*$E$6</f>
        <v>35.007004987034364</v>
      </c>
      <c r="O214" s="116">
        <f>-EXP(-dividend_rate*Time/n_periods)*(BinomialModel!P214-BinomialModel!P216)/(Stock*(up_factor-down_factor))</f>
        <v>0.70673909443243244</v>
      </c>
      <c r="P214" s="105">
        <f>((Q213*$E$7)+Q215*(1-$E$7))*$E$6</f>
        <v>35.005629666362623</v>
      </c>
      <c r="Q214" s="116">
        <f>-EXP(-dividend_rate*Time/n_periods)*(BinomialModel!R214-BinomialModel!R216)/(Stock*(up_factor-down_factor))</f>
        <v>0.70674733169613713</v>
      </c>
      <c r="R214" s="105">
        <f>((S213*$E$7)+S215*(1-$E$7))*$E$6</f>
        <v>35.004672828228628</v>
      </c>
      <c r="S214" s="116">
        <f>-EXP(-dividend_rate*Time/n_periods)*(BinomialModel!T214-BinomialModel!T216)/(Stock*(up_factor-down_factor))</f>
        <v>0.70673106701319566</v>
      </c>
      <c r="T214" s="105">
        <f>((U213*$E$7)+U215*(1-$E$7))*$E$6</f>
        <v>35.003867250507199</v>
      </c>
      <c r="U214" s="116">
        <f>-EXP(-dividend_rate*Time/n_periods)*(BinomialModel!V214-BinomialModel!V216)/(Stock*(up_factor-down_factor))</f>
        <v>0.70671480270455878</v>
      </c>
      <c r="V214" s="105">
        <f t="shared" si="15"/>
        <v>35.003061691324881</v>
      </c>
      <c r="W214" s="105">
        <f t="shared" si="14"/>
        <v>0</v>
      </c>
      <c r="X214" s="105">
        <f t="shared" si="13"/>
        <v>35.002256150681262</v>
      </c>
      <c r="Y214" s="105">
        <f t="shared" si="21"/>
        <v>0</v>
      </c>
      <c r="Z214" s="105">
        <f t="shared" si="20"/>
        <v>35.001450628575881</v>
      </c>
      <c r="AA214" s="105">
        <f t="shared" si="19"/>
        <v>0</v>
      </c>
      <c r="AB214" s="105">
        <f t="shared" si="18"/>
        <v>35.000645125008333</v>
      </c>
      <c r="AC214" s="105">
        <f t="shared" si="17"/>
        <v>0</v>
      </c>
      <c r="AD214" s="105">
        <f t="shared" si="16"/>
        <v>34.99983963997817</v>
      </c>
      <c r="AE214" s="105"/>
    </row>
    <row r="215" spans="1:31" ht="18.75" customHeight="1">
      <c r="A215" s="107"/>
      <c r="B215" s="107"/>
      <c r="C215" s="107"/>
      <c r="D215" s="107"/>
      <c r="E215" s="107"/>
      <c r="F215" s="107"/>
      <c r="G215" s="107"/>
      <c r="H215" s="107"/>
      <c r="I215" s="107"/>
      <c r="J215" s="107"/>
      <c r="K215" s="107"/>
      <c r="L215" s="107"/>
      <c r="M215" s="105">
        <f>((N214*$E$7)+N216*(1-$E$7))*$E$6</f>
        <v>37.216660190478812</v>
      </c>
      <c r="N215" s="116">
        <f>-EXP(-dividend_rate*Time/n_periods)*(BinomialModel!O215-BinomialModel!O217)/(Stock*(up_factor-down_factor))</f>
        <v>0.68868364900324097</v>
      </c>
      <c r="O215" s="105">
        <f>((P214*$E$7)+P216*(1-$E$7))*$E$6</f>
        <v>37.215503891720367</v>
      </c>
      <c r="P215" s="116">
        <f>-EXP(-dividend_rate*Time/n_periods)*(BinomialModel!Q215-BinomialModel!Q217)/(Stock*(up_factor-down_factor))</f>
        <v>0.68867989235534843</v>
      </c>
      <c r="Q215" s="105">
        <f>((R214*$E$7)+R216*(1-$E$7))*$E$6</f>
        <v>37.2145727946519</v>
      </c>
      <c r="R215" s="116">
        <f>-EXP(-dividend_rate*Time/n_periods)*(BinomialModel!S215-BinomialModel!S217)/(Stock*(up_factor-down_factor))</f>
        <v>0.68866404346622545</v>
      </c>
      <c r="S215" s="105">
        <f>((T214*$E$7)+T216*(1-$E$7))*$E$6</f>
        <v>37.213716359543859</v>
      </c>
      <c r="T215" s="116">
        <f>-EXP(-dividend_rate*Time/n_periods)*(BinomialModel!U215-BinomialModel!U217)/(Stock*(up_factor-down_factor))</f>
        <v>0.68864819494183993</v>
      </c>
      <c r="U215" s="105">
        <f>((V214*$E$7)+V216*(1-$E$7))*$E$6</f>
        <v>37.212859944145322</v>
      </c>
      <c r="V215" s="105">
        <f t="shared" si="15"/>
        <v>0</v>
      </c>
      <c r="W215" s="105">
        <f t="shared" si="14"/>
        <v>37.212003548455854</v>
      </c>
      <c r="X215" s="105">
        <f t="shared" si="13"/>
        <v>0</v>
      </c>
      <c r="Y215" s="105">
        <f t="shared" si="21"/>
        <v>37.211147172474995</v>
      </c>
      <c r="Z215" s="105">
        <f t="shared" si="20"/>
        <v>0</v>
      </c>
      <c r="AA215" s="105">
        <f t="shared" si="19"/>
        <v>37.210290816202281</v>
      </c>
      <c r="AB215" s="105">
        <f t="shared" si="18"/>
        <v>0</v>
      </c>
      <c r="AC215" s="105">
        <f t="shared" si="17"/>
        <v>37.20943447963726</v>
      </c>
      <c r="AD215" s="105">
        <f t="shared" si="16"/>
        <v>0</v>
      </c>
      <c r="AE215" s="105">
        <f>IF(AE61&lt;$AE$84,$AE$84-AE61,0)</f>
        <v>37.208578162779489</v>
      </c>
    </row>
    <row r="216" spans="1:31" ht="18.75" customHeight="1">
      <c r="A216" s="107"/>
      <c r="B216" s="107"/>
      <c r="C216" s="107"/>
      <c r="D216" s="107"/>
      <c r="E216" s="107"/>
      <c r="F216" s="107"/>
      <c r="G216" s="107"/>
      <c r="H216" s="107"/>
      <c r="I216" s="107"/>
      <c r="J216" s="107"/>
      <c r="K216" s="107"/>
      <c r="L216" s="107"/>
      <c r="M216" s="107"/>
      <c r="N216" s="105">
        <f>((O215*$E$7)+O217*(1-$E$7))*$E$6</f>
        <v>39.368956986018155</v>
      </c>
      <c r="O216" s="116">
        <f>-EXP(-dividend_rate*Time/n_periods)*(BinomialModel!P216-BinomialModel!P218)/(Stock*(up_factor-down_factor))</f>
        <v>0.67107433288264573</v>
      </c>
      <c r="P216" s="105">
        <f>((Q215*$E$7)+Q217*(1-$E$7))*$E$6</f>
        <v>39.368014133864598</v>
      </c>
      <c r="Q216" s="116">
        <f>-EXP(-dividend_rate*Time/n_periods)*(BinomialModel!R216-BinomialModel!R218)/(Stock*(up_factor-down_factor))</f>
        <v>0.67105888915789935</v>
      </c>
      <c r="R216" s="105">
        <f>((S215*$E$7)+S217*(1-$E$7))*$E$6</f>
        <v>39.367108140676812</v>
      </c>
      <c r="S216" s="116">
        <f>-EXP(-dividend_rate*Time/n_periods)*(BinomialModel!T216-BinomialModel!T218)/(Stock*(up_factor-down_factor))</f>
        <v>0.67104344578856534</v>
      </c>
      <c r="T216" s="105">
        <f>((U215*$E$7)+U217*(1-$E$7))*$E$6</f>
        <v>39.366202168339051</v>
      </c>
      <c r="U216" s="116">
        <f>-EXP(-dividend_rate*Time/n_periods)*(BinomialModel!V216-BinomialModel!V218)/(Stock*(up_factor-down_factor))</f>
        <v>0.6710280027746377</v>
      </c>
      <c r="V216" s="105">
        <f t="shared" si="15"/>
        <v>39.365296216850815</v>
      </c>
      <c r="W216" s="105">
        <f t="shared" si="14"/>
        <v>0</v>
      </c>
      <c r="X216" s="105">
        <f t="shared" si="13"/>
        <v>39.364390286211638</v>
      </c>
      <c r="Y216" s="105">
        <f t="shared" si="21"/>
        <v>0</v>
      </c>
      <c r="Z216" s="105">
        <f t="shared" si="20"/>
        <v>39.363484376421042</v>
      </c>
      <c r="AA216" s="105">
        <f t="shared" si="19"/>
        <v>0</v>
      </c>
      <c r="AB216" s="105">
        <f t="shared" si="18"/>
        <v>39.36257848747853</v>
      </c>
      <c r="AC216" s="105">
        <f t="shared" si="17"/>
        <v>0</v>
      </c>
      <c r="AD216" s="105">
        <f t="shared" si="16"/>
        <v>39.36167261938364</v>
      </c>
      <c r="AE216" s="105"/>
    </row>
    <row r="217" spans="1:31" ht="18.75" customHeight="1">
      <c r="A217" s="107"/>
      <c r="B217" s="107"/>
      <c r="C217" s="107"/>
      <c r="D217" s="107"/>
      <c r="E217" s="107"/>
      <c r="F217" s="107"/>
      <c r="G217" s="107"/>
      <c r="H217" s="107"/>
      <c r="I217" s="107"/>
      <c r="J217" s="107"/>
      <c r="K217" s="107"/>
      <c r="L217" s="107"/>
      <c r="M217" s="107"/>
      <c r="O217" s="105">
        <f>((P216*$E$7)+P218*(1-$E$7))*$E$6</f>
        <v>41.466440166650813</v>
      </c>
      <c r="P217" s="116">
        <f>-EXP(-dividend_rate*Time/n_periods)*(BinomialModel!Q217-BinomialModel!Q219)/(Stock*(up_factor-down_factor))</f>
        <v>0.65390379676461108</v>
      </c>
      <c r="Q217" s="105">
        <f>((R216*$E$7)+R218*(1-$E$7))*$E$6</f>
        <v>41.465485881474393</v>
      </c>
      <c r="R217" s="116">
        <f>-EXP(-dividend_rate*Time/n_periods)*(BinomialModel!S217-BinomialModel!S219)/(Stock*(up_factor-down_factor))</f>
        <v>0.65388874819286014</v>
      </c>
      <c r="S217" s="105">
        <f>((T216*$E$7)+T218*(1-$E$7))*$E$6</f>
        <v>41.464531618259372</v>
      </c>
      <c r="T217" s="116">
        <f>-EXP(-dividend_rate*Time/n_periods)*(BinomialModel!U217-BinomialModel!U219)/(Stock*(up_factor-down_factor))</f>
        <v>0.65387369996742983</v>
      </c>
      <c r="U217" s="105">
        <f>((V216*$E$7)+V218*(1-$E$7))*$E$6</f>
        <v>41.463577377005215</v>
      </c>
      <c r="V217" s="105">
        <f t="shared" si="15"/>
        <v>0</v>
      </c>
      <c r="W217" s="105">
        <f t="shared" si="14"/>
        <v>41.462623157711427</v>
      </c>
      <c r="X217" s="105">
        <f t="shared" si="13"/>
        <v>0</v>
      </c>
      <c r="Y217" s="105">
        <f t="shared" si="21"/>
        <v>41.461668960377509</v>
      </c>
      <c r="Z217" s="105">
        <f t="shared" si="20"/>
        <v>0</v>
      </c>
      <c r="AA217" s="105">
        <f t="shared" si="19"/>
        <v>41.460714785002942</v>
      </c>
      <c r="AB217" s="105">
        <f t="shared" si="18"/>
        <v>0</v>
      </c>
      <c r="AC217" s="105">
        <f t="shared" si="17"/>
        <v>41.45976063158723</v>
      </c>
      <c r="AD217" s="105">
        <f t="shared" si="16"/>
        <v>0</v>
      </c>
      <c r="AE217" s="105">
        <f>IF(AE63&lt;$AE$84,$AE$84-AE63,0)</f>
        <v>41.458806500129853</v>
      </c>
    </row>
    <row r="218" spans="1:31" ht="18.75" customHeight="1">
      <c r="A218" s="107"/>
      <c r="B218" s="107"/>
      <c r="C218" s="107"/>
      <c r="D218" s="107"/>
      <c r="E218" s="107"/>
      <c r="F218" s="107"/>
      <c r="G218" s="107"/>
      <c r="H218" s="107"/>
      <c r="I218" s="107"/>
      <c r="J218" s="107"/>
      <c r="K218" s="107"/>
      <c r="L218" s="107"/>
      <c r="M218" s="107"/>
      <c r="P218" s="105">
        <f>((Q217*$E$7)+Q219*(1-$E$7))*$E$6</f>
        <v>43.510255972994081</v>
      </c>
      <c r="Q218" s="116">
        <f>-EXP(-dividend_rate*Time/n_periods)*(BinomialModel!R218-BinomialModel!R220)/(Stock*(up_factor-down_factor))</f>
        <v>0.63717259694083472</v>
      </c>
      <c r="R218" s="105">
        <f>((S217*$E$7)+S219*(1-$E$7))*$E$6</f>
        <v>43.509254652597875</v>
      </c>
      <c r="S218" s="116">
        <f>-EXP(-dividend_rate*Time/n_periods)*(BinomialModel!T218-BinomialModel!T220)/(Stock*(up_factor-down_factor))</f>
        <v>0.63715793341144611</v>
      </c>
      <c r="T218" s="105">
        <f>((U217*$E$7)+U219*(1-$E$7))*$E$6</f>
        <v>43.508253355245493</v>
      </c>
      <c r="U218" s="116">
        <f>-EXP(-dividend_rate*Time/n_periods)*(BinomialModel!V218-BinomialModel!V220)/(Stock*(up_factor-down_factor))</f>
        <v>0.63714327021951433</v>
      </c>
      <c r="V218" s="105">
        <f t="shared" si="15"/>
        <v>43.507252080936404</v>
      </c>
      <c r="W218" s="105">
        <f t="shared" si="14"/>
        <v>0</v>
      </c>
      <c r="X218" s="105">
        <f t="shared" si="13"/>
        <v>43.50625082967008</v>
      </c>
      <c r="Y218" s="105">
        <f t="shared" si="21"/>
        <v>0</v>
      </c>
      <c r="Z218" s="105">
        <f t="shared" si="20"/>
        <v>43.505249601445975</v>
      </c>
      <c r="AA218" s="105">
        <f t="shared" si="19"/>
        <v>0</v>
      </c>
      <c r="AB218" s="105">
        <f t="shared" si="18"/>
        <v>43.504248396263584</v>
      </c>
      <c r="AC218" s="105">
        <f t="shared" si="17"/>
        <v>0</v>
      </c>
      <c r="AD218" s="105">
        <f t="shared" si="16"/>
        <v>43.503247214122347</v>
      </c>
      <c r="AE218" s="105"/>
    </row>
    <row r="219" spans="1:31" ht="18.75" customHeight="1">
      <c r="A219" s="107"/>
      <c r="B219" s="107"/>
      <c r="C219" s="107"/>
      <c r="D219" s="107"/>
      <c r="E219" s="107"/>
      <c r="F219" s="107"/>
      <c r="G219" s="107"/>
      <c r="H219" s="107"/>
      <c r="I219" s="107"/>
      <c r="J219" s="107"/>
      <c r="K219" s="107"/>
      <c r="L219" s="107"/>
      <c r="M219" s="107"/>
      <c r="Q219" s="105">
        <f>((R218*$E$7)+R220*(1-$E$7))*$E$6</f>
        <v>45.501741677592982</v>
      </c>
      <c r="R219" s="116">
        <f>-EXP(-dividend_rate*Time/n_periods)*(BinomialModel!S219-BinomialModel!S221)/(Stock*(up_factor-down_factor))</f>
        <v>0.62086949227253796</v>
      </c>
      <c r="S219" s="105">
        <f>((T218*$E$7)+T220*(1-$E$7))*$E$6</f>
        <v>45.500694526272319</v>
      </c>
      <c r="T219" s="116">
        <f>-EXP(-dividend_rate*Time/n_periods)*(BinomialModel!U219-BinomialModel!U221)/(Stock*(up_factor-down_factor))</f>
        <v>0.62085520393356908</v>
      </c>
      <c r="U219" s="105">
        <f>((V218*$E$7)+V220*(1-$E$7))*$E$6</f>
        <v>45.499647399050204</v>
      </c>
      <c r="V219" s="105">
        <f t="shared" si="15"/>
        <v>0</v>
      </c>
      <c r="W219" s="105">
        <f t="shared" si="14"/>
        <v>45.498600295926096</v>
      </c>
      <c r="X219" s="105">
        <f t="shared" si="13"/>
        <v>0</v>
      </c>
      <c r="Y219" s="105">
        <f t="shared" si="21"/>
        <v>45.497553216899405</v>
      </c>
      <c r="Z219" s="105">
        <f t="shared" si="20"/>
        <v>0</v>
      </c>
      <c r="AA219" s="105">
        <f t="shared" si="19"/>
        <v>45.496506161969606</v>
      </c>
      <c r="AB219" s="105">
        <f t="shared" si="18"/>
        <v>0</v>
      </c>
      <c r="AC219" s="105">
        <f t="shared" si="17"/>
        <v>45.495459131136137</v>
      </c>
      <c r="AD219" s="105">
        <f t="shared" si="16"/>
        <v>0</v>
      </c>
      <c r="AE219" s="105">
        <f>IF(AE65&lt;$AE$84,$AE$84-AE65,0)</f>
        <v>45.494412124398437</v>
      </c>
    </row>
    <row r="220" spans="1:31" ht="18.75" customHeight="1">
      <c r="A220" s="107"/>
      <c r="B220" s="107"/>
      <c r="C220" s="107"/>
      <c r="D220" s="107"/>
      <c r="E220" s="107"/>
      <c r="F220" s="107"/>
      <c r="G220" s="107"/>
      <c r="H220" s="107"/>
      <c r="I220" s="107"/>
      <c r="J220" s="107"/>
      <c r="K220" s="107"/>
      <c r="L220" s="107"/>
      <c r="M220" s="107"/>
      <c r="R220" s="105">
        <f>((S219*$E$7)+S221*(1-$E$7))*$E$6</f>
        <v>47.442236232235587</v>
      </c>
      <c r="S220" s="116">
        <f>-EXP(-dividend_rate*Time/n_periods)*(BinomialModel!T220-BinomialModel!T222)/(Stock*(up_factor-down_factor))</f>
        <v>0.60498352924388421</v>
      </c>
      <c r="T220" s="105">
        <f>((U219*$E$7)+U221*(1-$E$7))*$E$6</f>
        <v>47.441144423471926</v>
      </c>
      <c r="U220" s="116">
        <f>-EXP(-dividend_rate*Time/n_periods)*(BinomialModel!V220-BinomialModel!V222)/(Stock*(up_factor-down_factor))</f>
        <v>0.60496960649547227</v>
      </c>
      <c r="V220" s="105">
        <f t="shared" si="15"/>
        <v>47.440052639834526</v>
      </c>
      <c r="W220" s="105">
        <f t="shared" si="14"/>
        <v>0</v>
      </c>
      <c r="X220" s="105">
        <f t="shared" si="13"/>
        <v>47.438960881322821</v>
      </c>
      <c r="Y220" s="105">
        <f t="shared" si="21"/>
        <v>0</v>
      </c>
      <c r="Z220" s="105">
        <f t="shared" si="20"/>
        <v>47.437869147936226</v>
      </c>
      <c r="AA220" s="105">
        <f t="shared" si="19"/>
        <v>0</v>
      </c>
      <c r="AB220" s="105">
        <f t="shared" si="18"/>
        <v>47.436777439674159</v>
      </c>
      <c r="AC220" s="105">
        <f t="shared" si="17"/>
        <v>0</v>
      </c>
      <c r="AD220" s="105">
        <f t="shared" si="16"/>
        <v>47.435685756536046</v>
      </c>
      <c r="AE220" s="105"/>
    </row>
    <row r="221" spans="1:31" ht="18.75" customHeight="1">
      <c r="A221" s="107"/>
      <c r="B221" s="107"/>
      <c r="C221" s="107"/>
      <c r="D221" s="107"/>
      <c r="E221" s="107"/>
      <c r="F221" s="107"/>
      <c r="G221" s="107"/>
      <c r="H221" s="107"/>
      <c r="I221" s="107"/>
      <c r="J221" s="107"/>
      <c r="K221" s="107"/>
      <c r="L221" s="107"/>
      <c r="M221" s="107"/>
      <c r="S221" s="105">
        <f>((T220*$E$7)+T222*(1-$E$7))*$E$6</f>
        <v>49.333044329435076</v>
      </c>
      <c r="T221" s="116">
        <f>-EXP(-dividend_rate*Time/n_periods)*(BinomialModel!U221-BinomialModel!U223)/(Stock*(up_factor-down_factor))</f>
        <v>0.58950403460269041</v>
      </c>
      <c r="U221" s="105">
        <f>((V220*$E$7)+V222*(1-$E$7))*$E$6</f>
        <v>49.331909006684405</v>
      </c>
      <c r="V221" s="105">
        <f t="shared" si="15"/>
        <v>0</v>
      </c>
      <c r="W221" s="105">
        <f t="shared" si="14"/>
        <v>49.330773710061401</v>
      </c>
      <c r="X221" s="105">
        <f t="shared" si="13"/>
        <v>0</v>
      </c>
      <c r="Y221" s="105">
        <f t="shared" si="21"/>
        <v>49.329638439565478</v>
      </c>
      <c r="Z221" s="105">
        <f t="shared" si="20"/>
        <v>0</v>
      </c>
      <c r="AA221" s="105">
        <f t="shared" si="19"/>
        <v>49.328503195196021</v>
      </c>
      <c r="AB221" s="105">
        <f t="shared" si="18"/>
        <v>0</v>
      </c>
      <c r="AC221" s="105">
        <f t="shared" si="17"/>
        <v>49.327367976952438</v>
      </c>
      <c r="AD221" s="105">
        <f t="shared" si="16"/>
        <v>0</v>
      </c>
      <c r="AE221" s="105">
        <f>IF(AE67&lt;$AE$84,$AE$84-AE67,0)</f>
        <v>49.326232784834133</v>
      </c>
    </row>
    <row r="222" spans="1:31" ht="18.75" customHeight="1">
      <c r="A222" s="107"/>
      <c r="B222" s="107"/>
      <c r="C222" s="107"/>
      <c r="D222" s="107"/>
      <c r="E222" s="107"/>
      <c r="F222" s="107"/>
      <c r="G222" s="107"/>
      <c r="H222" s="107"/>
      <c r="I222" s="107"/>
      <c r="J222" s="107"/>
      <c r="K222" s="107"/>
      <c r="L222" s="107"/>
      <c r="M222" s="107"/>
      <c r="T222" s="105">
        <f>((U221*$E$7)+U223*(1-$E$7))*$E$6</f>
        <v>51.175437279009387</v>
      </c>
      <c r="U222" s="116">
        <f>-EXP(-dividend_rate*Time/n_periods)*(BinomialModel!V222-BinomialModel!V224)/(Stock*(up_factor-down_factor))</f>
        <v>0.57442060818941776</v>
      </c>
      <c r="V222" s="105">
        <f t="shared" si="15"/>
        <v>51.174259556470496</v>
      </c>
      <c r="W222" s="105">
        <f t="shared" si="14"/>
        <v>0</v>
      </c>
      <c r="X222" s="105">
        <f t="shared" si="13"/>
        <v>51.173081861035051</v>
      </c>
      <c r="Y222" s="105">
        <f t="shared" si="21"/>
        <v>0</v>
      </c>
      <c r="Z222" s="105">
        <f t="shared" si="20"/>
        <v>51.171904192702421</v>
      </c>
      <c r="AA222" s="105">
        <f t="shared" si="19"/>
        <v>0</v>
      </c>
      <c r="AB222" s="105">
        <f t="shared" si="18"/>
        <v>51.170726551471986</v>
      </c>
      <c r="AC222" s="105">
        <f t="shared" si="17"/>
        <v>0</v>
      </c>
      <c r="AD222" s="105">
        <f t="shared" si="16"/>
        <v>51.169548937343116</v>
      </c>
      <c r="AE222" s="105"/>
    </row>
    <row r="223" spans="1:31" ht="18.75" customHeight="1">
      <c r="A223" s="107"/>
      <c r="B223" s="107"/>
      <c r="C223" s="107"/>
      <c r="D223" s="107"/>
      <c r="E223" s="107"/>
      <c r="F223" s="107"/>
      <c r="G223" s="107"/>
      <c r="H223" s="107"/>
      <c r="I223" s="107"/>
      <c r="J223" s="107"/>
      <c r="K223" s="107"/>
      <c r="L223" s="107"/>
      <c r="M223" s="107"/>
      <c r="U223" s="105">
        <f>((V222*$E$7)+V224*(1-$E$7))*$E$6</f>
        <v>52.970653862232204</v>
      </c>
      <c r="V223" s="105">
        <f t="shared" si="15"/>
        <v>0</v>
      </c>
      <c r="W223" s="105">
        <f t="shared" si="14"/>
        <v>52.969434825595286</v>
      </c>
      <c r="X223" s="105">
        <f t="shared" si="13"/>
        <v>0</v>
      </c>
      <c r="Y223" s="105">
        <f t="shared" si="21"/>
        <v>52.968215817012599</v>
      </c>
      <c r="Z223" s="105">
        <f t="shared" si="20"/>
        <v>0</v>
      </c>
      <c r="AA223" s="105">
        <f t="shared" si="19"/>
        <v>52.966996836483489</v>
      </c>
      <c r="AB223" s="105">
        <f t="shared" si="18"/>
        <v>0</v>
      </c>
      <c r="AC223" s="105">
        <f t="shared" si="17"/>
        <v>52.965777884007302</v>
      </c>
      <c r="AD223" s="105">
        <f t="shared" si="16"/>
        <v>0</v>
      </c>
      <c r="AE223" s="105">
        <f>IF(AE69&lt;$AE$84,$AE$84-AE69,0)</f>
        <v>52.964558959583371</v>
      </c>
    </row>
    <row r="224" spans="1:31" ht="18.75" customHeight="1">
      <c r="A224" s="107"/>
      <c r="B224" s="107"/>
      <c r="C224" s="107"/>
      <c r="D224" s="107"/>
      <c r="E224" s="107"/>
      <c r="F224" s="107"/>
      <c r="G224" s="107"/>
      <c r="H224" s="107"/>
      <c r="I224" s="107"/>
      <c r="J224" s="107"/>
      <c r="K224" s="107"/>
      <c r="L224" s="107"/>
      <c r="M224" s="107"/>
      <c r="V224" s="105">
        <f t="shared" si="15"/>
        <v>54.719901164129041</v>
      </c>
      <c r="W224" s="105">
        <f t="shared" si="14"/>
        <v>0</v>
      </c>
      <c r="X224" s="105">
        <f t="shared" si="13"/>
        <v>54.718641871305117</v>
      </c>
      <c r="Y224" s="105">
        <f t="shared" si="21"/>
        <v>0</v>
      </c>
      <c r="Z224" s="105">
        <f t="shared" si="20"/>
        <v>54.71738260746185</v>
      </c>
      <c r="AA224" s="105">
        <f t="shared" si="19"/>
        <v>0</v>
      </c>
      <c r="AB224" s="105">
        <f t="shared" si="18"/>
        <v>54.716123372598567</v>
      </c>
      <c r="AC224" s="105">
        <f t="shared" si="17"/>
        <v>0</v>
      </c>
      <c r="AD224" s="105">
        <f t="shared" si="16"/>
        <v>54.714864166714605</v>
      </c>
      <c r="AE224" s="105"/>
    </row>
    <row r="225" spans="1:31" ht="18.75" customHeight="1">
      <c r="A225" s="107"/>
      <c r="B225" s="107"/>
      <c r="C225" s="107"/>
      <c r="D225" s="107"/>
      <c r="E225" s="107"/>
      <c r="F225" s="107"/>
      <c r="G225" s="107"/>
      <c r="H225" s="107"/>
      <c r="I225" s="107"/>
      <c r="J225" s="107"/>
      <c r="K225" s="107"/>
      <c r="L225" s="107"/>
      <c r="M225" s="107"/>
      <c r="W225" s="105">
        <f t="shared" si="14"/>
        <v>56.424355384477629</v>
      </c>
      <c r="X225" s="105">
        <f t="shared" si="13"/>
        <v>0</v>
      </c>
      <c r="Y225" s="105">
        <f t="shared" si="21"/>
        <v>56.423056866309317</v>
      </c>
      <c r="Z225" s="105">
        <f t="shared" si="20"/>
        <v>0</v>
      </c>
      <c r="AA225" s="105">
        <f t="shared" si="19"/>
        <v>56.421758378024357</v>
      </c>
      <c r="AB225" s="105">
        <f t="shared" si="18"/>
        <v>0</v>
      </c>
      <c r="AC225" s="105">
        <f t="shared" si="17"/>
        <v>56.420459919622083</v>
      </c>
      <c r="AD225" s="105">
        <f t="shared" si="16"/>
        <v>0</v>
      </c>
      <c r="AE225" s="105">
        <f>IF(AE71&lt;$AE$84,$AE$84-AE71,0)</f>
        <v>56.419161491101818</v>
      </c>
    </row>
    <row r="226" spans="1:31" ht="18.75" customHeight="1">
      <c r="A226" s="107"/>
      <c r="B226" s="107"/>
      <c r="C226" s="107"/>
      <c r="D226" s="107"/>
      <c r="E226" s="107"/>
      <c r="F226" s="107"/>
      <c r="G226" s="107"/>
      <c r="H226" s="107"/>
      <c r="I226" s="107"/>
      <c r="J226" s="107"/>
      <c r="K226" s="107"/>
      <c r="L226" s="107"/>
      <c r="M226" s="107"/>
      <c r="X226" s="105">
        <f t="shared" si="13"/>
        <v>58.085162628057624</v>
      </c>
      <c r="Y226" s="105">
        <f t="shared" si="21"/>
        <v>0</v>
      </c>
      <c r="Z226" s="105">
        <f t="shared" si="20"/>
        <v>58.08382588901172</v>
      </c>
      <c r="AA226" s="105">
        <f t="shared" si="19"/>
        <v>0</v>
      </c>
      <c r="AB226" s="105">
        <f t="shared" si="18"/>
        <v>58.082489180728786</v>
      </c>
      <c r="AC226" s="105">
        <f t="shared" si="17"/>
        <v>0</v>
      </c>
      <c r="AD226" s="105">
        <f t="shared" si="16"/>
        <v>58.081152503208095</v>
      </c>
      <c r="AE226" s="105"/>
    </row>
    <row r="227" spans="1:31" ht="18.75" customHeight="1">
      <c r="A227" s="107"/>
      <c r="B227" s="107"/>
      <c r="C227" s="107"/>
      <c r="D227" s="107"/>
      <c r="E227" s="107"/>
      <c r="F227" s="107"/>
      <c r="G227" s="107"/>
      <c r="H227" s="107"/>
      <c r="I227" s="107"/>
      <c r="J227" s="107"/>
      <c r="K227" s="107"/>
      <c r="L227" s="107"/>
      <c r="M227" s="107"/>
      <c r="Y227" s="105">
        <f t="shared" si="21"/>
        <v>59.703439674680411</v>
      </c>
      <c r="Z227" s="105">
        <f t="shared" si="20"/>
        <v>0</v>
      </c>
      <c r="AA227" s="105">
        <f t="shared" si="19"/>
        <v>59.702065693522805</v>
      </c>
      <c r="AB227" s="105">
        <f t="shared" si="18"/>
        <v>0</v>
      </c>
      <c r="AC227" s="105">
        <f t="shared" si="17"/>
        <v>59.700691743985224</v>
      </c>
      <c r="AD227" s="105">
        <f t="shared" si="16"/>
        <v>0</v>
      </c>
      <c r="AE227" s="105">
        <f>IF(AE73&lt;$AE$84,$AE$84-AE73,0)</f>
        <v>59.699317826066924</v>
      </c>
    </row>
    <row r="228" spans="1:31" ht="18.75" customHeight="1">
      <c r="A228" s="107"/>
      <c r="B228" s="107"/>
      <c r="C228" s="107"/>
      <c r="D228" s="107"/>
      <c r="E228" s="107"/>
      <c r="F228" s="107"/>
      <c r="G228" s="107"/>
      <c r="H228" s="107"/>
      <c r="I228" s="107"/>
      <c r="J228" s="107"/>
      <c r="K228" s="107"/>
      <c r="L228" s="107"/>
      <c r="M228" s="107"/>
      <c r="Z228" s="105">
        <f t="shared" si="20"/>
        <v>61.280274729516464</v>
      </c>
      <c r="AA228" s="105">
        <f t="shared" si="19"/>
        <v>0</v>
      </c>
      <c r="AB228" s="105">
        <f t="shared" si="18"/>
        <v>61.278864459969675</v>
      </c>
      <c r="AC228" s="105">
        <f t="shared" si="17"/>
        <v>0</v>
      </c>
      <c r="AD228" s="105">
        <f t="shared" si="16"/>
        <v>61.277454222878028</v>
      </c>
      <c r="AE228" s="105"/>
    </row>
    <row r="229" spans="1:31" ht="18.75" customHeight="1">
      <c r="A229" s="107"/>
      <c r="B229" s="107"/>
      <c r="C229" s="107"/>
      <c r="D229" s="107"/>
      <c r="E229" s="107"/>
      <c r="F229" s="107"/>
      <c r="G229" s="107"/>
      <c r="H229" s="107"/>
      <c r="I229" s="107"/>
      <c r="J229" s="107"/>
      <c r="K229" s="107"/>
      <c r="L229" s="107"/>
      <c r="M229" s="107"/>
      <c r="AA229" s="105">
        <f t="shared" si="19"/>
        <v>62.816728154224315</v>
      </c>
      <c r="AB229" s="105">
        <f t="shared" si="18"/>
        <v>0</v>
      </c>
      <c r="AC229" s="105">
        <f t="shared" si="17"/>
        <v>62.815282525608325</v>
      </c>
      <c r="AD229" s="105">
        <f t="shared" si="16"/>
        <v>0</v>
      </c>
      <c r="AE229" s="105">
        <f>IF(AE75&lt;$AE$84,$AE$84-AE75,0)</f>
        <v>62.813836930261211</v>
      </c>
    </row>
    <row r="230" spans="1:31" ht="18.75" customHeight="1">
      <c r="A230" s="107"/>
      <c r="B230" s="107"/>
      <c r="C230" s="107"/>
      <c r="D230" s="107"/>
      <c r="E230" s="107"/>
      <c r="F230" s="107"/>
      <c r="G230" s="107"/>
      <c r="H230" s="107"/>
      <c r="I230" s="107"/>
      <c r="J230" s="107"/>
      <c r="K230" s="107"/>
      <c r="L230" s="107"/>
      <c r="M230" s="107"/>
      <c r="AB230" s="105">
        <f t="shared" si="18"/>
        <v>64.313833179372452</v>
      </c>
      <c r="AC230" s="105">
        <f t="shared" si="17"/>
        <v>0</v>
      </c>
      <c r="AD230" s="105">
        <f t="shared" si="16"/>
        <v>64.312353097229064</v>
      </c>
      <c r="AE230" s="105"/>
    </row>
    <row r="231" spans="1:31" ht="18.75" customHeight="1">
      <c r="A231" s="107"/>
      <c r="B231" s="107"/>
      <c r="C231" s="107"/>
      <c r="D231" s="107"/>
      <c r="E231" s="107"/>
      <c r="F231" s="107"/>
      <c r="G231" s="107"/>
      <c r="H231" s="107"/>
      <c r="I231" s="107"/>
      <c r="J231" s="107"/>
      <c r="K231" s="107"/>
      <c r="L231" s="107"/>
      <c r="M231" s="107"/>
      <c r="AC231" s="105">
        <f t="shared" si="17"/>
        <v>65.772596598632703</v>
      </c>
      <c r="AD231" s="105">
        <f t="shared" si="16"/>
        <v>0</v>
      </c>
      <c r="AE231" s="105">
        <f>IF(AE77&lt;$AE$84,$AE$84-AE77,0)</f>
        <v>65.77108294533393</v>
      </c>
    </row>
    <row r="232" spans="1:31" ht="18.75" customHeight="1">
      <c r="A232" s="107"/>
      <c r="B232" s="107"/>
      <c r="C232" s="107"/>
      <c r="D232" s="107"/>
      <c r="E232" s="107"/>
      <c r="F232" s="107"/>
      <c r="G232" s="107"/>
      <c r="H232" s="107"/>
      <c r="I232" s="107"/>
      <c r="J232" s="107"/>
      <c r="K232" s="107"/>
      <c r="L232" s="107"/>
      <c r="M232" s="107"/>
      <c r="AD232" s="105">
        <f t="shared" si="16"/>
        <v>67.193999445211531</v>
      </c>
      <c r="AE232" s="105"/>
    </row>
    <row r="233" spans="1:31" ht="18.75" customHeight="1">
      <c r="A233" s="107"/>
      <c r="B233" s="107"/>
      <c r="C233" s="107"/>
      <c r="D233" s="107"/>
      <c r="E233" s="107"/>
      <c r="F233" s="107"/>
      <c r="G233" s="107"/>
      <c r="H233" s="107"/>
      <c r="I233" s="107"/>
      <c r="J233" s="107"/>
      <c r="K233" s="107"/>
      <c r="L233" s="107"/>
      <c r="M233" s="107"/>
      <c r="AE233" s="105">
        <f>IF(AE79&lt;$AE$84,$AE$84-AE79,0)</f>
        <v>68.578997650973719</v>
      </c>
    </row>
    <row r="234" spans="1:31" ht="18.75" customHeight="1"/>
    <row r="235" spans="1:31" ht="18.75" customHeight="1"/>
    <row r="236" spans="1:31" ht="18.75" customHeight="1"/>
    <row r="237" spans="1:31" ht="18.75" customHeight="1"/>
    <row r="238" spans="1:31" ht="18.75" customHeight="1"/>
    <row r="239" spans="1:31" ht="18.75" customHeight="1"/>
    <row r="240" spans="1:31" ht="18.75" customHeight="1"/>
    <row r="241" ht="18.75" customHeight="1"/>
    <row r="242" ht="18.75" customHeight="1"/>
    <row r="243" ht="18.75" customHeight="1"/>
    <row r="244" ht="18.75" customHeight="1"/>
    <row r="245" ht="18.75" customHeight="1"/>
    <row r="246" ht="18.75" customHeight="1"/>
    <row r="247" ht="18.75" customHeight="1"/>
    <row r="248" ht="18.75" customHeight="1"/>
    <row r="249" ht="18.75" customHeight="1"/>
    <row r="250" ht="18.75" customHeight="1"/>
    <row r="251" ht="18.75" customHeight="1"/>
    <row r="252" ht="18.75" customHeight="1"/>
    <row r="253" ht="18.75" customHeight="1"/>
    <row r="254" ht="18.75" customHeight="1"/>
    <row r="255" ht="18.75" customHeight="1"/>
    <row r="256" ht="18.75" customHeight="1"/>
    <row r="257" ht="18.75" customHeight="1"/>
    <row r="258" ht="18.75" customHeight="1"/>
    <row r="259" ht="18.75" customHeight="1"/>
    <row r="260" ht="18.75" customHeight="1"/>
    <row r="261" ht="18.75" customHeight="1"/>
    <row r="262" ht="18.75" customHeight="1"/>
    <row r="263" ht="18.75" customHeight="1"/>
    <row r="264" ht="18.75" customHeight="1"/>
    <row r="265" ht="18.75" customHeight="1"/>
    <row r="266" ht="18.75" customHeight="1"/>
    <row r="267" ht="18.75" customHeight="1"/>
    <row r="268" ht="18.75" customHeight="1"/>
    <row r="269" ht="18.75" customHeight="1"/>
    <row r="270" ht="18.75" customHeight="1"/>
    <row r="271" ht="18.75" customHeight="1"/>
    <row r="272" ht="18.75" customHeight="1"/>
    <row r="273" ht="18.75" customHeight="1"/>
    <row r="274" ht="18.75" customHeight="1"/>
    <row r="275" ht="18.75" customHeight="1"/>
    <row r="276" ht="18.75" customHeight="1"/>
    <row r="277" ht="18.75" customHeight="1"/>
    <row r="278" ht="18.75" customHeight="1"/>
    <row r="279" ht="18.75" customHeight="1"/>
    <row r="280" ht="18.75" customHeight="1"/>
    <row r="281" ht="18.75" customHeight="1"/>
    <row r="282" ht="18.75" customHeight="1"/>
    <row r="283" ht="18.75" customHeight="1"/>
    <row r="284" ht="18.75" customHeight="1"/>
    <row r="285" ht="18.75" customHeight="1"/>
    <row r="286" ht="18.75" customHeight="1"/>
    <row r="287" ht="18.75" customHeight="1"/>
    <row r="288" ht="18.75" customHeight="1"/>
    <row r="289" ht="18.75" customHeight="1"/>
    <row r="290" ht="18.75" customHeight="1"/>
    <row r="291" ht="18.75" customHeight="1"/>
    <row r="292" ht="18.75" customHeight="1"/>
    <row r="293" ht="18.75" customHeight="1"/>
    <row r="294" ht="18.75" customHeight="1"/>
    <row r="295" ht="18.75" customHeight="1"/>
    <row r="296" ht="18.75" customHeight="1"/>
    <row r="297" ht="18.75" customHeight="1"/>
    <row r="298" ht="18.75" customHeight="1"/>
    <row r="299" ht="18.75" customHeight="1"/>
    <row r="300" ht="18.75" customHeight="1"/>
    <row r="301" ht="18.75" customHeight="1"/>
    <row r="302" ht="18.75" customHeight="1"/>
    <row r="303" ht="18.75" customHeight="1"/>
    <row r="304" ht="18.75" customHeight="1"/>
    <row r="305" ht="18.75" customHeight="1"/>
    <row r="306" ht="18.75" customHeight="1"/>
    <row r="307" ht="18.75" customHeight="1"/>
    <row r="308" ht="18.75" customHeight="1"/>
    <row r="309" ht="18.75" customHeight="1"/>
    <row r="310" ht="18.75" customHeight="1"/>
    <row r="311" ht="18.75" customHeight="1"/>
    <row r="312" ht="18.75" customHeight="1"/>
    <row r="313" ht="18.75" customHeight="1"/>
    <row r="314" ht="18.75" customHeight="1"/>
    <row r="315" ht="18.75" customHeight="1"/>
    <row r="316" ht="18.75" customHeight="1"/>
    <row r="317" ht="18.75" customHeight="1"/>
    <row r="318" ht="18.75" customHeight="1"/>
    <row r="319" ht="18.75" customHeight="1"/>
    <row r="320" ht="18.75" customHeight="1"/>
    <row r="321" ht="18.75" customHeight="1"/>
    <row r="322" ht="18.75" customHeight="1"/>
    <row r="323" ht="18.75" customHeight="1"/>
    <row r="324" ht="18.75" customHeight="1"/>
    <row r="325" ht="18.75" customHeight="1"/>
    <row r="326" ht="18.75" customHeight="1"/>
    <row r="327" ht="18.75" customHeight="1"/>
    <row r="328" ht="18.75" customHeight="1"/>
    <row r="329" ht="18.75" customHeight="1"/>
    <row r="330" ht="18.75" customHeight="1"/>
    <row r="331" ht="18.75" customHeight="1"/>
    <row r="332" ht="18.75" customHeight="1"/>
    <row r="333" ht="18.75" customHeight="1"/>
    <row r="334" ht="18.75" customHeight="1"/>
    <row r="335" ht="18.75" customHeight="1"/>
    <row r="336" ht="18.75" customHeight="1"/>
    <row r="337" ht="18.75" customHeight="1"/>
    <row r="338" ht="18.75" customHeight="1"/>
    <row r="339" ht="18.75" customHeight="1"/>
    <row r="340" ht="18.75" customHeight="1"/>
    <row r="341" ht="18.75" customHeight="1"/>
    <row r="342" ht="18.75" customHeight="1"/>
    <row r="343" ht="18.75" customHeight="1"/>
    <row r="344" ht="18.75" customHeight="1"/>
    <row r="345" ht="18.75" customHeight="1"/>
    <row r="346" ht="18.75" customHeight="1"/>
    <row r="347" ht="18.75" customHeight="1"/>
    <row r="348" ht="18.75" customHeight="1"/>
    <row r="349" ht="18.75" customHeight="1"/>
    <row r="350" ht="18.75" customHeight="1"/>
    <row r="351" ht="18.75" customHeight="1"/>
    <row r="352" ht="18.75" customHeight="1"/>
    <row r="353" ht="18.75" customHeight="1"/>
    <row r="354" ht="18.75" customHeight="1"/>
    <row r="355" ht="18.75" customHeight="1"/>
    <row r="356" ht="18.75" customHeight="1"/>
    <row r="357" ht="18.75" customHeight="1"/>
    <row r="358" ht="18.75" customHeight="1"/>
    <row r="359" ht="18.75" customHeight="1"/>
    <row r="360" ht="18.75" customHeight="1"/>
    <row r="361" ht="18.75" customHeight="1"/>
    <row r="362" ht="18.75" customHeight="1"/>
    <row r="363" ht="18.75" customHeight="1"/>
    <row r="364" ht="18.75" customHeight="1"/>
    <row r="365" ht="18.75" customHeight="1"/>
    <row r="366" ht="18.75" customHeight="1"/>
    <row r="367" ht="18.75" customHeight="1"/>
    <row r="368" ht="18.75" customHeight="1"/>
    <row r="369" ht="18.75" customHeight="1"/>
    <row r="370" ht="18.75" customHeight="1"/>
    <row r="371" ht="18.75" customHeight="1"/>
    <row r="372" ht="18.75" customHeight="1"/>
    <row r="373" ht="18.75" customHeight="1"/>
    <row r="374" ht="18.75" customHeight="1"/>
    <row r="375" ht="18.75" customHeight="1"/>
    <row r="376" ht="18.75" customHeight="1"/>
    <row r="377" ht="18.75" customHeight="1"/>
    <row r="378" ht="18.75" customHeight="1"/>
    <row r="379" ht="18.75" customHeight="1"/>
    <row r="380" ht="18.75" customHeight="1"/>
    <row r="381" ht="18.75" customHeight="1"/>
    <row r="382" ht="18.75" customHeight="1"/>
    <row r="383" ht="18.75" customHeight="1"/>
    <row r="384" ht="18.75" customHeight="1"/>
    <row r="385" ht="18.75" customHeight="1"/>
    <row r="386" ht="18.75" customHeight="1"/>
    <row r="387" ht="18.75" customHeight="1"/>
    <row r="388" ht="18.75" customHeight="1"/>
    <row r="389" ht="18.75" customHeight="1"/>
    <row r="390" ht="18.75" customHeight="1"/>
    <row r="391" ht="18.75" customHeight="1"/>
    <row r="392" ht="18.75" customHeight="1"/>
    <row r="393" ht="18.75" customHeight="1"/>
    <row r="394" ht="18.75" customHeight="1"/>
    <row r="395" ht="18.75" customHeight="1"/>
    <row r="396" ht="18.75" customHeight="1"/>
    <row r="397" ht="18.75" customHeight="1"/>
    <row r="398" ht="18.75" customHeight="1"/>
    <row r="399" ht="18.75" customHeight="1"/>
    <row r="400" ht="18.75" customHeight="1"/>
    <row r="401" ht="18.75" customHeight="1"/>
    <row r="402" ht="18.75" customHeight="1"/>
    <row r="403" ht="18.75" customHeight="1"/>
    <row r="404" ht="18.75" customHeight="1"/>
    <row r="405" ht="18.75" customHeight="1"/>
    <row r="406" ht="18.75" customHeight="1"/>
    <row r="407" ht="18.75" customHeight="1"/>
    <row r="408" ht="18.75" customHeight="1"/>
    <row r="409" ht="18.75" customHeight="1"/>
    <row r="410" ht="18.75" customHeight="1"/>
    <row r="411" ht="18.75" customHeight="1"/>
    <row r="412" ht="18.75" customHeight="1"/>
    <row r="413" ht="18.75" customHeight="1"/>
    <row r="414" ht="18.75" customHeight="1"/>
    <row r="415" ht="18.75" customHeight="1"/>
    <row r="416" ht="18.75" customHeight="1"/>
    <row r="417" ht="18.75" customHeight="1"/>
    <row r="418" ht="18.75" customHeight="1"/>
    <row r="419" ht="18.75" customHeight="1"/>
    <row r="420" ht="18.75" customHeight="1"/>
    <row r="421" ht="18.75" customHeight="1"/>
    <row r="422" ht="18.75" customHeight="1"/>
    <row r="423" ht="18.75" customHeight="1"/>
    <row r="424" ht="18.75" customHeight="1"/>
    <row r="425" ht="18.75" customHeight="1"/>
    <row r="426" ht="18.75" customHeight="1"/>
    <row r="427" ht="18.75" customHeight="1"/>
    <row r="428" ht="18.75" customHeight="1"/>
    <row r="429" ht="18.75" customHeight="1"/>
    <row r="430" ht="18.75" customHeight="1"/>
    <row r="431" ht="18.75" customHeight="1"/>
    <row r="432" ht="18.75" customHeight="1"/>
    <row r="433" ht="18.75" customHeight="1"/>
    <row r="434" ht="18.75" customHeight="1"/>
    <row r="435" ht="18.75" customHeight="1"/>
    <row r="436" ht="18.75" customHeight="1"/>
    <row r="437" ht="18.75" customHeight="1"/>
    <row r="438" ht="18.75" customHeight="1"/>
    <row r="439" ht="18.75" customHeight="1"/>
    <row r="440" ht="18.75" customHeight="1"/>
    <row r="441" ht="18.75" customHeight="1"/>
    <row r="442" ht="18.75" customHeight="1"/>
    <row r="443" ht="18.75" customHeight="1"/>
    <row r="444" ht="18.75" customHeight="1"/>
    <row r="445" ht="18.75" customHeight="1"/>
    <row r="446" ht="18.75" customHeight="1"/>
    <row r="447" ht="18.75" customHeight="1"/>
    <row r="448" ht="18.75" customHeight="1"/>
    <row r="449" ht="18.75" customHeight="1"/>
    <row r="450" ht="18.75" customHeight="1"/>
    <row r="451" ht="18.75" customHeight="1"/>
    <row r="452" ht="18.75" customHeight="1"/>
    <row r="453" ht="18.75" customHeight="1"/>
    <row r="454" ht="18.75" customHeight="1"/>
    <row r="455" ht="18.75" customHeight="1"/>
    <row r="456" ht="18.75" customHeight="1"/>
    <row r="457" ht="18.75" customHeight="1"/>
    <row r="458" ht="18.75" customHeight="1"/>
    <row r="459" ht="18.75" customHeight="1"/>
    <row r="460" ht="18.75" customHeight="1"/>
    <row r="461" ht="18.75" customHeight="1"/>
    <row r="462" ht="18.75" customHeight="1"/>
    <row r="463" ht="18.75" customHeight="1"/>
    <row r="464" ht="18.75" customHeight="1"/>
    <row r="465" ht="18.75" customHeight="1"/>
    <row r="466" ht="18.75" customHeight="1"/>
    <row r="467" ht="18.75" customHeight="1"/>
    <row r="468" ht="18.75" customHeight="1"/>
    <row r="469" ht="18.75" customHeight="1"/>
    <row r="470" ht="18.75" customHeight="1"/>
    <row r="471" ht="18.75" customHeight="1"/>
    <row r="472" ht="18.75" customHeight="1"/>
    <row r="473" ht="18.75" customHeight="1"/>
    <row r="474" ht="18.75" customHeight="1"/>
    <row r="475" ht="18.75" customHeight="1"/>
    <row r="476" ht="18.75" customHeight="1"/>
    <row r="477" ht="18.75" customHeight="1"/>
    <row r="478" ht="18.75" customHeight="1"/>
    <row r="479" ht="18.75" customHeight="1"/>
    <row r="480" ht="18.75" customHeight="1"/>
    <row r="481" ht="18.75" customHeight="1"/>
    <row r="482" ht="18.75" customHeight="1"/>
    <row r="483" ht="18.75" customHeight="1"/>
    <row r="484" ht="18.75" customHeight="1"/>
    <row r="485" ht="18.75" customHeight="1"/>
    <row r="486" ht="18.75" customHeight="1"/>
    <row r="487" ht="18.75" customHeight="1"/>
    <row r="488" ht="18.75" customHeight="1"/>
    <row r="489" ht="18.75" customHeight="1"/>
    <row r="490" ht="18.75" customHeight="1"/>
    <row r="491" ht="18.75" customHeight="1"/>
    <row r="492" ht="18.75" customHeight="1"/>
    <row r="493" ht="18.75" customHeight="1"/>
    <row r="494" ht="18.75" customHeight="1"/>
    <row r="495" ht="18.75" customHeight="1"/>
    <row r="496" ht="18.75" customHeight="1"/>
    <row r="497" ht="18.75" customHeight="1"/>
    <row r="498" ht="18.75" customHeight="1"/>
    <row r="499" ht="18.75" customHeight="1"/>
    <row r="500" ht="18.75" customHeight="1"/>
    <row r="501" ht="18.75" customHeight="1"/>
    <row r="502" ht="18.75" customHeight="1"/>
    <row r="503" ht="18.75" customHeight="1"/>
    <row r="504" ht="18.75" customHeight="1"/>
    <row r="505" ht="18.75" customHeight="1"/>
    <row r="506" ht="18.75" customHeight="1"/>
    <row r="507" ht="18.75" customHeight="1"/>
    <row r="508" ht="18.75" customHeight="1"/>
    <row r="509" ht="18.75" customHeight="1"/>
    <row r="510" ht="18.75" customHeight="1"/>
    <row r="511" ht="18.75" customHeight="1"/>
    <row r="512" ht="18.75" customHeight="1"/>
    <row r="513" ht="18.75" customHeight="1"/>
    <row r="514" ht="18.75" customHeight="1"/>
    <row r="515" ht="18.75" customHeight="1"/>
    <row r="516" ht="18.75" customHeight="1"/>
    <row r="517" ht="18.75" customHeight="1"/>
    <row r="518" ht="18.75" customHeight="1"/>
    <row r="519" ht="18.75" customHeight="1"/>
    <row r="520" ht="18.75" customHeight="1"/>
    <row r="521" ht="18.75" customHeight="1"/>
    <row r="522" ht="18.75" customHeight="1"/>
    <row r="523" ht="18.75" customHeight="1"/>
    <row r="524" ht="18.75" customHeight="1"/>
    <row r="525" ht="18.75" customHeight="1"/>
    <row r="526" ht="18.75" customHeight="1"/>
    <row r="527" ht="18.75" customHeight="1"/>
    <row r="528" ht="18.75" customHeight="1"/>
    <row r="529" ht="18.75" customHeight="1"/>
    <row r="530" ht="18.75" customHeight="1"/>
    <row r="531" ht="18.75" customHeight="1"/>
    <row r="532" ht="18.75" customHeight="1"/>
    <row r="533" ht="18.75" customHeight="1"/>
    <row r="534" ht="18.75" customHeight="1"/>
    <row r="535" ht="18.75" customHeight="1"/>
    <row r="536" ht="18.75" customHeight="1"/>
    <row r="537" ht="18.75" customHeight="1"/>
    <row r="538" ht="18.75" customHeight="1"/>
    <row r="539" ht="18.75" customHeight="1"/>
    <row r="540" ht="18.75" customHeight="1"/>
    <row r="541" ht="18.75" customHeight="1"/>
    <row r="542" ht="18.75" customHeight="1"/>
    <row r="543" ht="18.75" customHeight="1"/>
    <row r="544" ht="18.75" customHeight="1"/>
    <row r="545" ht="18.75" customHeight="1"/>
    <row r="546" ht="18.75" customHeight="1"/>
    <row r="547" ht="18.75" customHeight="1"/>
    <row r="548" ht="18.75" customHeight="1"/>
    <row r="549" ht="18.75" customHeight="1"/>
    <row r="550" ht="18.75" customHeight="1"/>
    <row r="551" ht="18.75" customHeight="1"/>
    <row r="552" ht="18.75" customHeight="1"/>
    <row r="553" ht="18.75" customHeight="1"/>
    <row r="554" ht="18.75" customHeight="1"/>
    <row r="555" ht="18.75" customHeight="1"/>
    <row r="556" ht="18.75" customHeight="1"/>
    <row r="557" ht="18.75" customHeight="1"/>
    <row r="558" ht="18.75" customHeight="1"/>
    <row r="559" ht="18.75" customHeight="1"/>
    <row r="560" ht="18.75" customHeight="1"/>
    <row r="561" ht="18.75" customHeight="1"/>
    <row r="562" ht="18.75" customHeight="1"/>
    <row r="563" ht="18.75" customHeight="1"/>
    <row r="564" ht="18.75" customHeight="1"/>
    <row r="565" ht="18.75" customHeight="1"/>
    <row r="566" ht="18.75" customHeight="1"/>
    <row r="567" ht="18.75" customHeight="1"/>
    <row r="568" ht="18.75" customHeight="1"/>
    <row r="569" ht="18.75" customHeight="1"/>
    <row r="570" ht="18.75" customHeight="1"/>
    <row r="571" ht="18.75" customHeight="1"/>
    <row r="572" ht="18.75" customHeight="1"/>
    <row r="573" ht="18.75" customHeight="1"/>
    <row r="574" ht="18.75" customHeight="1"/>
    <row r="575" ht="18.75" customHeight="1"/>
    <row r="576" ht="18.75" customHeight="1"/>
    <row r="577" ht="18.75" customHeight="1"/>
    <row r="578" ht="18.75" customHeight="1"/>
    <row r="579" ht="18.75" customHeight="1"/>
    <row r="580" ht="18.75" customHeight="1"/>
    <row r="581" ht="18.75" customHeight="1"/>
    <row r="582" ht="18.75" customHeight="1"/>
    <row r="583" ht="18.75" customHeight="1"/>
    <row r="584" ht="18.75" customHeight="1"/>
    <row r="585" ht="18.75" customHeight="1"/>
    <row r="586" ht="18.75" customHeight="1"/>
    <row r="587" ht="18.75" customHeight="1"/>
    <row r="588" ht="18.75" customHeight="1"/>
    <row r="589" ht="18.75" customHeight="1"/>
    <row r="590" ht="18.75" customHeight="1"/>
    <row r="591" ht="18.75" customHeight="1"/>
    <row r="592" ht="18.75" customHeight="1"/>
    <row r="593" ht="18.75" customHeight="1"/>
    <row r="594" ht="18.75" customHeight="1"/>
    <row r="595" ht="18.75" customHeight="1"/>
    <row r="596" ht="18.75" customHeight="1"/>
    <row r="597" ht="18.75" customHeight="1"/>
    <row r="598" ht="18.75" customHeight="1"/>
    <row r="599" ht="18.75" customHeight="1"/>
    <row r="600" ht="18.75" customHeight="1"/>
    <row r="601" ht="18.75" customHeight="1"/>
    <row r="602" ht="18.75" customHeight="1"/>
    <row r="603" ht="18.75" customHeight="1"/>
    <row r="604" ht="18.75" customHeight="1"/>
    <row r="605" ht="18.75" customHeight="1"/>
    <row r="606" ht="18.75" customHeight="1"/>
    <row r="607" ht="18.75" customHeight="1"/>
    <row r="608" ht="18.75" customHeight="1"/>
    <row r="609" ht="18.75" customHeight="1"/>
    <row r="610" ht="18.75" customHeight="1"/>
    <row r="611" ht="18.75" customHeight="1"/>
    <row r="612" ht="18.75" customHeight="1"/>
    <row r="613" ht="18.75" customHeight="1"/>
    <row r="614" ht="18.75" customHeight="1"/>
    <row r="615" ht="18.75" customHeight="1"/>
    <row r="616" ht="18.75" customHeight="1"/>
    <row r="617" ht="18.75" customHeight="1"/>
    <row r="618" ht="18.75" customHeight="1"/>
    <row r="619" ht="18.75" customHeight="1"/>
    <row r="620" ht="18.75" customHeight="1"/>
    <row r="621" ht="18.75" customHeight="1"/>
    <row r="622" ht="18.75" customHeight="1"/>
    <row r="623" ht="18.75" customHeight="1"/>
    <row r="624" ht="18.75" customHeight="1"/>
    <row r="625" ht="18.75" customHeight="1"/>
    <row r="626" ht="18.75" customHeight="1"/>
    <row r="627" ht="18.75" customHeight="1"/>
    <row r="628" ht="18.75" customHeight="1"/>
    <row r="629" ht="18.75" customHeight="1"/>
    <row r="630" ht="18.75" customHeight="1"/>
    <row r="631" ht="18.75" customHeight="1"/>
    <row r="632" ht="18.75" customHeight="1"/>
    <row r="633" ht="18.75" customHeight="1"/>
    <row r="634" ht="18.75" customHeight="1"/>
    <row r="635" ht="18.75" customHeight="1"/>
    <row r="636" ht="18.75" customHeight="1"/>
    <row r="637" ht="18.75" customHeight="1"/>
    <row r="638" ht="18.75" customHeight="1"/>
    <row r="639" ht="18.75" customHeight="1"/>
    <row r="640" ht="18.75" customHeight="1"/>
    <row r="641" ht="18.75" customHeight="1"/>
    <row r="642" ht="18.75" customHeight="1"/>
    <row r="643" ht="18.75" customHeight="1"/>
    <row r="644" ht="18.75" customHeight="1"/>
    <row r="645" ht="18.75" customHeight="1"/>
    <row r="646" ht="18.75" customHeight="1"/>
    <row r="647" ht="18.75" customHeight="1"/>
    <row r="648" ht="18.75" customHeight="1"/>
    <row r="649" ht="18.75" customHeight="1"/>
    <row r="650" ht="18.75" customHeight="1"/>
    <row r="651" ht="18.75" customHeight="1"/>
    <row r="652" ht="18.75" customHeight="1"/>
    <row r="653" ht="18.75" customHeight="1"/>
    <row r="654" ht="18.75" customHeight="1"/>
    <row r="655" ht="18.75" customHeight="1"/>
    <row r="656" ht="18.75" customHeight="1"/>
    <row r="657" ht="18.75" customHeight="1"/>
    <row r="658" ht="18.75" customHeight="1"/>
    <row r="659" ht="18.75" customHeight="1"/>
    <row r="660" ht="18.75" customHeight="1"/>
    <row r="661" ht="18.75" customHeight="1"/>
    <row r="662" ht="18.75" customHeight="1"/>
    <row r="663" ht="18.75" customHeight="1"/>
    <row r="664" ht="18.75" customHeight="1"/>
    <row r="665" ht="18.75" customHeight="1"/>
    <row r="666" ht="18.75" customHeight="1"/>
    <row r="667" ht="18.75" customHeight="1"/>
    <row r="668" ht="18.75" customHeight="1"/>
    <row r="669" ht="18.75" customHeight="1"/>
    <row r="670" ht="18.75" customHeight="1"/>
    <row r="671" ht="18.75" customHeight="1"/>
    <row r="672" ht="18.75" customHeight="1"/>
    <row r="673" ht="18.75" customHeight="1"/>
    <row r="674" ht="18.75" customHeight="1"/>
    <row r="675" ht="18.75" customHeight="1"/>
    <row r="676" ht="18.75" customHeight="1"/>
    <row r="677" ht="18.75" customHeight="1"/>
    <row r="678" ht="18.75" customHeight="1"/>
    <row r="679" ht="18.75" customHeight="1"/>
    <row r="680" ht="18.75" customHeight="1"/>
    <row r="681" ht="18.75" customHeight="1"/>
    <row r="682" ht="18.75" customHeight="1"/>
    <row r="683" ht="18.75" customHeight="1"/>
    <row r="684" ht="18.75" customHeight="1"/>
    <row r="685" ht="18.75" customHeight="1"/>
    <row r="686" ht="18.75" customHeight="1"/>
    <row r="687" ht="18.75" customHeight="1"/>
    <row r="688" ht="18.75" customHeight="1"/>
    <row r="689" ht="18.75" customHeight="1"/>
    <row r="690" ht="18.75" customHeight="1"/>
    <row r="691" ht="18.75" customHeight="1"/>
    <row r="692" ht="18.75" customHeight="1"/>
    <row r="693" ht="18.75" customHeight="1"/>
    <row r="694" ht="18.75" customHeight="1"/>
    <row r="695" ht="18.75" customHeight="1"/>
    <row r="696" ht="18.75" customHeight="1"/>
    <row r="697" ht="18.75" customHeight="1"/>
    <row r="698" ht="18.75" customHeight="1"/>
    <row r="699" ht="18.75" customHeight="1"/>
    <row r="700" ht="18.75" customHeight="1"/>
    <row r="701" ht="18.75" customHeight="1"/>
    <row r="702" ht="18.75" customHeight="1"/>
    <row r="703" ht="18.75" customHeight="1"/>
    <row r="704" ht="18.75" customHeight="1"/>
    <row r="705" ht="18.75" customHeight="1"/>
    <row r="706" ht="18.75" customHeight="1"/>
    <row r="707" ht="18.75" customHeight="1"/>
    <row r="708" ht="18.75" customHeight="1"/>
    <row r="709" ht="18.75" customHeight="1"/>
    <row r="710" ht="18.75" customHeight="1"/>
    <row r="711" ht="18.75" customHeight="1"/>
    <row r="712" ht="18.75" customHeight="1"/>
    <row r="713" ht="18.75" customHeight="1"/>
    <row r="714" ht="18.75" customHeight="1"/>
    <row r="715" ht="18.75" customHeight="1"/>
    <row r="716" ht="18.75" customHeight="1"/>
    <row r="717" ht="18.75" customHeight="1"/>
    <row r="718" ht="18.75" customHeight="1"/>
    <row r="719" ht="18.75" customHeight="1"/>
    <row r="720" ht="18.75" customHeight="1"/>
    <row r="721" ht="18.75" customHeight="1"/>
    <row r="722" ht="18.75" customHeight="1"/>
    <row r="723" ht="18.75" customHeight="1"/>
    <row r="724" ht="18.75" customHeight="1"/>
    <row r="725" ht="18.75" customHeight="1"/>
    <row r="726" ht="18.75" customHeight="1"/>
    <row r="727" ht="18.75" customHeight="1"/>
    <row r="728" ht="18.75" customHeight="1"/>
    <row r="729" ht="18.75" customHeight="1"/>
    <row r="730" ht="18.75" customHeight="1"/>
    <row r="731" ht="18.75" customHeight="1"/>
    <row r="732" ht="18.75" customHeight="1"/>
    <row r="733" ht="18.75" customHeight="1"/>
    <row r="734" ht="18.75" customHeight="1"/>
    <row r="735" ht="18.75" customHeight="1"/>
    <row r="736" ht="18.75" customHeight="1"/>
    <row r="737" ht="18.75" customHeight="1"/>
    <row r="738" ht="18.75" customHeight="1"/>
    <row r="739" ht="18.75" customHeight="1"/>
    <row r="740" ht="18.75" customHeight="1"/>
    <row r="741" ht="18.75" customHeight="1"/>
    <row r="742" ht="18.75" customHeight="1"/>
    <row r="743" ht="18.75" customHeight="1"/>
    <row r="744" ht="18.75" customHeight="1"/>
    <row r="745" ht="18.75" customHeight="1"/>
    <row r="746" ht="18.75" customHeight="1"/>
    <row r="747" ht="18.75" customHeight="1"/>
    <row r="748" ht="18.75" customHeight="1"/>
    <row r="749" ht="18.75" customHeight="1"/>
    <row r="750" ht="18.75" customHeight="1"/>
    <row r="751" ht="18.75" customHeight="1"/>
    <row r="752" ht="18.75" customHeight="1"/>
    <row r="753" ht="18.75" customHeight="1"/>
    <row r="754" ht="18.75" customHeight="1"/>
    <row r="755" ht="18.75" customHeight="1"/>
    <row r="756" ht="18.75" customHeight="1"/>
    <row r="757" ht="18.75" customHeight="1"/>
    <row r="758" ht="18.75" customHeight="1"/>
    <row r="759" ht="18.75" customHeight="1"/>
    <row r="760" ht="18.75" customHeight="1"/>
    <row r="761" ht="18.75" customHeight="1"/>
    <row r="762" ht="18.75" customHeight="1"/>
    <row r="763" ht="18.75" customHeight="1"/>
    <row r="764" ht="18.75" customHeight="1"/>
    <row r="765" ht="18.75" customHeight="1"/>
    <row r="766" ht="18.75" customHeight="1"/>
    <row r="767" ht="18.75" customHeight="1"/>
    <row r="768" ht="18.75" customHeight="1"/>
    <row r="769" ht="18.75" customHeight="1"/>
    <row r="770" ht="18.75" customHeight="1"/>
    <row r="771" ht="18.75" customHeight="1"/>
    <row r="772" ht="18.75" customHeight="1"/>
    <row r="773" ht="18.75" customHeight="1"/>
    <row r="774" ht="18.75" customHeight="1"/>
    <row r="775" ht="18.75" customHeight="1"/>
    <row r="776" ht="18.75" customHeight="1"/>
    <row r="777" ht="18.75" customHeight="1"/>
    <row r="778" ht="18.75" customHeight="1"/>
    <row r="779" ht="18.75" customHeight="1"/>
    <row r="780" ht="18.75" customHeight="1"/>
    <row r="781" ht="18.75" customHeight="1"/>
    <row r="782" ht="18.75" customHeight="1"/>
    <row r="783" ht="18.75" customHeight="1"/>
    <row r="784" ht="18.75" customHeight="1"/>
    <row r="785" ht="18.75" customHeight="1"/>
    <row r="786" ht="18.75" customHeight="1"/>
    <row r="787" ht="18.75" customHeight="1"/>
    <row r="788" ht="18.75" customHeight="1"/>
    <row r="789" ht="18.75" customHeight="1"/>
    <row r="790" ht="18.75" customHeight="1"/>
    <row r="791" ht="18.75" customHeight="1"/>
    <row r="792" ht="18.75" customHeight="1"/>
    <row r="793" ht="18.75" customHeight="1"/>
    <row r="794" ht="18.75" customHeight="1"/>
    <row r="795" ht="18.75" customHeight="1"/>
    <row r="796" ht="18.75" customHeight="1"/>
    <row r="797" ht="18.75" customHeight="1"/>
    <row r="798" ht="18.75" customHeight="1"/>
    <row r="799" ht="18.75" customHeight="1"/>
    <row r="800" ht="18.75" customHeight="1"/>
    <row r="801" ht="18.75" customHeight="1"/>
    <row r="802" ht="18.75" customHeight="1"/>
    <row r="803" ht="18.75" customHeight="1"/>
    <row r="804" ht="18.75" customHeight="1"/>
    <row r="805" ht="18.75" customHeight="1"/>
    <row r="806" ht="18.75" customHeight="1"/>
    <row r="807" ht="18.75" customHeight="1"/>
    <row r="808" ht="18.75" customHeight="1"/>
    <row r="809" ht="18.75" customHeight="1"/>
    <row r="810" ht="18.75" customHeight="1"/>
    <row r="811" ht="18.75" customHeight="1"/>
    <row r="812" ht="18.75" customHeight="1"/>
    <row r="813" ht="18.75" customHeight="1"/>
    <row r="814" ht="18.75" customHeight="1"/>
    <row r="815" ht="18.75" customHeight="1"/>
    <row r="816" ht="18.75" customHeight="1"/>
    <row r="817" ht="18.75" customHeight="1"/>
    <row r="818" ht="18.75" customHeight="1"/>
    <row r="819" ht="18.75" customHeight="1"/>
    <row r="820" ht="18.75" customHeight="1"/>
    <row r="821" ht="18.75" customHeight="1"/>
    <row r="822" ht="18.75" customHeight="1"/>
    <row r="823" ht="18.75" customHeight="1"/>
    <row r="824" ht="18.75" customHeight="1"/>
    <row r="825" ht="18.75" customHeight="1"/>
    <row r="826" ht="18.75" customHeight="1"/>
    <row r="827" ht="18.75" customHeight="1"/>
    <row r="828" ht="18.75" customHeight="1"/>
    <row r="829" ht="18.75" customHeight="1"/>
    <row r="830" ht="18.75" customHeight="1"/>
    <row r="831" ht="18.75" customHeight="1"/>
    <row r="832" ht="18.75" customHeight="1"/>
    <row r="833" ht="18.75" customHeight="1"/>
    <row r="834" ht="18.75" customHeight="1"/>
    <row r="835" ht="18.75" customHeight="1"/>
    <row r="836" ht="18.75" customHeight="1"/>
    <row r="837" ht="18.75" customHeight="1"/>
    <row r="838" ht="18.75" customHeight="1"/>
    <row r="839" ht="18.75" customHeight="1"/>
    <row r="840" ht="18.75" customHeight="1"/>
    <row r="841" ht="18.75" customHeight="1"/>
    <row r="842" ht="18.75" customHeight="1"/>
    <row r="843" ht="18.75" customHeight="1"/>
    <row r="844" ht="18.75" customHeight="1"/>
    <row r="845" ht="18.75" customHeight="1"/>
    <row r="846" ht="18.75" customHeight="1"/>
    <row r="847" ht="18.75" customHeight="1"/>
    <row r="848" ht="18.75" customHeight="1"/>
    <row r="849" ht="18.75" customHeight="1"/>
    <row r="850" ht="18.75" customHeight="1"/>
    <row r="851" ht="18.75" customHeight="1"/>
    <row r="852" ht="18.75" customHeight="1"/>
    <row r="853" ht="18.75" customHeight="1"/>
    <row r="854" ht="18.75" customHeight="1"/>
    <row r="855" ht="18.75" customHeight="1"/>
    <row r="856" ht="18.75" customHeight="1"/>
    <row r="857" ht="18.75" customHeight="1"/>
    <row r="858" ht="18.75" customHeight="1"/>
    <row r="859" ht="18.75" customHeight="1"/>
    <row r="860" ht="18.75" customHeight="1"/>
    <row r="861" ht="18.75" customHeight="1"/>
    <row r="862" ht="18.75" customHeight="1"/>
    <row r="863" ht="18.75" customHeight="1"/>
    <row r="864" ht="18.75" customHeight="1"/>
    <row r="865" ht="18.75" customHeight="1"/>
    <row r="866" ht="18.75" customHeight="1"/>
    <row r="867" ht="18.75" customHeight="1"/>
    <row r="868" ht="18.75" customHeight="1"/>
    <row r="869" ht="18.75" customHeight="1"/>
    <row r="870" ht="18.75" customHeight="1"/>
    <row r="871" ht="18.75" customHeight="1"/>
    <row r="872" ht="18.75" customHeight="1"/>
    <row r="873" ht="18.75" customHeight="1"/>
    <row r="874" ht="18.75" customHeight="1"/>
    <row r="875" ht="18.75" customHeight="1"/>
    <row r="876" ht="18.75" customHeight="1"/>
    <row r="877" ht="18.75" customHeight="1"/>
    <row r="878" ht="18.75" customHeight="1"/>
    <row r="879" ht="18.75" customHeight="1"/>
    <row r="880" ht="18.75" customHeight="1"/>
    <row r="881" ht="18.75" customHeight="1"/>
    <row r="882" ht="18.75" customHeight="1"/>
    <row r="883" ht="18.75" customHeight="1"/>
    <row r="884" ht="18.75" customHeight="1"/>
    <row r="885" ht="18.75" customHeight="1"/>
    <row r="886" ht="18.75" customHeight="1"/>
    <row r="887" ht="18.75" customHeight="1"/>
    <row r="888" ht="18.75" customHeight="1"/>
    <row r="889" ht="18.75" customHeight="1"/>
    <row r="890" ht="18.75" customHeight="1"/>
    <row r="891" ht="18.75" customHeight="1"/>
    <row r="892" ht="18.75" customHeight="1"/>
    <row r="893" ht="18.75" customHeight="1"/>
    <row r="894" ht="18.75" customHeight="1"/>
    <row r="895" ht="18.75" customHeight="1"/>
    <row r="896" ht="18.75" customHeight="1"/>
    <row r="897" ht="18.75" customHeight="1"/>
    <row r="898" ht="18.75" customHeight="1"/>
    <row r="899" ht="18.75" customHeight="1"/>
    <row r="900" ht="18.75" customHeight="1"/>
    <row r="901" ht="18.75" customHeight="1"/>
    <row r="902" ht="18.75" customHeight="1"/>
    <row r="903" ht="18.75" customHeight="1"/>
    <row r="904" ht="18.75" customHeight="1"/>
    <row r="905" ht="18.75" customHeight="1"/>
    <row r="906" ht="18.75" customHeight="1"/>
    <row r="907" ht="18.75" customHeight="1"/>
    <row r="908" ht="18.75" customHeight="1"/>
    <row r="909" ht="18.75" customHeight="1"/>
    <row r="910" ht="18.75" customHeight="1"/>
    <row r="911" ht="18.75" customHeight="1"/>
    <row r="912" ht="18.75" customHeight="1"/>
    <row r="913" ht="18.75" customHeight="1"/>
    <row r="914" ht="18.75" customHeight="1"/>
    <row r="915" ht="18.75" customHeight="1"/>
    <row r="916" ht="18.75" customHeight="1"/>
    <row r="917" ht="18.75" customHeight="1"/>
    <row r="918" ht="18.75" customHeight="1"/>
    <row r="919" ht="18.75" customHeight="1"/>
    <row r="920" ht="18.75" customHeight="1"/>
    <row r="921" ht="18.75" customHeight="1"/>
    <row r="922" ht="18.75" customHeight="1"/>
    <row r="923" ht="18.75" customHeight="1"/>
    <row r="924" ht="18.75" customHeight="1"/>
    <row r="925" ht="18.75" customHeight="1"/>
    <row r="926" ht="18.75" customHeight="1"/>
    <row r="927" ht="18.75" customHeight="1"/>
    <row r="928" ht="18.75" customHeight="1"/>
    <row r="929" ht="18.75" customHeight="1"/>
    <row r="930" ht="18.75" customHeight="1"/>
    <row r="931" ht="18.75" customHeight="1"/>
    <row r="932" ht="18.75" customHeight="1"/>
    <row r="933" ht="18.75" customHeight="1"/>
    <row r="934" ht="18.75" customHeight="1"/>
    <row r="935" ht="18.75" customHeight="1"/>
    <row r="936" ht="18.75" customHeight="1"/>
    <row r="937" ht="18.75" customHeight="1"/>
    <row r="938" ht="18.75" customHeight="1"/>
    <row r="939" ht="18.75" customHeight="1"/>
    <row r="940" ht="18.75" customHeight="1"/>
    <row r="941" ht="18.75" customHeight="1"/>
    <row r="942" ht="18.75" customHeight="1"/>
    <row r="943" ht="18.75" customHeight="1"/>
    <row r="944" ht="18.75" customHeight="1"/>
    <row r="945" ht="18.75" customHeight="1"/>
    <row r="946" ht="18.75" customHeight="1"/>
    <row r="947" ht="18.75" customHeight="1"/>
    <row r="948" ht="18.75" customHeight="1"/>
    <row r="949" ht="18.75" customHeight="1"/>
    <row r="950" ht="18.75" customHeight="1"/>
    <row r="951" ht="18.75" customHeight="1"/>
    <row r="952" ht="18.75" customHeight="1"/>
    <row r="953" ht="18.75" customHeight="1"/>
    <row r="954" ht="18.75" customHeight="1"/>
    <row r="955" ht="18.75" customHeight="1"/>
    <row r="956" ht="18.75" customHeight="1"/>
    <row r="957" ht="18.75" customHeight="1"/>
    <row r="958" ht="18.75" customHeight="1"/>
    <row r="959" ht="18.75" customHeight="1"/>
    <row r="960" ht="18.75" customHeight="1"/>
    <row r="961" ht="18.75" customHeight="1"/>
    <row r="962" ht="18.75" customHeight="1"/>
    <row r="963" ht="18.75" customHeight="1"/>
    <row r="964" ht="18.75" customHeight="1"/>
    <row r="965" ht="18.75" customHeight="1"/>
    <row r="966" ht="18.75" customHeight="1"/>
    <row r="967" ht="18.75" customHeight="1"/>
    <row r="968" ht="18.75" customHeight="1"/>
    <row r="969" ht="18.75" customHeight="1"/>
    <row r="970" ht="18.75" customHeight="1"/>
    <row r="971" ht="18.75" customHeight="1"/>
    <row r="972" ht="18.75" customHeight="1"/>
    <row r="973" ht="18.75" customHeight="1"/>
    <row r="974" ht="18.75" customHeight="1"/>
    <row r="975" ht="18.75" customHeight="1"/>
    <row r="976" ht="18.75" customHeight="1"/>
    <row r="977" ht="18.75" customHeight="1"/>
    <row r="978" ht="18.75" customHeight="1"/>
    <row r="979" ht="18.75" customHeight="1"/>
    <row r="980" ht="18.75" customHeight="1"/>
    <row r="981" ht="18.75" customHeight="1"/>
    <row r="982" ht="18.75" customHeight="1"/>
    <row r="983" ht="18.75" customHeight="1"/>
    <row r="984" ht="18.75" customHeight="1"/>
    <row r="985" ht="18.75" customHeight="1"/>
    <row r="986" ht="18.75" customHeight="1"/>
    <row r="987" ht="18.75" customHeight="1"/>
    <row r="988" ht="18.75" customHeight="1"/>
    <row r="989" ht="18.75" customHeight="1"/>
    <row r="990" ht="18.75" customHeight="1"/>
    <row r="991" ht="18.75" customHeight="1"/>
    <row r="992" ht="18.75" customHeight="1"/>
    <row r="993" ht="18.75" customHeight="1"/>
    <row r="994" ht="18.75" customHeight="1"/>
    <row r="995" ht="18.75" customHeight="1"/>
    <row r="996" ht="18.75" customHeight="1"/>
    <row r="997" ht="18.75" customHeight="1"/>
    <row r="998" ht="18.75" customHeight="1"/>
    <row r="999" ht="18.75" customHeight="1"/>
    <row r="1000" ht="18.75" customHeight="1"/>
    <row r="1001" ht="18.75" customHeight="1"/>
    <row r="1002" ht="18.75" customHeight="1"/>
    <row r="1003" ht="18.75" customHeight="1"/>
    <row r="1004" ht="18.75" customHeight="1"/>
    <row r="1005" ht="18.75" customHeight="1"/>
    <row r="1006" ht="18.75" customHeight="1"/>
    <row r="1007" ht="18.75" customHeight="1"/>
    <row r="1008" ht="18.75" customHeight="1"/>
    <row r="1009" ht="18.75" customHeight="1"/>
    <row r="1010" ht="18.75" customHeight="1"/>
    <row r="1011" ht="18.75" customHeight="1"/>
    <row r="1012" ht="18.75" customHeight="1"/>
    <row r="1013" ht="18.75" customHeight="1"/>
    <row r="1014" ht="18.75" customHeight="1"/>
    <row r="1015" ht="18.75" customHeight="1"/>
    <row r="1016" ht="18.75" customHeight="1"/>
    <row r="1017" ht="18.75" customHeight="1"/>
    <row r="1018" ht="18.75" customHeight="1"/>
    <row r="1019" ht="18.75" customHeight="1"/>
    <row r="1020" ht="18.75" customHeight="1"/>
    <row r="1021" ht="18.75" customHeight="1"/>
    <row r="1022" ht="18.75" customHeight="1"/>
    <row r="1023" ht="18.75" customHeight="1"/>
    <row r="1024" ht="18.75" customHeight="1"/>
    <row r="1025" ht="18.75" customHeight="1"/>
    <row r="1026" ht="18.75" customHeight="1"/>
    <row r="1027" ht="18.75" customHeight="1"/>
    <row r="1028" ht="18.75" customHeight="1"/>
    <row r="1029" ht="18.75" customHeight="1"/>
    <row r="1030" ht="18.75" customHeight="1"/>
    <row r="1031" ht="18.75" customHeight="1"/>
    <row r="1032" ht="18.75" customHeight="1"/>
    <row r="1033" ht="18.75" customHeight="1"/>
    <row r="1034" ht="18.75" customHeight="1"/>
    <row r="1035" ht="18.75" customHeight="1"/>
    <row r="1036" ht="18.75" customHeight="1"/>
    <row r="1037" ht="18.75" customHeight="1"/>
    <row r="1038" ht="18.75" customHeight="1"/>
    <row r="1039" ht="18.75" customHeight="1"/>
    <row r="1040" ht="18.75" customHeight="1"/>
    <row r="1041" ht="18.75" customHeight="1"/>
    <row r="1042" ht="18.75" customHeight="1"/>
    <row r="1043" ht="18.75" customHeight="1"/>
    <row r="1044" ht="18.75" customHeight="1"/>
    <row r="1045" ht="18.75" customHeight="1"/>
    <row r="1046" ht="18.75" customHeight="1"/>
    <row r="1047" ht="18.75" customHeight="1"/>
    <row r="1048" ht="18.75" customHeight="1"/>
    <row r="1049" ht="18.75" customHeight="1"/>
    <row r="1050" ht="18.75" customHeight="1"/>
    <row r="1051" ht="18.75" customHeight="1"/>
    <row r="1052" ht="18.75" customHeight="1"/>
    <row r="1053" ht="18.75" customHeight="1"/>
    <row r="1054" ht="18.75" customHeight="1"/>
    <row r="1055" ht="18.75" customHeight="1"/>
    <row r="1056" ht="18.75" customHeight="1"/>
    <row r="1057" ht="18.75" customHeight="1"/>
    <row r="1058" ht="18.75" customHeight="1"/>
    <row r="1059" ht="18.75" customHeight="1"/>
    <row r="1060" ht="18.75" customHeight="1"/>
    <row r="1061" ht="18.75" customHeight="1"/>
    <row r="1062" ht="18.75" customHeight="1"/>
    <row r="1063" ht="18.75" customHeight="1"/>
    <row r="1064" ht="18.75" customHeight="1"/>
    <row r="1065" ht="18.75" customHeight="1"/>
    <row r="1066" ht="18.75" customHeight="1"/>
    <row r="1067" ht="18.75" customHeight="1"/>
    <row r="1068" ht="18.75" customHeight="1"/>
    <row r="1069" ht="18.75" customHeight="1"/>
    <row r="1070" ht="18.75" customHeight="1"/>
    <row r="1071" ht="18.75" customHeight="1"/>
    <row r="1072" ht="18.75" customHeight="1"/>
    <row r="1073" ht="18.75" customHeight="1"/>
    <row r="1074" ht="18.75" customHeight="1"/>
    <row r="1075" ht="18.75" customHeight="1"/>
    <row r="1076" ht="18.75" customHeight="1"/>
    <row r="1077" ht="18.75" customHeight="1"/>
    <row r="1078" ht="18.75" customHeight="1"/>
    <row r="1079" ht="18.75" customHeight="1"/>
    <row r="1080" ht="18.75" customHeight="1"/>
    <row r="1081" ht="18.75" customHeight="1"/>
    <row r="1082" ht="18.75" customHeight="1"/>
    <row r="1083" ht="18.75" customHeight="1"/>
    <row r="1084" ht="18.75" customHeight="1"/>
    <row r="1085" ht="18.75" customHeight="1"/>
    <row r="1086" ht="18.75" customHeight="1"/>
    <row r="1087" ht="18.75" customHeight="1"/>
    <row r="1088" ht="18.75" customHeight="1"/>
    <row r="1089" ht="18.75" customHeight="1"/>
    <row r="1090" ht="18.75" customHeight="1"/>
    <row r="1091" ht="18.75" customHeight="1"/>
    <row r="1092" ht="18.75" customHeight="1"/>
    <row r="1093" ht="18.75" customHeight="1"/>
    <row r="1094" ht="18.75" customHeight="1"/>
    <row r="1095" ht="18.75" customHeight="1"/>
    <row r="1096" ht="18.75" customHeight="1"/>
    <row r="1097" ht="18.75" customHeight="1"/>
    <row r="1098" ht="18.75" customHeight="1"/>
    <row r="1099" ht="18.75" customHeight="1"/>
    <row r="1100" ht="18.75" customHeight="1"/>
    <row r="1101" ht="18.75" customHeight="1"/>
    <row r="1102" ht="18.75" customHeight="1"/>
    <row r="1103" ht="18.75" customHeight="1"/>
    <row r="1104" ht="18.75" customHeight="1"/>
    <row r="1105" ht="18.75" customHeight="1"/>
    <row r="1106" ht="18.75" customHeight="1"/>
    <row r="1107" ht="18.75" customHeight="1"/>
    <row r="1108" ht="18.75" customHeight="1"/>
    <row r="1109" ht="18.75" customHeight="1"/>
    <row r="1110" ht="18.75" customHeight="1"/>
    <row r="1111" ht="18.75" customHeight="1"/>
    <row r="1112" ht="18.75" customHeight="1"/>
    <row r="1113" ht="18.75" customHeight="1"/>
  </sheetData>
  <mergeCells count="3">
    <mergeCell ref="A17:AE17"/>
    <mergeCell ref="A97:AE97"/>
    <mergeCell ref="A165:AE165"/>
  </mergeCells>
  <conditionalFormatting sqref="A44:D44 F44:M44 B48:M48 A37:M43 A45:M47 A49:M75 A77:M78 B76:M76">
    <cfRule type="colorScale" priority="1025">
      <colorScale>
        <cfvo type="min"/>
        <cfvo type="percentile" val="50"/>
        <cfvo type="max"/>
        <color rgb="FF63BE7B"/>
        <color rgb="FFFFEB84"/>
        <color rgb="FFF8696B"/>
      </colorScale>
    </cfRule>
  </conditionalFormatting>
  <conditionalFormatting sqref="A17">
    <cfRule type="colorScale" priority="1024">
      <colorScale>
        <cfvo type="min"/>
        <cfvo type="percentile" val="50"/>
        <cfvo type="max"/>
        <color rgb="FF63BE7B"/>
        <color rgb="FFFFEB84"/>
        <color rgb="FFF8696B"/>
      </colorScale>
    </cfRule>
  </conditionalFormatting>
  <conditionalFormatting sqref="A48">
    <cfRule type="dataBar" priority="1022">
      <dataBar>
        <cfvo type="min"/>
        <cfvo type="max"/>
        <color rgb="FF638EC6"/>
      </dataBar>
      <extLst>
        <ext xmlns:x14="http://schemas.microsoft.com/office/spreadsheetml/2009/9/main" uri="{B025F937-C7B1-47D3-B67F-A62EFF666E3E}">
          <x14:id>{875635C5-81DC-3C45-9E77-04FD02390C86}</x14:id>
        </ext>
      </extLst>
    </cfRule>
    <cfRule type="colorScale" priority="1023">
      <colorScale>
        <cfvo type="min"/>
        <cfvo type="percentile" val="50"/>
        <cfvo type="max"/>
        <color rgb="FF63BE7B"/>
        <color rgb="FFFFEB84"/>
        <color rgb="FFF8696B"/>
      </colorScale>
    </cfRule>
  </conditionalFormatting>
  <conditionalFormatting sqref="E44">
    <cfRule type="colorScale" priority="1021">
      <colorScale>
        <cfvo type="min"/>
        <cfvo type="percentile" val="50"/>
        <cfvo type="max"/>
        <color rgb="FF63BE7B"/>
        <color rgb="FFFFEB84"/>
        <color rgb="FFF8696B"/>
      </colorScale>
    </cfRule>
  </conditionalFormatting>
  <conditionalFormatting sqref="B49 B47 C46 C48 C50 D45 E44 D47 E46 D49 E48 D51 E50 E52">
    <cfRule type="dataBar" priority="1020">
      <dataBar>
        <cfvo type="min"/>
        <cfvo type="max"/>
        <color rgb="FF638EC6"/>
      </dataBar>
      <extLst>
        <ext xmlns:x14="http://schemas.microsoft.com/office/spreadsheetml/2009/9/main" uri="{B025F937-C7B1-47D3-B67F-A62EFF666E3E}">
          <x14:id>{77052FC0-79DF-FD4B-897F-8F997C61CCDC}</x14:id>
        </ext>
      </extLst>
    </cfRule>
  </conditionalFormatting>
  <conditionalFormatting sqref="I38 F43 G42 H41 I40 J39 K38 L37">
    <cfRule type="dataBar" priority="1019">
      <dataBar>
        <cfvo type="min"/>
        <cfvo type="max"/>
        <color rgb="FF638EC6"/>
      </dataBar>
      <extLst>
        <ext xmlns:x14="http://schemas.microsoft.com/office/spreadsheetml/2009/9/main" uri="{B025F937-C7B1-47D3-B67F-A62EFF666E3E}">
          <x14:id>{D19355BC-6ABB-604F-8B65-64765493A0B5}</x14:id>
        </ext>
      </extLst>
    </cfRule>
  </conditionalFormatting>
  <conditionalFormatting sqref="F40 F45 F47 F49 F51 F53 G54 G50 G52 G48 G46 G44 H43 I42 J41 K40 L39 L41 K42 J43 I44 H45 H47 I46 J45 K44 L43 L45 K46 J47 I48 H49 H51 J49 K48 L47 L49 K50 J51 I50 I52 H53 I54 H55 I56 J57 K58 L59 L57 K56 J55 K54 J53 K52 L51 L53 L55">
    <cfRule type="dataBar" priority="1018">
      <dataBar>
        <cfvo type="min"/>
        <cfvo type="max"/>
        <color rgb="FF638EC6"/>
      </dataBar>
      <extLst>
        <ext xmlns:x14="http://schemas.microsoft.com/office/spreadsheetml/2009/9/main" uri="{B025F937-C7B1-47D3-B67F-A62EFF666E3E}">
          <x14:id>{A13BA47E-6973-994A-9A5B-027A06D154DC}</x14:id>
        </ext>
      </extLst>
    </cfRule>
  </conditionalFormatting>
  <conditionalFormatting sqref="T73:Y73 T69 R68:S68 P66:Q66 O33 Y25 Z24 AA23 AB22 AC21 AD20:AE20 AE19 Y27 Z26 AA25 AB24 AC23 AD22:AE22 AE21 Y29 Z28 AA27 AB26 AC25 AD24:AE24 AE23 Y31 Z30 AA29 AB28 AC27 AD26:AE26 AE25 Y33 Z32 AA31 AB30 AC29 AD28:AE28 AE27 Y35 Z34 AA33 AB32 AC31 AD30:AE30 AE29 Y37 Z36 AA35 AB34 AC33 AD32:AE32 AE31 Y39 Z38 AA37 AB36 AC35 AD34:AE34 AE33 Y41 Z40 AA39 AB38 AC37 AD36:AE36 AE35 Y43 Z42 AA41 AB40 AC39 AD38:AE38 AE37 Y45 Z44 AA43 AB42 AC41 AD40:AE40 AE39 Y47 Z46 AA45 AB44 AC43 AD42:AE42 AE41 N63 Y49 Z48 AA47 AB46 AC45 AD44:AE44 AE43 R67 Y71 T72:W72 Z72 AA73 Z74 AB74 Z75:AA75 AC75 Z76:AB76 AD76:AE76 Z77:AC77 AE77 Y69 Z70 AA71 AB72 AC73 AD74:AE74 AE75 Y67 Z68 AA69 AB70 AC71 AD72:AE72 AE73 Y65 Z66 AA67 AB68 AC69 AD70:AE70 AE71 Y63 Z64 AA65 AB66 AC67 AD68:AE68 AE69 Y61 Z62 AA63 AB64 AC65 AD66:AE66 AE67 Y59 Z60 AA61 AB62 AC63 AD64:AE64 AE65 Y57 Z58 AA59 AB60 AC61 AD62:AE62 AE63 Y55 Z56 AA57 AB58 AC59 AD60:AE60 AE61 Y53 Z54 AA55 AB56 AC57 AD58:AE58 AE59 Y51 Z52 AA53 AB54 AC55 AD56:AE56 AE57 Z50 AA51 AB52 AC53 AD54:AE54 AE55 AA49 AB50 AC51 AD52:AE52 AE53 AB48 AC49 AD50:AE50 AE51 AC47 AD48:AE48 AE49 AD46:AE46 AE47 AE45 Z99:AE101 T71:V71 Z78:AE80 Z89:AE96">
    <cfRule type="colorScale" priority="1017">
      <colorScale>
        <cfvo type="min"/>
        <cfvo type="percentile" val="50"/>
        <cfvo type="max"/>
        <color rgb="FF63BE7B"/>
        <color rgb="FFFFEB84"/>
        <color rgb="FFF8696B"/>
      </colorScale>
    </cfRule>
  </conditionalFormatting>
  <conditionalFormatting sqref="N99:O100 N64:O80 N89:O96">
    <cfRule type="colorScale" priority="1016">
      <colorScale>
        <cfvo type="min"/>
        <cfvo type="percentile" val="50"/>
        <cfvo type="max"/>
        <color rgb="FF63BE7B"/>
        <color rgb="FFFFEB84"/>
        <color rgb="FFF8696B"/>
      </colorScale>
    </cfRule>
  </conditionalFormatting>
  <conditionalFormatting sqref="S70:U70">
    <cfRule type="colorScale" priority="1015">
      <colorScale>
        <cfvo type="min"/>
        <cfvo type="percentile" val="50"/>
        <cfvo type="max"/>
        <color rgb="FF63BE7B"/>
        <color rgb="FFFFEB84"/>
        <color rgb="FFF8696B"/>
      </colorScale>
    </cfRule>
  </conditionalFormatting>
  <conditionalFormatting sqref="M36">
    <cfRule type="colorScale" priority="1014">
      <colorScale>
        <cfvo type="min"/>
        <cfvo type="percentile" val="50"/>
        <cfvo type="max"/>
        <color rgb="FF63BE7B"/>
        <color rgb="FFFFEB84"/>
        <color rgb="FFF8696B"/>
      </colorScale>
    </cfRule>
  </conditionalFormatting>
  <conditionalFormatting sqref="M36">
    <cfRule type="dataBar" priority="1013">
      <dataBar>
        <cfvo type="min"/>
        <cfvo type="max"/>
        <color rgb="FF638EC6"/>
      </dataBar>
      <extLst>
        <ext xmlns:x14="http://schemas.microsoft.com/office/spreadsheetml/2009/9/main" uri="{B025F937-C7B1-47D3-B67F-A62EFF666E3E}">
          <x14:id>{5990B4A8-9EC6-8848-AF90-8326B4C77D13}</x14:id>
        </ext>
      </extLst>
    </cfRule>
  </conditionalFormatting>
  <conditionalFormatting sqref="N35">
    <cfRule type="colorScale" priority="1012">
      <colorScale>
        <cfvo type="min"/>
        <cfvo type="percentile" val="50"/>
        <cfvo type="max"/>
        <color rgb="FF63BE7B"/>
        <color rgb="FFFFEB84"/>
        <color rgb="FFF8696B"/>
      </colorScale>
    </cfRule>
  </conditionalFormatting>
  <conditionalFormatting sqref="N35">
    <cfRule type="dataBar" priority="1011">
      <dataBar>
        <cfvo type="min"/>
        <cfvo type="max"/>
        <color rgb="FF638EC6"/>
      </dataBar>
      <extLst>
        <ext xmlns:x14="http://schemas.microsoft.com/office/spreadsheetml/2009/9/main" uri="{B025F937-C7B1-47D3-B67F-A62EFF666E3E}">
          <x14:id>{FDF32129-DF04-984A-87D3-742B0B672EB7}</x14:id>
        </ext>
      </extLst>
    </cfRule>
  </conditionalFormatting>
  <conditionalFormatting sqref="O34">
    <cfRule type="colorScale" priority="1010">
      <colorScale>
        <cfvo type="min"/>
        <cfvo type="percentile" val="50"/>
        <cfvo type="max"/>
        <color rgb="FF63BE7B"/>
        <color rgb="FFFFEB84"/>
        <color rgb="FFF8696B"/>
      </colorScale>
    </cfRule>
  </conditionalFormatting>
  <conditionalFormatting sqref="O34">
    <cfRule type="dataBar" priority="1009">
      <dataBar>
        <cfvo type="min"/>
        <cfvo type="max"/>
        <color rgb="FF638EC6"/>
      </dataBar>
      <extLst>
        <ext xmlns:x14="http://schemas.microsoft.com/office/spreadsheetml/2009/9/main" uri="{B025F937-C7B1-47D3-B67F-A62EFF666E3E}">
          <x14:id>{23E4C0DE-C0D0-9446-8580-C350F7668D96}</x14:id>
        </ext>
      </extLst>
    </cfRule>
  </conditionalFormatting>
  <conditionalFormatting sqref="L37">
    <cfRule type="dataBar" priority="1008">
      <dataBar>
        <cfvo type="min"/>
        <cfvo type="max"/>
        <color rgb="FF638EC6"/>
      </dataBar>
      <extLst>
        <ext xmlns:x14="http://schemas.microsoft.com/office/spreadsheetml/2009/9/main" uri="{B025F937-C7B1-47D3-B67F-A62EFF666E3E}">
          <x14:id>{8A59DCE9-A9A2-0F4A-9445-2F4E3E267EA9}</x14:id>
        </ext>
      </extLst>
    </cfRule>
  </conditionalFormatting>
  <conditionalFormatting sqref="P33">
    <cfRule type="colorScale" priority="1007">
      <colorScale>
        <cfvo type="min"/>
        <cfvo type="percentile" val="50"/>
        <cfvo type="max"/>
        <color rgb="FF63BE7B"/>
        <color rgb="FFFFEB84"/>
        <color rgb="FFF8696B"/>
      </colorScale>
    </cfRule>
  </conditionalFormatting>
  <conditionalFormatting sqref="P33">
    <cfRule type="dataBar" priority="1006">
      <dataBar>
        <cfvo type="min"/>
        <cfvo type="max"/>
        <color rgb="FF638EC6"/>
      </dataBar>
      <extLst>
        <ext xmlns:x14="http://schemas.microsoft.com/office/spreadsheetml/2009/9/main" uri="{B025F937-C7B1-47D3-B67F-A62EFF666E3E}">
          <x14:id>{9D6E7E0E-4D1B-0B47-A217-1C34ECDB3586}</x14:id>
        </ext>
      </extLst>
    </cfRule>
  </conditionalFormatting>
  <conditionalFormatting sqref="Q32">
    <cfRule type="colorScale" priority="1005">
      <colorScale>
        <cfvo type="min"/>
        <cfvo type="percentile" val="50"/>
        <cfvo type="max"/>
        <color rgb="FF63BE7B"/>
        <color rgb="FFFFEB84"/>
        <color rgb="FFF8696B"/>
      </colorScale>
    </cfRule>
  </conditionalFormatting>
  <conditionalFormatting sqref="Q32">
    <cfRule type="dataBar" priority="1004">
      <dataBar>
        <cfvo type="min"/>
        <cfvo type="max"/>
        <color rgb="FF638EC6"/>
      </dataBar>
      <extLst>
        <ext xmlns:x14="http://schemas.microsoft.com/office/spreadsheetml/2009/9/main" uri="{B025F937-C7B1-47D3-B67F-A62EFF666E3E}">
          <x14:id>{9A3973B2-4729-C34E-B53B-7975BC781D5F}</x14:id>
        </ext>
      </extLst>
    </cfRule>
  </conditionalFormatting>
  <conditionalFormatting sqref="R31">
    <cfRule type="colorScale" priority="1003">
      <colorScale>
        <cfvo type="min"/>
        <cfvo type="percentile" val="50"/>
        <cfvo type="max"/>
        <color rgb="FF63BE7B"/>
        <color rgb="FFFFEB84"/>
        <color rgb="FFF8696B"/>
      </colorScale>
    </cfRule>
  </conditionalFormatting>
  <conditionalFormatting sqref="R31">
    <cfRule type="dataBar" priority="1002">
      <dataBar>
        <cfvo type="min"/>
        <cfvo type="max"/>
        <color rgb="FF638EC6"/>
      </dataBar>
      <extLst>
        <ext xmlns:x14="http://schemas.microsoft.com/office/spreadsheetml/2009/9/main" uri="{B025F937-C7B1-47D3-B67F-A62EFF666E3E}">
          <x14:id>{DB6886B8-0BCC-6645-9622-003F31AB1A19}</x14:id>
        </ext>
      </extLst>
    </cfRule>
  </conditionalFormatting>
  <conditionalFormatting sqref="S30">
    <cfRule type="colorScale" priority="1001">
      <colorScale>
        <cfvo type="min"/>
        <cfvo type="percentile" val="50"/>
        <cfvo type="max"/>
        <color rgb="FF63BE7B"/>
        <color rgb="FFFFEB84"/>
        <color rgb="FFF8696B"/>
      </colorScale>
    </cfRule>
  </conditionalFormatting>
  <conditionalFormatting sqref="S30">
    <cfRule type="dataBar" priority="1000">
      <dataBar>
        <cfvo type="min"/>
        <cfvo type="max"/>
        <color rgb="FF638EC6"/>
      </dataBar>
      <extLst>
        <ext xmlns:x14="http://schemas.microsoft.com/office/spreadsheetml/2009/9/main" uri="{B025F937-C7B1-47D3-B67F-A62EFF666E3E}">
          <x14:id>{97D76725-E406-4C4D-A4B7-9FF8D6D03725}</x14:id>
        </ext>
      </extLst>
    </cfRule>
  </conditionalFormatting>
  <conditionalFormatting sqref="T29">
    <cfRule type="colorScale" priority="999">
      <colorScale>
        <cfvo type="min"/>
        <cfvo type="percentile" val="50"/>
        <cfvo type="max"/>
        <color rgb="FF63BE7B"/>
        <color rgb="FFFFEB84"/>
        <color rgb="FFF8696B"/>
      </colorScale>
    </cfRule>
  </conditionalFormatting>
  <conditionalFormatting sqref="T29">
    <cfRule type="dataBar" priority="998">
      <dataBar>
        <cfvo type="min"/>
        <cfvo type="max"/>
        <color rgb="FF638EC6"/>
      </dataBar>
      <extLst>
        <ext xmlns:x14="http://schemas.microsoft.com/office/spreadsheetml/2009/9/main" uri="{B025F937-C7B1-47D3-B67F-A62EFF666E3E}">
          <x14:id>{D354B614-CF89-8749-9F41-140021F01BAC}</x14:id>
        </ext>
      </extLst>
    </cfRule>
  </conditionalFormatting>
  <conditionalFormatting sqref="U28">
    <cfRule type="colorScale" priority="997">
      <colorScale>
        <cfvo type="min"/>
        <cfvo type="percentile" val="50"/>
        <cfvo type="max"/>
        <color rgb="FF63BE7B"/>
        <color rgb="FFFFEB84"/>
        <color rgb="FFF8696B"/>
      </colorScale>
    </cfRule>
  </conditionalFormatting>
  <conditionalFormatting sqref="U28">
    <cfRule type="dataBar" priority="996">
      <dataBar>
        <cfvo type="min"/>
        <cfvo type="max"/>
        <color rgb="FF638EC6"/>
      </dataBar>
      <extLst>
        <ext xmlns:x14="http://schemas.microsoft.com/office/spreadsheetml/2009/9/main" uri="{B025F937-C7B1-47D3-B67F-A62EFF666E3E}">
          <x14:id>{34832AC1-3F03-5948-978F-79F4D33FAEC6}</x14:id>
        </ext>
      </extLst>
    </cfRule>
  </conditionalFormatting>
  <conditionalFormatting sqref="V27">
    <cfRule type="colorScale" priority="995">
      <colorScale>
        <cfvo type="min"/>
        <cfvo type="percentile" val="50"/>
        <cfvo type="max"/>
        <color rgb="FF63BE7B"/>
        <color rgb="FFFFEB84"/>
        <color rgb="FFF8696B"/>
      </colorScale>
    </cfRule>
  </conditionalFormatting>
  <conditionalFormatting sqref="V27">
    <cfRule type="dataBar" priority="994">
      <dataBar>
        <cfvo type="min"/>
        <cfvo type="max"/>
        <color rgb="FF638EC6"/>
      </dataBar>
      <extLst>
        <ext xmlns:x14="http://schemas.microsoft.com/office/spreadsheetml/2009/9/main" uri="{B025F937-C7B1-47D3-B67F-A62EFF666E3E}">
          <x14:id>{68DDED7A-E54A-6240-A810-A462CC8CAD29}</x14:id>
        </ext>
      </extLst>
    </cfRule>
  </conditionalFormatting>
  <conditionalFormatting sqref="W26">
    <cfRule type="colorScale" priority="993">
      <colorScale>
        <cfvo type="min"/>
        <cfvo type="percentile" val="50"/>
        <cfvo type="max"/>
        <color rgb="FF63BE7B"/>
        <color rgb="FFFFEB84"/>
        <color rgb="FFF8696B"/>
      </colorScale>
    </cfRule>
  </conditionalFormatting>
  <conditionalFormatting sqref="W26">
    <cfRule type="dataBar" priority="992">
      <dataBar>
        <cfvo type="min"/>
        <cfvo type="max"/>
        <color rgb="FF638EC6"/>
      </dataBar>
      <extLst>
        <ext xmlns:x14="http://schemas.microsoft.com/office/spreadsheetml/2009/9/main" uri="{B025F937-C7B1-47D3-B67F-A62EFF666E3E}">
          <x14:id>{A9BA5E8A-0EE3-AA44-A697-E9A0B1F8C701}</x14:id>
        </ext>
      </extLst>
    </cfRule>
  </conditionalFormatting>
  <conditionalFormatting sqref="X25">
    <cfRule type="colorScale" priority="991">
      <colorScale>
        <cfvo type="min"/>
        <cfvo type="percentile" val="50"/>
        <cfvo type="max"/>
        <color rgb="FF63BE7B"/>
        <color rgb="FFFFEB84"/>
        <color rgb="FFF8696B"/>
      </colorScale>
    </cfRule>
  </conditionalFormatting>
  <conditionalFormatting sqref="X25">
    <cfRule type="dataBar" priority="990">
      <dataBar>
        <cfvo type="min"/>
        <cfvo type="max"/>
        <color rgb="FF638EC6"/>
      </dataBar>
      <extLst>
        <ext xmlns:x14="http://schemas.microsoft.com/office/spreadsheetml/2009/9/main" uri="{B025F937-C7B1-47D3-B67F-A62EFF666E3E}">
          <x14:id>{E00128AF-5252-634B-AB14-CA186AA16766}</x14:id>
        </ext>
      </extLst>
    </cfRule>
  </conditionalFormatting>
  <conditionalFormatting sqref="Y24">
    <cfRule type="colorScale" priority="989">
      <colorScale>
        <cfvo type="min"/>
        <cfvo type="percentile" val="50"/>
        <cfvo type="max"/>
        <color rgb="FF63BE7B"/>
        <color rgb="FFFFEB84"/>
        <color rgb="FFF8696B"/>
      </colorScale>
    </cfRule>
  </conditionalFormatting>
  <conditionalFormatting sqref="Y24">
    <cfRule type="dataBar" priority="988">
      <dataBar>
        <cfvo type="min"/>
        <cfvo type="max"/>
        <color rgb="FF638EC6"/>
      </dataBar>
      <extLst>
        <ext xmlns:x14="http://schemas.microsoft.com/office/spreadsheetml/2009/9/main" uri="{B025F937-C7B1-47D3-B67F-A62EFF666E3E}">
          <x14:id>{0F2C21AE-8CBB-BA4F-AC04-FAAB212E3BEC}</x14:id>
        </ext>
      </extLst>
    </cfRule>
  </conditionalFormatting>
  <conditionalFormatting sqref="Z23">
    <cfRule type="colorScale" priority="987">
      <colorScale>
        <cfvo type="min"/>
        <cfvo type="percentile" val="50"/>
        <cfvo type="max"/>
        <color rgb="FF63BE7B"/>
        <color rgb="FFFFEB84"/>
        <color rgb="FFF8696B"/>
      </colorScale>
    </cfRule>
  </conditionalFormatting>
  <conditionalFormatting sqref="Z23">
    <cfRule type="dataBar" priority="986">
      <dataBar>
        <cfvo type="min"/>
        <cfvo type="max"/>
        <color rgb="FF638EC6"/>
      </dataBar>
      <extLst>
        <ext xmlns:x14="http://schemas.microsoft.com/office/spreadsheetml/2009/9/main" uri="{B025F937-C7B1-47D3-B67F-A62EFF666E3E}">
          <x14:id>{3380069C-A311-4E4B-AC8C-AB8D3669D6DB}</x14:id>
        </ext>
      </extLst>
    </cfRule>
  </conditionalFormatting>
  <conditionalFormatting sqref="AA22">
    <cfRule type="colorScale" priority="985">
      <colorScale>
        <cfvo type="min"/>
        <cfvo type="percentile" val="50"/>
        <cfvo type="max"/>
        <color rgb="FF63BE7B"/>
        <color rgb="FFFFEB84"/>
        <color rgb="FFF8696B"/>
      </colorScale>
    </cfRule>
  </conditionalFormatting>
  <conditionalFormatting sqref="AA22">
    <cfRule type="dataBar" priority="984">
      <dataBar>
        <cfvo type="min"/>
        <cfvo type="max"/>
        <color rgb="FF638EC6"/>
      </dataBar>
      <extLst>
        <ext xmlns:x14="http://schemas.microsoft.com/office/spreadsheetml/2009/9/main" uri="{B025F937-C7B1-47D3-B67F-A62EFF666E3E}">
          <x14:id>{412266D8-C2D1-7443-8CEF-9830A56ACB82}</x14:id>
        </ext>
      </extLst>
    </cfRule>
  </conditionalFormatting>
  <conditionalFormatting sqref="AB21">
    <cfRule type="colorScale" priority="983">
      <colorScale>
        <cfvo type="min"/>
        <cfvo type="percentile" val="50"/>
        <cfvo type="max"/>
        <color rgb="FF63BE7B"/>
        <color rgb="FFFFEB84"/>
        <color rgb="FFF8696B"/>
      </colorScale>
    </cfRule>
  </conditionalFormatting>
  <conditionalFormatting sqref="AB21">
    <cfRule type="dataBar" priority="982">
      <dataBar>
        <cfvo type="min"/>
        <cfvo type="max"/>
        <color rgb="FF638EC6"/>
      </dataBar>
      <extLst>
        <ext xmlns:x14="http://schemas.microsoft.com/office/spreadsheetml/2009/9/main" uri="{B025F937-C7B1-47D3-B67F-A62EFF666E3E}">
          <x14:id>{676A1F89-7D4E-DB4B-A5DD-C2C97B53F940}</x14:id>
        </ext>
      </extLst>
    </cfRule>
  </conditionalFormatting>
  <conditionalFormatting sqref="AC20">
    <cfRule type="colorScale" priority="981">
      <colorScale>
        <cfvo type="min"/>
        <cfvo type="percentile" val="50"/>
        <cfvo type="max"/>
        <color rgb="FF63BE7B"/>
        <color rgb="FFFFEB84"/>
        <color rgb="FFF8696B"/>
      </colorScale>
    </cfRule>
  </conditionalFormatting>
  <conditionalFormatting sqref="AC20">
    <cfRule type="dataBar" priority="980">
      <dataBar>
        <cfvo type="min"/>
        <cfvo type="max"/>
        <color rgb="FF638EC6"/>
      </dataBar>
      <extLst>
        <ext xmlns:x14="http://schemas.microsoft.com/office/spreadsheetml/2009/9/main" uri="{B025F937-C7B1-47D3-B67F-A62EFF666E3E}">
          <x14:id>{925BAE59-AC8A-D945-8243-898F9A2FF70D}</x14:id>
        </ext>
      </extLst>
    </cfRule>
  </conditionalFormatting>
  <conditionalFormatting sqref="AD19">
    <cfRule type="colorScale" priority="979">
      <colorScale>
        <cfvo type="min"/>
        <cfvo type="percentile" val="50"/>
        <cfvo type="max"/>
        <color rgb="FF63BE7B"/>
        <color rgb="FFFFEB84"/>
        <color rgb="FFF8696B"/>
      </colorScale>
    </cfRule>
  </conditionalFormatting>
  <conditionalFormatting sqref="AD19">
    <cfRule type="dataBar" priority="978">
      <dataBar>
        <cfvo type="min"/>
        <cfvo type="max"/>
        <color rgb="FF638EC6"/>
      </dataBar>
      <extLst>
        <ext xmlns:x14="http://schemas.microsoft.com/office/spreadsheetml/2009/9/main" uri="{B025F937-C7B1-47D3-B67F-A62EFF666E3E}">
          <x14:id>{AD9D6048-020C-4345-93A6-7549F998D845}</x14:id>
        </ext>
      </extLst>
    </cfRule>
  </conditionalFormatting>
  <conditionalFormatting sqref="AE18">
    <cfRule type="colorScale" priority="977">
      <colorScale>
        <cfvo type="min"/>
        <cfvo type="percentile" val="50"/>
        <cfvo type="max"/>
        <color rgb="FF63BE7B"/>
        <color rgb="FFFFEB84"/>
        <color rgb="FFF8696B"/>
      </colorScale>
    </cfRule>
  </conditionalFormatting>
  <conditionalFormatting sqref="AE18">
    <cfRule type="dataBar" priority="976">
      <dataBar>
        <cfvo type="min"/>
        <cfvo type="max"/>
        <color rgb="FF638EC6"/>
      </dataBar>
      <extLst>
        <ext xmlns:x14="http://schemas.microsoft.com/office/spreadsheetml/2009/9/main" uri="{B025F937-C7B1-47D3-B67F-A62EFF666E3E}">
          <x14:id>{5E252290-55CE-0145-BFAE-59DB904A194D}</x14:id>
        </ext>
      </extLst>
    </cfRule>
  </conditionalFormatting>
  <conditionalFormatting sqref="M38">
    <cfRule type="dataBar" priority="975">
      <dataBar>
        <cfvo type="min"/>
        <cfvo type="max"/>
        <color rgb="FF638EC6"/>
      </dataBar>
      <extLst>
        <ext xmlns:x14="http://schemas.microsoft.com/office/spreadsheetml/2009/9/main" uri="{B025F937-C7B1-47D3-B67F-A62EFF666E3E}">
          <x14:id>{3BA9102A-F783-914A-AB8F-91AE07273876}</x14:id>
        </ext>
      </extLst>
    </cfRule>
  </conditionalFormatting>
  <conditionalFormatting sqref="O36">
    <cfRule type="colorScale" priority="974">
      <colorScale>
        <cfvo type="min"/>
        <cfvo type="percentile" val="50"/>
        <cfvo type="max"/>
        <color rgb="FF63BE7B"/>
        <color rgb="FFFFEB84"/>
        <color rgb="FFF8696B"/>
      </colorScale>
    </cfRule>
  </conditionalFormatting>
  <conditionalFormatting sqref="O36">
    <cfRule type="dataBar" priority="973">
      <dataBar>
        <cfvo type="min"/>
        <cfvo type="max"/>
        <color rgb="FF638EC6"/>
      </dataBar>
      <extLst>
        <ext xmlns:x14="http://schemas.microsoft.com/office/spreadsheetml/2009/9/main" uri="{B025F937-C7B1-47D3-B67F-A62EFF666E3E}">
          <x14:id>{17BC8317-D4DC-504D-BC78-7DEB82B5EDCF}</x14:id>
        </ext>
      </extLst>
    </cfRule>
  </conditionalFormatting>
  <conditionalFormatting sqref="P35">
    <cfRule type="colorScale" priority="972">
      <colorScale>
        <cfvo type="min"/>
        <cfvo type="percentile" val="50"/>
        <cfvo type="max"/>
        <color rgb="FF63BE7B"/>
        <color rgb="FFFFEB84"/>
        <color rgb="FFF8696B"/>
      </colorScale>
    </cfRule>
  </conditionalFormatting>
  <conditionalFormatting sqref="P35">
    <cfRule type="dataBar" priority="971">
      <dataBar>
        <cfvo type="min"/>
        <cfvo type="max"/>
        <color rgb="FF638EC6"/>
      </dataBar>
      <extLst>
        <ext xmlns:x14="http://schemas.microsoft.com/office/spreadsheetml/2009/9/main" uri="{B025F937-C7B1-47D3-B67F-A62EFF666E3E}">
          <x14:id>{100230D9-657A-954E-A3FE-855561581426}</x14:id>
        </ext>
      </extLst>
    </cfRule>
  </conditionalFormatting>
  <conditionalFormatting sqref="Q34">
    <cfRule type="colorScale" priority="970">
      <colorScale>
        <cfvo type="min"/>
        <cfvo type="percentile" val="50"/>
        <cfvo type="max"/>
        <color rgb="FF63BE7B"/>
        <color rgb="FFFFEB84"/>
        <color rgb="FFF8696B"/>
      </colorScale>
    </cfRule>
  </conditionalFormatting>
  <conditionalFormatting sqref="Q34">
    <cfRule type="dataBar" priority="969">
      <dataBar>
        <cfvo type="min"/>
        <cfvo type="max"/>
        <color rgb="FF638EC6"/>
      </dataBar>
      <extLst>
        <ext xmlns:x14="http://schemas.microsoft.com/office/spreadsheetml/2009/9/main" uri="{B025F937-C7B1-47D3-B67F-A62EFF666E3E}">
          <x14:id>{1BBA7B0E-340A-6C49-B9A5-B33BDDE27879}</x14:id>
        </ext>
      </extLst>
    </cfRule>
  </conditionalFormatting>
  <conditionalFormatting sqref="R33">
    <cfRule type="colorScale" priority="968">
      <colorScale>
        <cfvo type="min"/>
        <cfvo type="percentile" val="50"/>
        <cfvo type="max"/>
        <color rgb="FF63BE7B"/>
        <color rgb="FFFFEB84"/>
        <color rgb="FFF8696B"/>
      </colorScale>
    </cfRule>
  </conditionalFormatting>
  <conditionalFormatting sqref="R33">
    <cfRule type="dataBar" priority="967">
      <dataBar>
        <cfvo type="min"/>
        <cfvo type="max"/>
        <color rgb="FF638EC6"/>
      </dataBar>
      <extLst>
        <ext xmlns:x14="http://schemas.microsoft.com/office/spreadsheetml/2009/9/main" uri="{B025F937-C7B1-47D3-B67F-A62EFF666E3E}">
          <x14:id>{9C91098D-A598-5649-B7F5-4121E209A64B}</x14:id>
        </ext>
      </extLst>
    </cfRule>
  </conditionalFormatting>
  <conditionalFormatting sqref="S32">
    <cfRule type="colorScale" priority="966">
      <colorScale>
        <cfvo type="min"/>
        <cfvo type="percentile" val="50"/>
        <cfvo type="max"/>
        <color rgb="FF63BE7B"/>
        <color rgb="FFFFEB84"/>
        <color rgb="FFF8696B"/>
      </colorScale>
    </cfRule>
  </conditionalFormatting>
  <conditionalFormatting sqref="S32">
    <cfRule type="dataBar" priority="965">
      <dataBar>
        <cfvo type="min"/>
        <cfvo type="max"/>
        <color rgb="FF638EC6"/>
      </dataBar>
      <extLst>
        <ext xmlns:x14="http://schemas.microsoft.com/office/spreadsheetml/2009/9/main" uri="{B025F937-C7B1-47D3-B67F-A62EFF666E3E}">
          <x14:id>{A46FC038-F965-6446-A068-E48AB24A96D0}</x14:id>
        </ext>
      </extLst>
    </cfRule>
  </conditionalFormatting>
  <conditionalFormatting sqref="T31">
    <cfRule type="colorScale" priority="964">
      <colorScale>
        <cfvo type="min"/>
        <cfvo type="percentile" val="50"/>
        <cfvo type="max"/>
        <color rgb="FF63BE7B"/>
        <color rgb="FFFFEB84"/>
        <color rgb="FFF8696B"/>
      </colorScale>
    </cfRule>
  </conditionalFormatting>
  <conditionalFormatting sqref="T31">
    <cfRule type="dataBar" priority="963">
      <dataBar>
        <cfvo type="min"/>
        <cfvo type="max"/>
        <color rgb="FF638EC6"/>
      </dataBar>
      <extLst>
        <ext xmlns:x14="http://schemas.microsoft.com/office/spreadsheetml/2009/9/main" uri="{B025F937-C7B1-47D3-B67F-A62EFF666E3E}">
          <x14:id>{8D8BA1DD-C4F5-B146-AAFB-3DFE3BACFA80}</x14:id>
        </ext>
      </extLst>
    </cfRule>
  </conditionalFormatting>
  <conditionalFormatting sqref="U30">
    <cfRule type="colorScale" priority="962">
      <colorScale>
        <cfvo type="min"/>
        <cfvo type="percentile" val="50"/>
        <cfvo type="max"/>
        <color rgb="FF63BE7B"/>
        <color rgb="FFFFEB84"/>
        <color rgb="FFF8696B"/>
      </colorScale>
    </cfRule>
  </conditionalFormatting>
  <conditionalFormatting sqref="U30">
    <cfRule type="dataBar" priority="961">
      <dataBar>
        <cfvo type="min"/>
        <cfvo type="max"/>
        <color rgb="FF638EC6"/>
      </dataBar>
      <extLst>
        <ext xmlns:x14="http://schemas.microsoft.com/office/spreadsheetml/2009/9/main" uri="{B025F937-C7B1-47D3-B67F-A62EFF666E3E}">
          <x14:id>{D3EA0A16-82F6-254D-8242-FF0D6442B04B}</x14:id>
        </ext>
      </extLst>
    </cfRule>
  </conditionalFormatting>
  <conditionalFormatting sqref="V29">
    <cfRule type="colorScale" priority="960">
      <colorScale>
        <cfvo type="min"/>
        <cfvo type="percentile" val="50"/>
        <cfvo type="max"/>
        <color rgb="FF63BE7B"/>
        <color rgb="FFFFEB84"/>
        <color rgb="FFF8696B"/>
      </colorScale>
    </cfRule>
  </conditionalFormatting>
  <conditionalFormatting sqref="V29">
    <cfRule type="dataBar" priority="959">
      <dataBar>
        <cfvo type="min"/>
        <cfvo type="max"/>
        <color rgb="FF638EC6"/>
      </dataBar>
      <extLst>
        <ext xmlns:x14="http://schemas.microsoft.com/office/spreadsheetml/2009/9/main" uri="{B025F937-C7B1-47D3-B67F-A62EFF666E3E}">
          <x14:id>{3C0876E5-BA9F-D144-89D1-F1163E34475B}</x14:id>
        </ext>
      </extLst>
    </cfRule>
  </conditionalFormatting>
  <conditionalFormatting sqref="W28">
    <cfRule type="colorScale" priority="958">
      <colorScale>
        <cfvo type="min"/>
        <cfvo type="percentile" val="50"/>
        <cfvo type="max"/>
        <color rgb="FF63BE7B"/>
        <color rgb="FFFFEB84"/>
        <color rgb="FFF8696B"/>
      </colorScale>
    </cfRule>
  </conditionalFormatting>
  <conditionalFormatting sqref="W28">
    <cfRule type="dataBar" priority="957">
      <dataBar>
        <cfvo type="min"/>
        <cfvo type="max"/>
        <color rgb="FF638EC6"/>
      </dataBar>
      <extLst>
        <ext xmlns:x14="http://schemas.microsoft.com/office/spreadsheetml/2009/9/main" uri="{B025F937-C7B1-47D3-B67F-A62EFF666E3E}">
          <x14:id>{79571811-730F-8949-AE05-BD716CC7E842}</x14:id>
        </ext>
      </extLst>
    </cfRule>
  </conditionalFormatting>
  <conditionalFormatting sqref="X27">
    <cfRule type="colorScale" priority="956">
      <colorScale>
        <cfvo type="min"/>
        <cfvo type="percentile" val="50"/>
        <cfvo type="max"/>
        <color rgb="FF63BE7B"/>
        <color rgb="FFFFEB84"/>
        <color rgb="FFF8696B"/>
      </colorScale>
    </cfRule>
  </conditionalFormatting>
  <conditionalFormatting sqref="X27">
    <cfRule type="dataBar" priority="955">
      <dataBar>
        <cfvo type="min"/>
        <cfvo type="max"/>
        <color rgb="FF638EC6"/>
      </dataBar>
      <extLst>
        <ext xmlns:x14="http://schemas.microsoft.com/office/spreadsheetml/2009/9/main" uri="{B025F937-C7B1-47D3-B67F-A62EFF666E3E}">
          <x14:id>{E540B8E4-80D7-FA47-9487-14C4370D0E16}</x14:id>
        </ext>
      </extLst>
    </cfRule>
  </conditionalFormatting>
  <conditionalFormatting sqref="Y26">
    <cfRule type="colorScale" priority="954">
      <colorScale>
        <cfvo type="min"/>
        <cfvo type="percentile" val="50"/>
        <cfvo type="max"/>
        <color rgb="FF63BE7B"/>
        <color rgb="FFFFEB84"/>
        <color rgb="FFF8696B"/>
      </colorScale>
    </cfRule>
  </conditionalFormatting>
  <conditionalFormatting sqref="Y26">
    <cfRule type="dataBar" priority="953">
      <dataBar>
        <cfvo type="min"/>
        <cfvo type="max"/>
        <color rgb="FF638EC6"/>
      </dataBar>
      <extLst>
        <ext xmlns:x14="http://schemas.microsoft.com/office/spreadsheetml/2009/9/main" uri="{B025F937-C7B1-47D3-B67F-A62EFF666E3E}">
          <x14:id>{BC556086-9F8D-AE4B-837A-EAD4C449B532}</x14:id>
        </ext>
      </extLst>
    </cfRule>
  </conditionalFormatting>
  <conditionalFormatting sqref="Z25">
    <cfRule type="colorScale" priority="952">
      <colorScale>
        <cfvo type="min"/>
        <cfvo type="percentile" val="50"/>
        <cfvo type="max"/>
        <color rgb="FF63BE7B"/>
        <color rgb="FFFFEB84"/>
        <color rgb="FFF8696B"/>
      </colorScale>
    </cfRule>
  </conditionalFormatting>
  <conditionalFormatting sqref="Z25">
    <cfRule type="dataBar" priority="951">
      <dataBar>
        <cfvo type="min"/>
        <cfvo type="max"/>
        <color rgb="FF638EC6"/>
      </dataBar>
      <extLst>
        <ext xmlns:x14="http://schemas.microsoft.com/office/spreadsheetml/2009/9/main" uri="{B025F937-C7B1-47D3-B67F-A62EFF666E3E}">
          <x14:id>{A911920D-9659-2C40-A659-4F698EE8A339}</x14:id>
        </ext>
      </extLst>
    </cfRule>
  </conditionalFormatting>
  <conditionalFormatting sqref="AA24">
    <cfRule type="colorScale" priority="950">
      <colorScale>
        <cfvo type="min"/>
        <cfvo type="percentile" val="50"/>
        <cfvo type="max"/>
        <color rgb="FF63BE7B"/>
        <color rgb="FFFFEB84"/>
        <color rgb="FFF8696B"/>
      </colorScale>
    </cfRule>
  </conditionalFormatting>
  <conditionalFormatting sqref="AA24">
    <cfRule type="dataBar" priority="949">
      <dataBar>
        <cfvo type="min"/>
        <cfvo type="max"/>
        <color rgb="FF638EC6"/>
      </dataBar>
      <extLst>
        <ext xmlns:x14="http://schemas.microsoft.com/office/spreadsheetml/2009/9/main" uri="{B025F937-C7B1-47D3-B67F-A62EFF666E3E}">
          <x14:id>{B2FAFB05-7C15-1F46-A01E-82A628F09235}</x14:id>
        </ext>
      </extLst>
    </cfRule>
  </conditionalFormatting>
  <conditionalFormatting sqref="AB23">
    <cfRule type="colorScale" priority="948">
      <colorScale>
        <cfvo type="min"/>
        <cfvo type="percentile" val="50"/>
        <cfvo type="max"/>
        <color rgb="FF63BE7B"/>
        <color rgb="FFFFEB84"/>
        <color rgb="FFF8696B"/>
      </colorScale>
    </cfRule>
  </conditionalFormatting>
  <conditionalFormatting sqref="AB23">
    <cfRule type="dataBar" priority="947">
      <dataBar>
        <cfvo type="min"/>
        <cfvo type="max"/>
        <color rgb="FF638EC6"/>
      </dataBar>
      <extLst>
        <ext xmlns:x14="http://schemas.microsoft.com/office/spreadsheetml/2009/9/main" uri="{B025F937-C7B1-47D3-B67F-A62EFF666E3E}">
          <x14:id>{BB02F907-6350-1746-9753-35F6AC7A73DF}</x14:id>
        </ext>
      </extLst>
    </cfRule>
  </conditionalFormatting>
  <conditionalFormatting sqref="AC22">
    <cfRule type="colorScale" priority="946">
      <colorScale>
        <cfvo type="min"/>
        <cfvo type="percentile" val="50"/>
        <cfvo type="max"/>
        <color rgb="FF63BE7B"/>
        <color rgb="FFFFEB84"/>
        <color rgb="FFF8696B"/>
      </colorScale>
    </cfRule>
  </conditionalFormatting>
  <conditionalFormatting sqref="AC22">
    <cfRule type="dataBar" priority="945">
      <dataBar>
        <cfvo type="min"/>
        <cfvo type="max"/>
        <color rgb="FF638EC6"/>
      </dataBar>
      <extLst>
        <ext xmlns:x14="http://schemas.microsoft.com/office/spreadsheetml/2009/9/main" uri="{B025F937-C7B1-47D3-B67F-A62EFF666E3E}">
          <x14:id>{761DC358-0F20-1741-AD6A-21116B8353D3}</x14:id>
        </ext>
      </extLst>
    </cfRule>
  </conditionalFormatting>
  <conditionalFormatting sqref="AD21">
    <cfRule type="colorScale" priority="944">
      <colorScale>
        <cfvo type="min"/>
        <cfvo type="percentile" val="50"/>
        <cfvo type="max"/>
        <color rgb="FF63BE7B"/>
        <color rgb="FFFFEB84"/>
        <color rgb="FFF8696B"/>
      </colorScale>
    </cfRule>
  </conditionalFormatting>
  <conditionalFormatting sqref="AD21">
    <cfRule type="dataBar" priority="943">
      <dataBar>
        <cfvo type="min"/>
        <cfvo type="max"/>
        <color rgb="FF638EC6"/>
      </dataBar>
      <extLst>
        <ext xmlns:x14="http://schemas.microsoft.com/office/spreadsheetml/2009/9/main" uri="{B025F937-C7B1-47D3-B67F-A62EFF666E3E}">
          <x14:id>{D64797A3-2E8D-5D41-9A2E-207FC3CDC2DB}</x14:id>
        </ext>
      </extLst>
    </cfRule>
  </conditionalFormatting>
  <conditionalFormatting sqref="M40">
    <cfRule type="dataBar" priority="942">
      <dataBar>
        <cfvo type="min"/>
        <cfvo type="max"/>
        <color rgb="FF638EC6"/>
      </dataBar>
      <extLst>
        <ext xmlns:x14="http://schemas.microsoft.com/office/spreadsheetml/2009/9/main" uri="{B025F937-C7B1-47D3-B67F-A62EFF666E3E}">
          <x14:id>{88540EE1-4662-FF46-9B5B-B2AEDE8E2CC0}</x14:id>
        </ext>
      </extLst>
    </cfRule>
  </conditionalFormatting>
  <conditionalFormatting sqref="N39">
    <cfRule type="colorScale" priority="941">
      <colorScale>
        <cfvo type="min"/>
        <cfvo type="percentile" val="50"/>
        <cfvo type="max"/>
        <color rgb="FF63BE7B"/>
        <color rgb="FFFFEB84"/>
        <color rgb="FFF8696B"/>
      </colorScale>
    </cfRule>
  </conditionalFormatting>
  <conditionalFormatting sqref="N39">
    <cfRule type="dataBar" priority="940">
      <dataBar>
        <cfvo type="min"/>
        <cfvo type="max"/>
        <color rgb="FF638EC6"/>
      </dataBar>
      <extLst>
        <ext xmlns:x14="http://schemas.microsoft.com/office/spreadsheetml/2009/9/main" uri="{B025F937-C7B1-47D3-B67F-A62EFF666E3E}">
          <x14:id>{659AEC30-6EB9-1243-9A8E-74D50871F22C}</x14:id>
        </ext>
      </extLst>
    </cfRule>
  </conditionalFormatting>
  <conditionalFormatting sqref="O38">
    <cfRule type="colorScale" priority="939">
      <colorScale>
        <cfvo type="min"/>
        <cfvo type="percentile" val="50"/>
        <cfvo type="max"/>
        <color rgb="FF63BE7B"/>
        <color rgb="FFFFEB84"/>
        <color rgb="FFF8696B"/>
      </colorScale>
    </cfRule>
  </conditionalFormatting>
  <conditionalFormatting sqref="O38">
    <cfRule type="dataBar" priority="938">
      <dataBar>
        <cfvo type="min"/>
        <cfvo type="max"/>
        <color rgb="FF638EC6"/>
      </dataBar>
      <extLst>
        <ext xmlns:x14="http://schemas.microsoft.com/office/spreadsheetml/2009/9/main" uri="{B025F937-C7B1-47D3-B67F-A62EFF666E3E}">
          <x14:id>{922F1927-FC02-C244-817A-EFE9FCB4AACD}</x14:id>
        </ext>
      </extLst>
    </cfRule>
  </conditionalFormatting>
  <conditionalFormatting sqref="P37">
    <cfRule type="colorScale" priority="937">
      <colorScale>
        <cfvo type="min"/>
        <cfvo type="percentile" val="50"/>
        <cfvo type="max"/>
        <color rgb="FF63BE7B"/>
        <color rgb="FFFFEB84"/>
        <color rgb="FFF8696B"/>
      </colorScale>
    </cfRule>
  </conditionalFormatting>
  <conditionalFormatting sqref="P37">
    <cfRule type="dataBar" priority="936">
      <dataBar>
        <cfvo type="min"/>
        <cfvo type="max"/>
        <color rgb="FF638EC6"/>
      </dataBar>
      <extLst>
        <ext xmlns:x14="http://schemas.microsoft.com/office/spreadsheetml/2009/9/main" uri="{B025F937-C7B1-47D3-B67F-A62EFF666E3E}">
          <x14:id>{46068ACD-E615-7045-9B7D-101C32EA799D}</x14:id>
        </ext>
      </extLst>
    </cfRule>
  </conditionalFormatting>
  <conditionalFormatting sqref="Q36">
    <cfRule type="colorScale" priority="935">
      <colorScale>
        <cfvo type="min"/>
        <cfvo type="percentile" val="50"/>
        <cfvo type="max"/>
        <color rgb="FF63BE7B"/>
        <color rgb="FFFFEB84"/>
        <color rgb="FFF8696B"/>
      </colorScale>
    </cfRule>
  </conditionalFormatting>
  <conditionalFormatting sqref="Q36">
    <cfRule type="dataBar" priority="934">
      <dataBar>
        <cfvo type="min"/>
        <cfvo type="max"/>
        <color rgb="FF638EC6"/>
      </dataBar>
      <extLst>
        <ext xmlns:x14="http://schemas.microsoft.com/office/spreadsheetml/2009/9/main" uri="{B025F937-C7B1-47D3-B67F-A62EFF666E3E}">
          <x14:id>{69B73CE2-C600-A94D-B556-4E3D73477702}</x14:id>
        </ext>
      </extLst>
    </cfRule>
  </conditionalFormatting>
  <conditionalFormatting sqref="R35">
    <cfRule type="colorScale" priority="933">
      <colorScale>
        <cfvo type="min"/>
        <cfvo type="percentile" val="50"/>
        <cfvo type="max"/>
        <color rgb="FF63BE7B"/>
        <color rgb="FFFFEB84"/>
        <color rgb="FFF8696B"/>
      </colorScale>
    </cfRule>
  </conditionalFormatting>
  <conditionalFormatting sqref="R35">
    <cfRule type="dataBar" priority="932">
      <dataBar>
        <cfvo type="min"/>
        <cfvo type="max"/>
        <color rgb="FF638EC6"/>
      </dataBar>
      <extLst>
        <ext xmlns:x14="http://schemas.microsoft.com/office/spreadsheetml/2009/9/main" uri="{B025F937-C7B1-47D3-B67F-A62EFF666E3E}">
          <x14:id>{29D4340D-FE7F-EB41-92B7-E59AFC6CC099}</x14:id>
        </ext>
      </extLst>
    </cfRule>
  </conditionalFormatting>
  <conditionalFormatting sqref="S34">
    <cfRule type="colorScale" priority="931">
      <colorScale>
        <cfvo type="min"/>
        <cfvo type="percentile" val="50"/>
        <cfvo type="max"/>
        <color rgb="FF63BE7B"/>
        <color rgb="FFFFEB84"/>
        <color rgb="FFF8696B"/>
      </colorScale>
    </cfRule>
  </conditionalFormatting>
  <conditionalFormatting sqref="S34">
    <cfRule type="dataBar" priority="930">
      <dataBar>
        <cfvo type="min"/>
        <cfvo type="max"/>
        <color rgb="FF638EC6"/>
      </dataBar>
      <extLst>
        <ext xmlns:x14="http://schemas.microsoft.com/office/spreadsheetml/2009/9/main" uri="{B025F937-C7B1-47D3-B67F-A62EFF666E3E}">
          <x14:id>{434D2F7C-0C29-8943-ADD2-CB640E9D4442}</x14:id>
        </ext>
      </extLst>
    </cfRule>
  </conditionalFormatting>
  <conditionalFormatting sqref="T33">
    <cfRule type="colorScale" priority="929">
      <colorScale>
        <cfvo type="min"/>
        <cfvo type="percentile" val="50"/>
        <cfvo type="max"/>
        <color rgb="FF63BE7B"/>
        <color rgb="FFFFEB84"/>
        <color rgb="FFF8696B"/>
      </colorScale>
    </cfRule>
  </conditionalFormatting>
  <conditionalFormatting sqref="T33">
    <cfRule type="dataBar" priority="928">
      <dataBar>
        <cfvo type="min"/>
        <cfvo type="max"/>
        <color rgb="FF638EC6"/>
      </dataBar>
      <extLst>
        <ext xmlns:x14="http://schemas.microsoft.com/office/spreadsheetml/2009/9/main" uri="{B025F937-C7B1-47D3-B67F-A62EFF666E3E}">
          <x14:id>{F5F02A3D-D1C6-454D-91BE-BF5A168BDF3A}</x14:id>
        </ext>
      </extLst>
    </cfRule>
  </conditionalFormatting>
  <conditionalFormatting sqref="U32">
    <cfRule type="colorScale" priority="927">
      <colorScale>
        <cfvo type="min"/>
        <cfvo type="percentile" val="50"/>
        <cfvo type="max"/>
        <color rgb="FF63BE7B"/>
        <color rgb="FFFFEB84"/>
        <color rgb="FFF8696B"/>
      </colorScale>
    </cfRule>
  </conditionalFormatting>
  <conditionalFormatting sqref="U32">
    <cfRule type="dataBar" priority="926">
      <dataBar>
        <cfvo type="min"/>
        <cfvo type="max"/>
        <color rgb="FF638EC6"/>
      </dataBar>
      <extLst>
        <ext xmlns:x14="http://schemas.microsoft.com/office/spreadsheetml/2009/9/main" uri="{B025F937-C7B1-47D3-B67F-A62EFF666E3E}">
          <x14:id>{5BB94854-F07F-A24E-8DD1-B9DD0977D325}</x14:id>
        </ext>
      </extLst>
    </cfRule>
  </conditionalFormatting>
  <conditionalFormatting sqref="V31">
    <cfRule type="colorScale" priority="925">
      <colorScale>
        <cfvo type="min"/>
        <cfvo type="percentile" val="50"/>
        <cfvo type="max"/>
        <color rgb="FF63BE7B"/>
        <color rgb="FFFFEB84"/>
        <color rgb="FFF8696B"/>
      </colorScale>
    </cfRule>
  </conditionalFormatting>
  <conditionalFormatting sqref="V31">
    <cfRule type="dataBar" priority="924">
      <dataBar>
        <cfvo type="min"/>
        <cfvo type="max"/>
        <color rgb="FF638EC6"/>
      </dataBar>
      <extLst>
        <ext xmlns:x14="http://schemas.microsoft.com/office/spreadsheetml/2009/9/main" uri="{B025F937-C7B1-47D3-B67F-A62EFF666E3E}">
          <x14:id>{2320FECD-CDA1-3E47-949C-CE60AA7E5791}</x14:id>
        </ext>
      </extLst>
    </cfRule>
  </conditionalFormatting>
  <conditionalFormatting sqref="W30">
    <cfRule type="colorScale" priority="923">
      <colorScale>
        <cfvo type="min"/>
        <cfvo type="percentile" val="50"/>
        <cfvo type="max"/>
        <color rgb="FF63BE7B"/>
        <color rgb="FFFFEB84"/>
        <color rgb="FFF8696B"/>
      </colorScale>
    </cfRule>
  </conditionalFormatting>
  <conditionalFormatting sqref="W30">
    <cfRule type="dataBar" priority="922">
      <dataBar>
        <cfvo type="min"/>
        <cfvo type="max"/>
        <color rgb="FF638EC6"/>
      </dataBar>
      <extLst>
        <ext xmlns:x14="http://schemas.microsoft.com/office/spreadsheetml/2009/9/main" uri="{B025F937-C7B1-47D3-B67F-A62EFF666E3E}">
          <x14:id>{BE729654-0AF0-4B44-995B-CB57186B20A2}</x14:id>
        </ext>
      </extLst>
    </cfRule>
  </conditionalFormatting>
  <conditionalFormatting sqref="X29">
    <cfRule type="colorScale" priority="921">
      <colorScale>
        <cfvo type="min"/>
        <cfvo type="percentile" val="50"/>
        <cfvo type="max"/>
        <color rgb="FF63BE7B"/>
        <color rgb="FFFFEB84"/>
        <color rgb="FFF8696B"/>
      </colorScale>
    </cfRule>
  </conditionalFormatting>
  <conditionalFormatting sqref="X29">
    <cfRule type="dataBar" priority="920">
      <dataBar>
        <cfvo type="min"/>
        <cfvo type="max"/>
        <color rgb="FF638EC6"/>
      </dataBar>
      <extLst>
        <ext xmlns:x14="http://schemas.microsoft.com/office/spreadsheetml/2009/9/main" uri="{B025F937-C7B1-47D3-B67F-A62EFF666E3E}">
          <x14:id>{F04CE091-7122-AD47-AD13-A8BE31498660}</x14:id>
        </ext>
      </extLst>
    </cfRule>
  </conditionalFormatting>
  <conditionalFormatting sqref="Y28">
    <cfRule type="colorScale" priority="919">
      <colorScale>
        <cfvo type="min"/>
        <cfvo type="percentile" val="50"/>
        <cfvo type="max"/>
        <color rgb="FF63BE7B"/>
        <color rgb="FFFFEB84"/>
        <color rgb="FFF8696B"/>
      </colorScale>
    </cfRule>
  </conditionalFormatting>
  <conditionalFormatting sqref="Y28">
    <cfRule type="dataBar" priority="918">
      <dataBar>
        <cfvo type="min"/>
        <cfvo type="max"/>
        <color rgb="FF638EC6"/>
      </dataBar>
      <extLst>
        <ext xmlns:x14="http://schemas.microsoft.com/office/spreadsheetml/2009/9/main" uri="{B025F937-C7B1-47D3-B67F-A62EFF666E3E}">
          <x14:id>{C07052B1-C37B-7140-939E-CEFE5F5AE38D}</x14:id>
        </ext>
      </extLst>
    </cfRule>
  </conditionalFormatting>
  <conditionalFormatting sqref="Z27">
    <cfRule type="colorScale" priority="917">
      <colorScale>
        <cfvo type="min"/>
        <cfvo type="percentile" val="50"/>
        <cfvo type="max"/>
        <color rgb="FF63BE7B"/>
        <color rgb="FFFFEB84"/>
        <color rgb="FFF8696B"/>
      </colorScale>
    </cfRule>
  </conditionalFormatting>
  <conditionalFormatting sqref="Z27">
    <cfRule type="dataBar" priority="916">
      <dataBar>
        <cfvo type="min"/>
        <cfvo type="max"/>
        <color rgb="FF638EC6"/>
      </dataBar>
      <extLst>
        <ext xmlns:x14="http://schemas.microsoft.com/office/spreadsheetml/2009/9/main" uri="{B025F937-C7B1-47D3-B67F-A62EFF666E3E}">
          <x14:id>{C6DF382D-10CF-894B-8AFA-7D82303FEE8C}</x14:id>
        </ext>
      </extLst>
    </cfRule>
  </conditionalFormatting>
  <conditionalFormatting sqref="AA26">
    <cfRule type="colorScale" priority="915">
      <colorScale>
        <cfvo type="min"/>
        <cfvo type="percentile" val="50"/>
        <cfvo type="max"/>
        <color rgb="FF63BE7B"/>
        <color rgb="FFFFEB84"/>
        <color rgb="FFF8696B"/>
      </colorScale>
    </cfRule>
  </conditionalFormatting>
  <conditionalFormatting sqref="AA26">
    <cfRule type="dataBar" priority="914">
      <dataBar>
        <cfvo type="min"/>
        <cfvo type="max"/>
        <color rgb="FF638EC6"/>
      </dataBar>
      <extLst>
        <ext xmlns:x14="http://schemas.microsoft.com/office/spreadsheetml/2009/9/main" uri="{B025F937-C7B1-47D3-B67F-A62EFF666E3E}">
          <x14:id>{99EBF4CB-D8B5-1D46-AF01-1830F51B8459}</x14:id>
        </ext>
      </extLst>
    </cfRule>
  </conditionalFormatting>
  <conditionalFormatting sqref="AB25">
    <cfRule type="colorScale" priority="913">
      <colorScale>
        <cfvo type="min"/>
        <cfvo type="percentile" val="50"/>
        <cfvo type="max"/>
        <color rgb="FF63BE7B"/>
        <color rgb="FFFFEB84"/>
        <color rgb="FFF8696B"/>
      </colorScale>
    </cfRule>
  </conditionalFormatting>
  <conditionalFormatting sqref="AB25">
    <cfRule type="dataBar" priority="912">
      <dataBar>
        <cfvo type="min"/>
        <cfvo type="max"/>
        <color rgb="FF638EC6"/>
      </dataBar>
      <extLst>
        <ext xmlns:x14="http://schemas.microsoft.com/office/spreadsheetml/2009/9/main" uri="{B025F937-C7B1-47D3-B67F-A62EFF666E3E}">
          <x14:id>{307EBE1F-C047-5F4D-9583-955A47227097}</x14:id>
        </ext>
      </extLst>
    </cfRule>
  </conditionalFormatting>
  <conditionalFormatting sqref="AC24">
    <cfRule type="colorScale" priority="911">
      <colorScale>
        <cfvo type="min"/>
        <cfvo type="percentile" val="50"/>
        <cfvo type="max"/>
        <color rgb="FF63BE7B"/>
        <color rgb="FFFFEB84"/>
        <color rgb="FFF8696B"/>
      </colorScale>
    </cfRule>
  </conditionalFormatting>
  <conditionalFormatting sqref="AC24">
    <cfRule type="dataBar" priority="910">
      <dataBar>
        <cfvo type="min"/>
        <cfvo type="max"/>
        <color rgb="FF638EC6"/>
      </dataBar>
      <extLst>
        <ext xmlns:x14="http://schemas.microsoft.com/office/spreadsheetml/2009/9/main" uri="{B025F937-C7B1-47D3-B67F-A62EFF666E3E}">
          <x14:id>{9F20E712-FB66-D54D-98B8-A94EF0A49A29}</x14:id>
        </ext>
      </extLst>
    </cfRule>
  </conditionalFormatting>
  <conditionalFormatting sqref="AD23">
    <cfRule type="colorScale" priority="909">
      <colorScale>
        <cfvo type="min"/>
        <cfvo type="percentile" val="50"/>
        <cfvo type="max"/>
        <color rgb="FF63BE7B"/>
        <color rgb="FFFFEB84"/>
        <color rgb="FFF8696B"/>
      </colorScale>
    </cfRule>
  </conditionalFormatting>
  <conditionalFormatting sqref="AD23">
    <cfRule type="dataBar" priority="908">
      <dataBar>
        <cfvo type="min"/>
        <cfvo type="max"/>
        <color rgb="FF638EC6"/>
      </dataBar>
      <extLst>
        <ext xmlns:x14="http://schemas.microsoft.com/office/spreadsheetml/2009/9/main" uri="{B025F937-C7B1-47D3-B67F-A62EFF666E3E}">
          <x14:id>{524C5FA2-7EDD-8249-8D6D-3E879E4D5011}</x14:id>
        </ext>
      </extLst>
    </cfRule>
  </conditionalFormatting>
  <conditionalFormatting sqref="M42">
    <cfRule type="dataBar" priority="907">
      <dataBar>
        <cfvo type="min"/>
        <cfvo type="max"/>
        <color rgb="FF638EC6"/>
      </dataBar>
      <extLst>
        <ext xmlns:x14="http://schemas.microsoft.com/office/spreadsheetml/2009/9/main" uri="{B025F937-C7B1-47D3-B67F-A62EFF666E3E}">
          <x14:id>{E932AA6F-185C-944F-B41D-578F2FDC9242}</x14:id>
        </ext>
      </extLst>
    </cfRule>
  </conditionalFormatting>
  <conditionalFormatting sqref="N41">
    <cfRule type="colorScale" priority="906">
      <colorScale>
        <cfvo type="min"/>
        <cfvo type="percentile" val="50"/>
        <cfvo type="max"/>
        <color rgb="FF63BE7B"/>
        <color rgb="FFFFEB84"/>
        <color rgb="FFF8696B"/>
      </colorScale>
    </cfRule>
  </conditionalFormatting>
  <conditionalFormatting sqref="N41">
    <cfRule type="dataBar" priority="905">
      <dataBar>
        <cfvo type="min"/>
        <cfvo type="max"/>
        <color rgb="FF638EC6"/>
      </dataBar>
      <extLst>
        <ext xmlns:x14="http://schemas.microsoft.com/office/spreadsheetml/2009/9/main" uri="{B025F937-C7B1-47D3-B67F-A62EFF666E3E}">
          <x14:id>{A5169BCD-B7E6-5C4D-A9B5-4EE58950A3F3}</x14:id>
        </ext>
      </extLst>
    </cfRule>
  </conditionalFormatting>
  <conditionalFormatting sqref="O40">
    <cfRule type="colorScale" priority="904">
      <colorScale>
        <cfvo type="min"/>
        <cfvo type="percentile" val="50"/>
        <cfvo type="max"/>
        <color rgb="FF63BE7B"/>
        <color rgb="FFFFEB84"/>
        <color rgb="FFF8696B"/>
      </colorScale>
    </cfRule>
  </conditionalFormatting>
  <conditionalFormatting sqref="O40">
    <cfRule type="dataBar" priority="903">
      <dataBar>
        <cfvo type="min"/>
        <cfvo type="max"/>
        <color rgb="FF638EC6"/>
      </dataBar>
      <extLst>
        <ext xmlns:x14="http://schemas.microsoft.com/office/spreadsheetml/2009/9/main" uri="{B025F937-C7B1-47D3-B67F-A62EFF666E3E}">
          <x14:id>{5FFCEBC9-0157-4747-A8AA-DA94F614EFC4}</x14:id>
        </ext>
      </extLst>
    </cfRule>
  </conditionalFormatting>
  <conditionalFormatting sqref="P39">
    <cfRule type="colorScale" priority="902">
      <colorScale>
        <cfvo type="min"/>
        <cfvo type="percentile" val="50"/>
        <cfvo type="max"/>
        <color rgb="FF63BE7B"/>
        <color rgb="FFFFEB84"/>
        <color rgb="FFF8696B"/>
      </colorScale>
    </cfRule>
  </conditionalFormatting>
  <conditionalFormatting sqref="P39">
    <cfRule type="dataBar" priority="901">
      <dataBar>
        <cfvo type="min"/>
        <cfvo type="max"/>
        <color rgb="FF638EC6"/>
      </dataBar>
      <extLst>
        <ext xmlns:x14="http://schemas.microsoft.com/office/spreadsheetml/2009/9/main" uri="{B025F937-C7B1-47D3-B67F-A62EFF666E3E}">
          <x14:id>{4022198C-693A-FA45-9D42-AA0B8CE00E73}</x14:id>
        </ext>
      </extLst>
    </cfRule>
  </conditionalFormatting>
  <conditionalFormatting sqref="Q38">
    <cfRule type="colorScale" priority="900">
      <colorScale>
        <cfvo type="min"/>
        <cfvo type="percentile" val="50"/>
        <cfvo type="max"/>
        <color rgb="FF63BE7B"/>
        <color rgb="FFFFEB84"/>
        <color rgb="FFF8696B"/>
      </colorScale>
    </cfRule>
  </conditionalFormatting>
  <conditionalFormatting sqref="Q38">
    <cfRule type="dataBar" priority="899">
      <dataBar>
        <cfvo type="min"/>
        <cfvo type="max"/>
        <color rgb="FF638EC6"/>
      </dataBar>
      <extLst>
        <ext xmlns:x14="http://schemas.microsoft.com/office/spreadsheetml/2009/9/main" uri="{B025F937-C7B1-47D3-B67F-A62EFF666E3E}">
          <x14:id>{F6D3B90D-5E8C-7846-B79D-8BD2EE7E1A15}</x14:id>
        </ext>
      </extLst>
    </cfRule>
  </conditionalFormatting>
  <conditionalFormatting sqref="R37">
    <cfRule type="colorScale" priority="898">
      <colorScale>
        <cfvo type="min"/>
        <cfvo type="percentile" val="50"/>
        <cfvo type="max"/>
        <color rgb="FF63BE7B"/>
        <color rgb="FFFFEB84"/>
        <color rgb="FFF8696B"/>
      </colorScale>
    </cfRule>
  </conditionalFormatting>
  <conditionalFormatting sqref="R37">
    <cfRule type="dataBar" priority="897">
      <dataBar>
        <cfvo type="min"/>
        <cfvo type="max"/>
        <color rgb="FF638EC6"/>
      </dataBar>
      <extLst>
        <ext xmlns:x14="http://schemas.microsoft.com/office/spreadsheetml/2009/9/main" uri="{B025F937-C7B1-47D3-B67F-A62EFF666E3E}">
          <x14:id>{4FA1A476-6DE3-5F47-8AD7-FC47F78509D7}</x14:id>
        </ext>
      </extLst>
    </cfRule>
  </conditionalFormatting>
  <conditionalFormatting sqref="S36">
    <cfRule type="colorScale" priority="896">
      <colorScale>
        <cfvo type="min"/>
        <cfvo type="percentile" val="50"/>
        <cfvo type="max"/>
        <color rgb="FF63BE7B"/>
        <color rgb="FFFFEB84"/>
        <color rgb="FFF8696B"/>
      </colorScale>
    </cfRule>
  </conditionalFormatting>
  <conditionalFormatting sqref="S36">
    <cfRule type="dataBar" priority="895">
      <dataBar>
        <cfvo type="min"/>
        <cfvo type="max"/>
        <color rgb="FF638EC6"/>
      </dataBar>
      <extLst>
        <ext xmlns:x14="http://schemas.microsoft.com/office/spreadsheetml/2009/9/main" uri="{B025F937-C7B1-47D3-B67F-A62EFF666E3E}">
          <x14:id>{3105413A-F6C1-7145-AC99-E3A73392AA7C}</x14:id>
        </ext>
      </extLst>
    </cfRule>
  </conditionalFormatting>
  <conditionalFormatting sqref="T35">
    <cfRule type="colorScale" priority="894">
      <colorScale>
        <cfvo type="min"/>
        <cfvo type="percentile" val="50"/>
        <cfvo type="max"/>
        <color rgb="FF63BE7B"/>
        <color rgb="FFFFEB84"/>
        <color rgb="FFF8696B"/>
      </colorScale>
    </cfRule>
  </conditionalFormatting>
  <conditionalFormatting sqref="T35">
    <cfRule type="dataBar" priority="893">
      <dataBar>
        <cfvo type="min"/>
        <cfvo type="max"/>
        <color rgb="FF638EC6"/>
      </dataBar>
      <extLst>
        <ext xmlns:x14="http://schemas.microsoft.com/office/spreadsheetml/2009/9/main" uri="{B025F937-C7B1-47D3-B67F-A62EFF666E3E}">
          <x14:id>{286FB47E-ED0E-8D49-A05C-7515331DDE36}</x14:id>
        </ext>
      </extLst>
    </cfRule>
  </conditionalFormatting>
  <conditionalFormatting sqref="U34">
    <cfRule type="colorScale" priority="892">
      <colorScale>
        <cfvo type="min"/>
        <cfvo type="percentile" val="50"/>
        <cfvo type="max"/>
        <color rgb="FF63BE7B"/>
        <color rgb="FFFFEB84"/>
        <color rgb="FFF8696B"/>
      </colorScale>
    </cfRule>
  </conditionalFormatting>
  <conditionalFormatting sqref="U34">
    <cfRule type="dataBar" priority="891">
      <dataBar>
        <cfvo type="min"/>
        <cfvo type="max"/>
        <color rgb="FF638EC6"/>
      </dataBar>
      <extLst>
        <ext xmlns:x14="http://schemas.microsoft.com/office/spreadsheetml/2009/9/main" uri="{B025F937-C7B1-47D3-B67F-A62EFF666E3E}">
          <x14:id>{8CAAA747-22FD-0B46-8DD9-8CCCFBF1B533}</x14:id>
        </ext>
      </extLst>
    </cfRule>
  </conditionalFormatting>
  <conditionalFormatting sqref="V33">
    <cfRule type="colorScale" priority="890">
      <colorScale>
        <cfvo type="min"/>
        <cfvo type="percentile" val="50"/>
        <cfvo type="max"/>
        <color rgb="FF63BE7B"/>
        <color rgb="FFFFEB84"/>
        <color rgb="FFF8696B"/>
      </colorScale>
    </cfRule>
  </conditionalFormatting>
  <conditionalFormatting sqref="V33">
    <cfRule type="dataBar" priority="889">
      <dataBar>
        <cfvo type="min"/>
        <cfvo type="max"/>
        <color rgb="FF638EC6"/>
      </dataBar>
      <extLst>
        <ext xmlns:x14="http://schemas.microsoft.com/office/spreadsheetml/2009/9/main" uri="{B025F937-C7B1-47D3-B67F-A62EFF666E3E}">
          <x14:id>{9D6E55C9-8F78-5D4A-97AB-AAF21F601B4D}</x14:id>
        </ext>
      </extLst>
    </cfRule>
  </conditionalFormatting>
  <conditionalFormatting sqref="W32">
    <cfRule type="colorScale" priority="888">
      <colorScale>
        <cfvo type="min"/>
        <cfvo type="percentile" val="50"/>
        <cfvo type="max"/>
        <color rgb="FF63BE7B"/>
        <color rgb="FFFFEB84"/>
        <color rgb="FFF8696B"/>
      </colorScale>
    </cfRule>
  </conditionalFormatting>
  <conditionalFormatting sqref="W32">
    <cfRule type="dataBar" priority="887">
      <dataBar>
        <cfvo type="min"/>
        <cfvo type="max"/>
        <color rgb="FF638EC6"/>
      </dataBar>
      <extLst>
        <ext xmlns:x14="http://schemas.microsoft.com/office/spreadsheetml/2009/9/main" uri="{B025F937-C7B1-47D3-B67F-A62EFF666E3E}">
          <x14:id>{B55B5400-1058-D842-B038-335F4BAAF8F2}</x14:id>
        </ext>
      </extLst>
    </cfRule>
  </conditionalFormatting>
  <conditionalFormatting sqref="X31">
    <cfRule type="colorScale" priority="886">
      <colorScale>
        <cfvo type="min"/>
        <cfvo type="percentile" val="50"/>
        <cfvo type="max"/>
        <color rgb="FF63BE7B"/>
        <color rgb="FFFFEB84"/>
        <color rgb="FFF8696B"/>
      </colorScale>
    </cfRule>
  </conditionalFormatting>
  <conditionalFormatting sqref="X31">
    <cfRule type="dataBar" priority="885">
      <dataBar>
        <cfvo type="min"/>
        <cfvo type="max"/>
        <color rgb="FF638EC6"/>
      </dataBar>
      <extLst>
        <ext xmlns:x14="http://schemas.microsoft.com/office/spreadsheetml/2009/9/main" uri="{B025F937-C7B1-47D3-B67F-A62EFF666E3E}">
          <x14:id>{E243BA84-AC1F-7848-9A35-77F99C9E29B5}</x14:id>
        </ext>
      </extLst>
    </cfRule>
  </conditionalFormatting>
  <conditionalFormatting sqref="Y30">
    <cfRule type="colorScale" priority="884">
      <colorScale>
        <cfvo type="min"/>
        <cfvo type="percentile" val="50"/>
        <cfvo type="max"/>
        <color rgb="FF63BE7B"/>
        <color rgb="FFFFEB84"/>
        <color rgb="FFF8696B"/>
      </colorScale>
    </cfRule>
  </conditionalFormatting>
  <conditionalFormatting sqref="Y30">
    <cfRule type="dataBar" priority="883">
      <dataBar>
        <cfvo type="min"/>
        <cfvo type="max"/>
        <color rgb="FF638EC6"/>
      </dataBar>
      <extLst>
        <ext xmlns:x14="http://schemas.microsoft.com/office/spreadsheetml/2009/9/main" uri="{B025F937-C7B1-47D3-B67F-A62EFF666E3E}">
          <x14:id>{930B3F24-3D4F-4043-9195-CF318DF21D27}</x14:id>
        </ext>
      </extLst>
    </cfRule>
  </conditionalFormatting>
  <conditionalFormatting sqref="Z29">
    <cfRule type="colorScale" priority="882">
      <colorScale>
        <cfvo type="min"/>
        <cfvo type="percentile" val="50"/>
        <cfvo type="max"/>
        <color rgb="FF63BE7B"/>
        <color rgb="FFFFEB84"/>
        <color rgb="FFF8696B"/>
      </colorScale>
    </cfRule>
  </conditionalFormatting>
  <conditionalFormatting sqref="Z29">
    <cfRule type="dataBar" priority="881">
      <dataBar>
        <cfvo type="min"/>
        <cfvo type="max"/>
        <color rgb="FF638EC6"/>
      </dataBar>
      <extLst>
        <ext xmlns:x14="http://schemas.microsoft.com/office/spreadsheetml/2009/9/main" uri="{B025F937-C7B1-47D3-B67F-A62EFF666E3E}">
          <x14:id>{540FFCB0-825D-C54A-BD20-107EDF53B15F}</x14:id>
        </ext>
      </extLst>
    </cfRule>
  </conditionalFormatting>
  <conditionalFormatting sqref="AA28">
    <cfRule type="colorScale" priority="880">
      <colorScale>
        <cfvo type="min"/>
        <cfvo type="percentile" val="50"/>
        <cfvo type="max"/>
        <color rgb="FF63BE7B"/>
        <color rgb="FFFFEB84"/>
        <color rgb="FFF8696B"/>
      </colorScale>
    </cfRule>
  </conditionalFormatting>
  <conditionalFormatting sqref="AA28">
    <cfRule type="dataBar" priority="879">
      <dataBar>
        <cfvo type="min"/>
        <cfvo type="max"/>
        <color rgb="FF638EC6"/>
      </dataBar>
      <extLst>
        <ext xmlns:x14="http://schemas.microsoft.com/office/spreadsheetml/2009/9/main" uri="{B025F937-C7B1-47D3-B67F-A62EFF666E3E}">
          <x14:id>{090A23E6-1677-1D47-889E-AF108E0D538B}</x14:id>
        </ext>
      </extLst>
    </cfRule>
  </conditionalFormatting>
  <conditionalFormatting sqref="AB27">
    <cfRule type="colorScale" priority="878">
      <colorScale>
        <cfvo type="min"/>
        <cfvo type="percentile" val="50"/>
        <cfvo type="max"/>
        <color rgb="FF63BE7B"/>
        <color rgb="FFFFEB84"/>
        <color rgb="FFF8696B"/>
      </colorScale>
    </cfRule>
  </conditionalFormatting>
  <conditionalFormatting sqref="AB27">
    <cfRule type="dataBar" priority="877">
      <dataBar>
        <cfvo type="min"/>
        <cfvo type="max"/>
        <color rgb="FF638EC6"/>
      </dataBar>
      <extLst>
        <ext xmlns:x14="http://schemas.microsoft.com/office/spreadsheetml/2009/9/main" uri="{B025F937-C7B1-47D3-B67F-A62EFF666E3E}">
          <x14:id>{6897E50C-8EE8-1E40-A84A-024EE32199D3}</x14:id>
        </ext>
      </extLst>
    </cfRule>
  </conditionalFormatting>
  <conditionalFormatting sqref="AC26">
    <cfRule type="colorScale" priority="876">
      <colorScale>
        <cfvo type="min"/>
        <cfvo type="percentile" val="50"/>
        <cfvo type="max"/>
        <color rgb="FF63BE7B"/>
        <color rgb="FFFFEB84"/>
        <color rgb="FFF8696B"/>
      </colorScale>
    </cfRule>
  </conditionalFormatting>
  <conditionalFormatting sqref="AC26">
    <cfRule type="dataBar" priority="875">
      <dataBar>
        <cfvo type="min"/>
        <cfvo type="max"/>
        <color rgb="FF638EC6"/>
      </dataBar>
      <extLst>
        <ext xmlns:x14="http://schemas.microsoft.com/office/spreadsheetml/2009/9/main" uri="{B025F937-C7B1-47D3-B67F-A62EFF666E3E}">
          <x14:id>{B8B5B67F-89B0-BC48-8994-AC422C34EDC9}</x14:id>
        </ext>
      </extLst>
    </cfRule>
  </conditionalFormatting>
  <conditionalFormatting sqref="AD25">
    <cfRule type="colorScale" priority="874">
      <colorScale>
        <cfvo type="min"/>
        <cfvo type="percentile" val="50"/>
        <cfvo type="max"/>
        <color rgb="FF63BE7B"/>
        <color rgb="FFFFEB84"/>
        <color rgb="FFF8696B"/>
      </colorScale>
    </cfRule>
  </conditionalFormatting>
  <conditionalFormatting sqref="AD25">
    <cfRule type="dataBar" priority="873">
      <dataBar>
        <cfvo type="min"/>
        <cfvo type="max"/>
        <color rgb="FF638EC6"/>
      </dataBar>
      <extLst>
        <ext xmlns:x14="http://schemas.microsoft.com/office/spreadsheetml/2009/9/main" uri="{B025F937-C7B1-47D3-B67F-A62EFF666E3E}">
          <x14:id>{023958AD-C496-7341-9FA1-1B681FE2166E}</x14:id>
        </ext>
      </extLst>
    </cfRule>
  </conditionalFormatting>
  <conditionalFormatting sqref="M44">
    <cfRule type="dataBar" priority="872">
      <dataBar>
        <cfvo type="min"/>
        <cfvo type="max"/>
        <color rgb="FF638EC6"/>
      </dataBar>
      <extLst>
        <ext xmlns:x14="http://schemas.microsoft.com/office/spreadsheetml/2009/9/main" uri="{B025F937-C7B1-47D3-B67F-A62EFF666E3E}">
          <x14:id>{1C932EF5-8C96-DB44-BA95-1E9F72524912}</x14:id>
        </ext>
      </extLst>
    </cfRule>
  </conditionalFormatting>
  <conditionalFormatting sqref="N43">
    <cfRule type="colorScale" priority="871">
      <colorScale>
        <cfvo type="min"/>
        <cfvo type="percentile" val="50"/>
        <cfvo type="max"/>
        <color rgb="FF63BE7B"/>
        <color rgb="FFFFEB84"/>
        <color rgb="FFF8696B"/>
      </colorScale>
    </cfRule>
  </conditionalFormatting>
  <conditionalFormatting sqref="N43">
    <cfRule type="dataBar" priority="870">
      <dataBar>
        <cfvo type="min"/>
        <cfvo type="max"/>
        <color rgb="FF638EC6"/>
      </dataBar>
      <extLst>
        <ext xmlns:x14="http://schemas.microsoft.com/office/spreadsheetml/2009/9/main" uri="{B025F937-C7B1-47D3-B67F-A62EFF666E3E}">
          <x14:id>{A604C388-FC89-6945-BF4E-C07F75400E77}</x14:id>
        </ext>
      </extLst>
    </cfRule>
  </conditionalFormatting>
  <conditionalFormatting sqref="O42">
    <cfRule type="colorScale" priority="869">
      <colorScale>
        <cfvo type="min"/>
        <cfvo type="percentile" val="50"/>
        <cfvo type="max"/>
        <color rgb="FF63BE7B"/>
        <color rgb="FFFFEB84"/>
        <color rgb="FFF8696B"/>
      </colorScale>
    </cfRule>
  </conditionalFormatting>
  <conditionalFormatting sqref="O42">
    <cfRule type="dataBar" priority="868">
      <dataBar>
        <cfvo type="min"/>
        <cfvo type="max"/>
        <color rgb="FF638EC6"/>
      </dataBar>
      <extLst>
        <ext xmlns:x14="http://schemas.microsoft.com/office/spreadsheetml/2009/9/main" uri="{B025F937-C7B1-47D3-B67F-A62EFF666E3E}">
          <x14:id>{0C186F10-A5B5-854C-91FB-5A72BBF8670B}</x14:id>
        </ext>
      </extLst>
    </cfRule>
  </conditionalFormatting>
  <conditionalFormatting sqref="P41">
    <cfRule type="colorScale" priority="867">
      <colorScale>
        <cfvo type="min"/>
        <cfvo type="percentile" val="50"/>
        <cfvo type="max"/>
        <color rgb="FF63BE7B"/>
        <color rgb="FFFFEB84"/>
        <color rgb="FFF8696B"/>
      </colorScale>
    </cfRule>
  </conditionalFormatting>
  <conditionalFormatting sqref="P41">
    <cfRule type="dataBar" priority="866">
      <dataBar>
        <cfvo type="min"/>
        <cfvo type="max"/>
        <color rgb="FF638EC6"/>
      </dataBar>
      <extLst>
        <ext xmlns:x14="http://schemas.microsoft.com/office/spreadsheetml/2009/9/main" uri="{B025F937-C7B1-47D3-B67F-A62EFF666E3E}">
          <x14:id>{0E7A954C-1580-484F-A26D-18A44FF945EE}</x14:id>
        </ext>
      </extLst>
    </cfRule>
  </conditionalFormatting>
  <conditionalFormatting sqref="Q40">
    <cfRule type="colorScale" priority="865">
      <colorScale>
        <cfvo type="min"/>
        <cfvo type="percentile" val="50"/>
        <cfvo type="max"/>
        <color rgb="FF63BE7B"/>
        <color rgb="FFFFEB84"/>
        <color rgb="FFF8696B"/>
      </colorScale>
    </cfRule>
  </conditionalFormatting>
  <conditionalFormatting sqref="Q40">
    <cfRule type="dataBar" priority="864">
      <dataBar>
        <cfvo type="min"/>
        <cfvo type="max"/>
        <color rgb="FF638EC6"/>
      </dataBar>
      <extLst>
        <ext xmlns:x14="http://schemas.microsoft.com/office/spreadsheetml/2009/9/main" uri="{B025F937-C7B1-47D3-B67F-A62EFF666E3E}">
          <x14:id>{C2117914-FADF-7348-89F5-64B167404850}</x14:id>
        </ext>
      </extLst>
    </cfRule>
  </conditionalFormatting>
  <conditionalFormatting sqref="R39">
    <cfRule type="colorScale" priority="863">
      <colorScale>
        <cfvo type="min"/>
        <cfvo type="percentile" val="50"/>
        <cfvo type="max"/>
        <color rgb="FF63BE7B"/>
        <color rgb="FFFFEB84"/>
        <color rgb="FFF8696B"/>
      </colorScale>
    </cfRule>
  </conditionalFormatting>
  <conditionalFormatting sqref="R39">
    <cfRule type="dataBar" priority="862">
      <dataBar>
        <cfvo type="min"/>
        <cfvo type="max"/>
        <color rgb="FF638EC6"/>
      </dataBar>
      <extLst>
        <ext xmlns:x14="http://schemas.microsoft.com/office/spreadsheetml/2009/9/main" uri="{B025F937-C7B1-47D3-B67F-A62EFF666E3E}">
          <x14:id>{5C261951-AFB2-D445-BF27-DB36580308BF}</x14:id>
        </ext>
      </extLst>
    </cfRule>
  </conditionalFormatting>
  <conditionalFormatting sqref="S38">
    <cfRule type="colorScale" priority="861">
      <colorScale>
        <cfvo type="min"/>
        <cfvo type="percentile" val="50"/>
        <cfvo type="max"/>
        <color rgb="FF63BE7B"/>
        <color rgb="FFFFEB84"/>
        <color rgb="FFF8696B"/>
      </colorScale>
    </cfRule>
  </conditionalFormatting>
  <conditionalFormatting sqref="S38">
    <cfRule type="dataBar" priority="860">
      <dataBar>
        <cfvo type="min"/>
        <cfvo type="max"/>
        <color rgb="FF638EC6"/>
      </dataBar>
      <extLst>
        <ext xmlns:x14="http://schemas.microsoft.com/office/spreadsheetml/2009/9/main" uri="{B025F937-C7B1-47D3-B67F-A62EFF666E3E}">
          <x14:id>{74829E08-7E39-6747-9B45-332876F70551}</x14:id>
        </ext>
      </extLst>
    </cfRule>
  </conditionalFormatting>
  <conditionalFormatting sqref="T37">
    <cfRule type="colorScale" priority="859">
      <colorScale>
        <cfvo type="min"/>
        <cfvo type="percentile" val="50"/>
        <cfvo type="max"/>
        <color rgb="FF63BE7B"/>
        <color rgb="FFFFEB84"/>
        <color rgb="FFF8696B"/>
      </colorScale>
    </cfRule>
  </conditionalFormatting>
  <conditionalFormatting sqref="T37">
    <cfRule type="dataBar" priority="858">
      <dataBar>
        <cfvo type="min"/>
        <cfvo type="max"/>
        <color rgb="FF638EC6"/>
      </dataBar>
      <extLst>
        <ext xmlns:x14="http://schemas.microsoft.com/office/spreadsheetml/2009/9/main" uri="{B025F937-C7B1-47D3-B67F-A62EFF666E3E}">
          <x14:id>{A2B01208-99E5-E44A-B868-11BEF90084FA}</x14:id>
        </ext>
      </extLst>
    </cfRule>
  </conditionalFormatting>
  <conditionalFormatting sqref="U36">
    <cfRule type="colorScale" priority="857">
      <colorScale>
        <cfvo type="min"/>
        <cfvo type="percentile" val="50"/>
        <cfvo type="max"/>
        <color rgb="FF63BE7B"/>
        <color rgb="FFFFEB84"/>
        <color rgb="FFF8696B"/>
      </colorScale>
    </cfRule>
  </conditionalFormatting>
  <conditionalFormatting sqref="U36">
    <cfRule type="dataBar" priority="856">
      <dataBar>
        <cfvo type="min"/>
        <cfvo type="max"/>
        <color rgb="FF638EC6"/>
      </dataBar>
      <extLst>
        <ext xmlns:x14="http://schemas.microsoft.com/office/spreadsheetml/2009/9/main" uri="{B025F937-C7B1-47D3-B67F-A62EFF666E3E}">
          <x14:id>{162D6368-802B-F34F-9C8B-9AC886ED176C}</x14:id>
        </ext>
      </extLst>
    </cfRule>
  </conditionalFormatting>
  <conditionalFormatting sqref="V35">
    <cfRule type="colorScale" priority="855">
      <colorScale>
        <cfvo type="min"/>
        <cfvo type="percentile" val="50"/>
        <cfvo type="max"/>
        <color rgb="FF63BE7B"/>
        <color rgb="FFFFEB84"/>
        <color rgb="FFF8696B"/>
      </colorScale>
    </cfRule>
  </conditionalFormatting>
  <conditionalFormatting sqref="V35">
    <cfRule type="dataBar" priority="854">
      <dataBar>
        <cfvo type="min"/>
        <cfvo type="max"/>
        <color rgb="FF638EC6"/>
      </dataBar>
      <extLst>
        <ext xmlns:x14="http://schemas.microsoft.com/office/spreadsheetml/2009/9/main" uri="{B025F937-C7B1-47D3-B67F-A62EFF666E3E}">
          <x14:id>{91F03EC0-71CD-654C-9B05-861B396DCC90}</x14:id>
        </ext>
      </extLst>
    </cfRule>
  </conditionalFormatting>
  <conditionalFormatting sqref="W34">
    <cfRule type="colorScale" priority="853">
      <colorScale>
        <cfvo type="min"/>
        <cfvo type="percentile" val="50"/>
        <cfvo type="max"/>
        <color rgb="FF63BE7B"/>
        <color rgb="FFFFEB84"/>
        <color rgb="FFF8696B"/>
      </colorScale>
    </cfRule>
  </conditionalFormatting>
  <conditionalFormatting sqref="W34">
    <cfRule type="dataBar" priority="852">
      <dataBar>
        <cfvo type="min"/>
        <cfvo type="max"/>
        <color rgb="FF638EC6"/>
      </dataBar>
      <extLst>
        <ext xmlns:x14="http://schemas.microsoft.com/office/spreadsheetml/2009/9/main" uri="{B025F937-C7B1-47D3-B67F-A62EFF666E3E}">
          <x14:id>{3D7368FD-075B-FC4B-82D8-0A261D69167D}</x14:id>
        </ext>
      </extLst>
    </cfRule>
  </conditionalFormatting>
  <conditionalFormatting sqref="X33">
    <cfRule type="colorScale" priority="851">
      <colorScale>
        <cfvo type="min"/>
        <cfvo type="percentile" val="50"/>
        <cfvo type="max"/>
        <color rgb="FF63BE7B"/>
        <color rgb="FFFFEB84"/>
        <color rgb="FFF8696B"/>
      </colorScale>
    </cfRule>
  </conditionalFormatting>
  <conditionalFormatting sqref="X33">
    <cfRule type="dataBar" priority="850">
      <dataBar>
        <cfvo type="min"/>
        <cfvo type="max"/>
        <color rgb="FF638EC6"/>
      </dataBar>
      <extLst>
        <ext xmlns:x14="http://schemas.microsoft.com/office/spreadsheetml/2009/9/main" uri="{B025F937-C7B1-47D3-B67F-A62EFF666E3E}">
          <x14:id>{73B8467E-C4A4-2B49-836F-103AFD52C856}</x14:id>
        </ext>
      </extLst>
    </cfRule>
  </conditionalFormatting>
  <conditionalFormatting sqref="Y32">
    <cfRule type="colorScale" priority="849">
      <colorScale>
        <cfvo type="min"/>
        <cfvo type="percentile" val="50"/>
        <cfvo type="max"/>
        <color rgb="FF63BE7B"/>
        <color rgb="FFFFEB84"/>
        <color rgb="FFF8696B"/>
      </colorScale>
    </cfRule>
  </conditionalFormatting>
  <conditionalFormatting sqref="Y32">
    <cfRule type="dataBar" priority="848">
      <dataBar>
        <cfvo type="min"/>
        <cfvo type="max"/>
        <color rgb="FF638EC6"/>
      </dataBar>
      <extLst>
        <ext xmlns:x14="http://schemas.microsoft.com/office/spreadsheetml/2009/9/main" uri="{B025F937-C7B1-47D3-B67F-A62EFF666E3E}">
          <x14:id>{60465D59-189E-974A-BF9D-F551C5531BD5}</x14:id>
        </ext>
      </extLst>
    </cfRule>
  </conditionalFormatting>
  <conditionalFormatting sqref="Z31">
    <cfRule type="colorScale" priority="847">
      <colorScale>
        <cfvo type="min"/>
        <cfvo type="percentile" val="50"/>
        <cfvo type="max"/>
        <color rgb="FF63BE7B"/>
        <color rgb="FFFFEB84"/>
        <color rgb="FFF8696B"/>
      </colorScale>
    </cfRule>
  </conditionalFormatting>
  <conditionalFormatting sqref="Z31">
    <cfRule type="dataBar" priority="846">
      <dataBar>
        <cfvo type="min"/>
        <cfvo type="max"/>
        <color rgb="FF638EC6"/>
      </dataBar>
      <extLst>
        <ext xmlns:x14="http://schemas.microsoft.com/office/spreadsheetml/2009/9/main" uri="{B025F937-C7B1-47D3-B67F-A62EFF666E3E}">
          <x14:id>{71705431-F1A3-444A-B63F-81B4C535A36B}</x14:id>
        </ext>
      </extLst>
    </cfRule>
  </conditionalFormatting>
  <conditionalFormatting sqref="AA30">
    <cfRule type="colorScale" priority="845">
      <colorScale>
        <cfvo type="min"/>
        <cfvo type="percentile" val="50"/>
        <cfvo type="max"/>
        <color rgb="FF63BE7B"/>
        <color rgb="FFFFEB84"/>
        <color rgb="FFF8696B"/>
      </colorScale>
    </cfRule>
  </conditionalFormatting>
  <conditionalFormatting sqref="AA30">
    <cfRule type="dataBar" priority="844">
      <dataBar>
        <cfvo type="min"/>
        <cfvo type="max"/>
        <color rgb="FF638EC6"/>
      </dataBar>
      <extLst>
        <ext xmlns:x14="http://schemas.microsoft.com/office/spreadsheetml/2009/9/main" uri="{B025F937-C7B1-47D3-B67F-A62EFF666E3E}">
          <x14:id>{FBE6E63F-50F8-574C-B23F-3F3AE25B84FA}</x14:id>
        </ext>
      </extLst>
    </cfRule>
  </conditionalFormatting>
  <conditionalFormatting sqref="AB29">
    <cfRule type="colorScale" priority="843">
      <colorScale>
        <cfvo type="min"/>
        <cfvo type="percentile" val="50"/>
        <cfvo type="max"/>
        <color rgb="FF63BE7B"/>
        <color rgb="FFFFEB84"/>
        <color rgb="FFF8696B"/>
      </colorScale>
    </cfRule>
  </conditionalFormatting>
  <conditionalFormatting sqref="AB29">
    <cfRule type="dataBar" priority="842">
      <dataBar>
        <cfvo type="min"/>
        <cfvo type="max"/>
        <color rgb="FF638EC6"/>
      </dataBar>
      <extLst>
        <ext xmlns:x14="http://schemas.microsoft.com/office/spreadsheetml/2009/9/main" uri="{B025F937-C7B1-47D3-B67F-A62EFF666E3E}">
          <x14:id>{F206ABBD-9259-DF40-8BBF-58121664B3DB}</x14:id>
        </ext>
      </extLst>
    </cfRule>
  </conditionalFormatting>
  <conditionalFormatting sqref="AC28">
    <cfRule type="colorScale" priority="841">
      <colorScale>
        <cfvo type="min"/>
        <cfvo type="percentile" val="50"/>
        <cfvo type="max"/>
        <color rgb="FF63BE7B"/>
        <color rgb="FFFFEB84"/>
        <color rgb="FFF8696B"/>
      </colorScale>
    </cfRule>
  </conditionalFormatting>
  <conditionalFormatting sqref="AC28">
    <cfRule type="dataBar" priority="840">
      <dataBar>
        <cfvo type="min"/>
        <cfvo type="max"/>
        <color rgb="FF638EC6"/>
      </dataBar>
      <extLst>
        <ext xmlns:x14="http://schemas.microsoft.com/office/spreadsheetml/2009/9/main" uri="{B025F937-C7B1-47D3-B67F-A62EFF666E3E}">
          <x14:id>{A3ADCBFE-85E1-B249-AD82-3A50634DB499}</x14:id>
        </ext>
      </extLst>
    </cfRule>
  </conditionalFormatting>
  <conditionalFormatting sqref="AD27">
    <cfRule type="colorScale" priority="839">
      <colorScale>
        <cfvo type="min"/>
        <cfvo type="percentile" val="50"/>
        <cfvo type="max"/>
        <color rgb="FF63BE7B"/>
        <color rgb="FFFFEB84"/>
        <color rgb="FFF8696B"/>
      </colorScale>
    </cfRule>
  </conditionalFormatting>
  <conditionalFormatting sqref="AD27">
    <cfRule type="dataBar" priority="838">
      <dataBar>
        <cfvo type="min"/>
        <cfvo type="max"/>
        <color rgb="FF638EC6"/>
      </dataBar>
      <extLst>
        <ext xmlns:x14="http://schemas.microsoft.com/office/spreadsheetml/2009/9/main" uri="{B025F937-C7B1-47D3-B67F-A62EFF666E3E}">
          <x14:id>{66FFB3B6-59D6-4048-8FBB-3EB26CC553B6}</x14:id>
        </ext>
      </extLst>
    </cfRule>
  </conditionalFormatting>
  <conditionalFormatting sqref="M46">
    <cfRule type="dataBar" priority="837">
      <dataBar>
        <cfvo type="min"/>
        <cfvo type="max"/>
        <color rgb="FF638EC6"/>
      </dataBar>
      <extLst>
        <ext xmlns:x14="http://schemas.microsoft.com/office/spreadsheetml/2009/9/main" uri="{B025F937-C7B1-47D3-B67F-A62EFF666E3E}">
          <x14:id>{0E3A1BAC-CB10-0E43-9482-6FF5D8589832}</x14:id>
        </ext>
      </extLst>
    </cfRule>
  </conditionalFormatting>
  <conditionalFormatting sqref="N45">
    <cfRule type="colorScale" priority="836">
      <colorScale>
        <cfvo type="min"/>
        <cfvo type="percentile" val="50"/>
        <cfvo type="max"/>
        <color rgb="FF63BE7B"/>
        <color rgb="FFFFEB84"/>
        <color rgb="FFF8696B"/>
      </colorScale>
    </cfRule>
  </conditionalFormatting>
  <conditionalFormatting sqref="N45">
    <cfRule type="dataBar" priority="835">
      <dataBar>
        <cfvo type="min"/>
        <cfvo type="max"/>
        <color rgb="FF638EC6"/>
      </dataBar>
      <extLst>
        <ext xmlns:x14="http://schemas.microsoft.com/office/spreadsheetml/2009/9/main" uri="{B025F937-C7B1-47D3-B67F-A62EFF666E3E}">
          <x14:id>{70E8F8EC-56F6-1B4A-BBB5-125D043E814A}</x14:id>
        </ext>
      </extLst>
    </cfRule>
  </conditionalFormatting>
  <conditionalFormatting sqref="O44">
    <cfRule type="colorScale" priority="834">
      <colorScale>
        <cfvo type="min"/>
        <cfvo type="percentile" val="50"/>
        <cfvo type="max"/>
        <color rgb="FF63BE7B"/>
        <color rgb="FFFFEB84"/>
        <color rgb="FFF8696B"/>
      </colorScale>
    </cfRule>
  </conditionalFormatting>
  <conditionalFormatting sqref="O44">
    <cfRule type="dataBar" priority="833">
      <dataBar>
        <cfvo type="min"/>
        <cfvo type="max"/>
        <color rgb="FF638EC6"/>
      </dataBar>
      <extLst>
        <ext xmlns:x14="http://schemas.microsoft.com/office/spreadsheetml/2009/9/main" uri="{B025F937-C7B1-47D3-B67F-A62EFF666E3E}">
          <x14:id>{F4238492-4615-8F45-89ED-72B470441080}</x14:id>
        </ext>
      </extLst>
    </cfRule>
  </conditionalFormatting>
  <conditionalFormatting sqref="P43">
    <cfRule type="colorScale" priority="832">
      <colorScale>
        <cfvo type="min"/>
        <cfvo type="percentile" val="50"/>
        <cfvo type="max"/>
        <color rgb="FF63BE7B"/>
        <color rgb="FFFFEB84"/>
        <color rgb="FFF8696B"/>
      </colorScale>
    </cfRule>
  </conditionalFormatting>
  <conditionalFormatting sqref="P43">
    <cfRule type="dataBar" priority="831">
      <dataBar>
        <cfvo type="min"/>
        <cfvo type="max"/>
        <color rgb="FF638EC6"/>
      </dataBar>
      <extLst>
        <ext xmlns:x14="http://schemas.microsoft.com/office/spreadsheetml/2009/9/main" uri="{B025F937-C7B1-47D3-B67F-A62EFF666E3E}">
          <x14:id>{7574FD8B-83F2-344B-B89C-4B4A7A42DB1A}</x14:id>
        </ext>
      </extLst>
    </cfRule>
  </conditionalFormatting>
  <conditionalFormatting sqref="Q42">
    <cfRule type="colorScale" priority="830">
      <colorScale>
        <cfvo type="min"/>
        <cfvo type="percentile" val="50"/>
        <cfvo type="max"/>
        <color rgb="FF63BE7B"/>
        <color rgb="FFFFEB84"/>
        <color rgb="FFF8696B"/>
      </colorScale>
    </cfRule>
  </conditionalFormatting>
  <conditionalFormatting sqref="Q42">
    <cfRule type="dataBar" priority="829">
      <dataBar>
        <cfvo type="min"/>
        <cfvo type="max"/>
        <color rgb="FF638EC6"/>
      </dataBar>
      <extLst>
        <ext xmlns:x14="http://schemas.microsoft.com/office/spreadsheetml/2009/9/main" uri="{B025F937-C7B1-47D3-B67F-A62EFF666E3E}">
          <x14:id>{23DEDDCB-F082-C149-B945-D9B71DE87D53}</x14:id>
        </ext>
      </extLst>
    </cfRule>
  </conditionalFormatting>
  <conditionalFormatting sqref="R41">
    <cfRule type="colorScale" priority="828">
      <colorScale>
        <cfvo type="min"/>
        <cfvo type="percentile" val="50"/>
        <cfvo type="max"/>
        <color rgb="FF63BE7B"/>
        <color rgb="FFFFEB84"/>
        <color rgb="FFF8696B"/>
      </colorScale>
    </cfRule>
  </conditionalFormatting>
  <conditionalFormatting sqref="R41">
    <cfRule type="dataBar" priority="827">
      <dataBar>
        <cfvo type="min"/>
        <cfvo type="max"/>
        <color rgb="FF638EC6"/>
      </dataBar>
      <extLst>
        <ext xmlns:x14="http://schemas.microsoft.com/office/spreadsheetml/2009/9/main" uri="{B025F937-C7B1-47D3-B67F-A62EFF666E3E}">
          <x14:id>{19570F19-7476-9C4D-A7D3-99BFBC7D8757}</x14:id>
        </ext>
      </extLst>
    </cfRule>
  </conditionalFormatting>
  <conditionalFormatting sqref="S40">
    <cfRule type="colorScale" priority="826">
      <colorScale>
        <cfvo type="min"/>
        <cfvo type="percentile" val="50"/>
        <cfvo type="max"/>
        <color rgb="FF63BE7B"/>
        <color rgb="FFFFEB84"/>
        <color rgb="FFF8696B"/>
      </colorScale>
    </cfRule>
  </conditionalFormatting>
  <conditionalFormatting sqref="S40">
    <cfRule type="dataBar" priority="825">
      <dataBar>
        <cfvo type="min"/>
        <cfvo type="max"/>
        <color rgb="FF638EC6"/>
      </dataBar>
      <extLst>
        <ext xmlns:x14="http://schemas.microsoft.com/office/spreadsheetml/2009/9/main" uri="{B025F937-C7B1-47D3-B67F-A62EFF666E3E}">
          <x14:id>{3CBA2B22-2782-3842-BBAF-C3EADCC0DCA0}</x14:id>
        </ext>
      </extLst>
    </cfRule>
  </conditionalFormatting>
  <conditionalFormatting sqref="T39">
    <cfRule type="colorScale" priority="824">
      <colorScale>
        <cfvo type="min"/>
        <cfvo type="percentile" val="50"/>
        <cfvo type="max"/>
        <color rgb="FF63BE7B"/>
        <color rgb="FFFFEB84"/>
        <color rgb="FFF8696B"/>
      </colorScale>
    </cfRule>
  </conditionalFormatting>
  <conditionalFormatting sqref="T39">
    <cfRule type="dataBar" priority="823">
      <dataBar>
        <cfvo type="min"/>
        <cfvo type="max"/>
        <color rgb="FF638EC6"/>
      </dataBar>
      <extLst>
        <ext xmlns:x14="http://schemas.microsoft.com/office/spreadsheetml/2009/9/main" uri="{B025F937-C7B1-47D3-B67F-A62EFF666E3E}">
          <x14:id>{D205E8A6-5309-5E40-8514-5F784B291A9C}</x14:id>
        </ext>
      </extLst>
    </cfRule>
  </conditionalFormatting>
  <conditionalFormatting sqref="U38">
    <cfRule type="colorScale" priority="822">
      <colorScale>
        <cfvo type="min"/>
        <cfvo type="percentile" val="50"/>
        <cfvo type="max"/>
        <color rgb="FF63BE7B"/>
        <color rgb="FFFFEB84"/>
        <color rgb="FFF8696B"/>
      </colorScale>
    </cfRule>
  </conditionalFormatting>
  <conditionalFormatting sqref="U38">
    <cfRule type="dataBar" priority="821">
      <dataBar>
        <cfvo type="min"/>
        <cfvo type="max"/>
        <color rgb="FF638EC6"/>
      </dataBar>
      <extLst>
        <ext xmlns:x14="http://schemas.microsoft.com/office/spreadsheetml/2009/9/main" uri="{B025F937-C7B1-47D3-B67F-A62EFF666E3E}">
          <x14:id>{BD31ECC1-93BB-EC4D-8A38-CF711FC29318}</x14:id>
        </ext>
      </extLst>
    </cfRule>
  </conditionalFormatting>
  <conditionalFormatting sqref="V37">
    <cfRule type="colorScale" priority="820">
      <colorScale>
        <cfvo type="min"/>
        <cfvo type="percentile" val="50"/>
        <cfvo type="max"/>
        <color rgb="FF63BE7B"/>
        <color rgb="FFFFEB84"/>
        <color rgb="FFF8696B"/>
      </colorScale>
    </cfRule>
  </conditionalFormatting>
  <conditionalFormatting sqref="V37">
    <cfRule type="dataBar" priority="819">
      <dataBar>
        <cfvo type="min"/>
        <cfvo type="max"/>
        <color rgb="FF638EC6"/>
      </dataBar>
      <extLst>
        <ext xmlns:x14="http://schemas.microsoft.com/office/spreadsheetml/2009/9/main" uri="{B025F937-C7B1-47D3-B67F-A62EFF666E3E}">
          <x14:id>{D0899BFD-76B2-0548-8E32-F58851160013}</x14:id>
        </ext>
      </extLst>
    </cfRule>
  </conditionalFormatting>
  <conditionalFormatting sqref="W36">
    <cfRule type="colorScale" priority="818">
      <colorScale>
        <cfvo type="min"/>
        <cfvo type="percentile" val="50"/>
        <cfvo type="max"/>
        <color rgb="FF63BE7B"/>
        <color rgb="FFFFEB84"/>
        <color rgb="FFF8696B"/>
      </colorScale>
    </cfRule>
  </conditionalFormatting>
  <conditionalFormatting sqref="W36">
    <cfRule type="dataBar" priority="817">
      <dataBar>
        <cfvo type="min"/>
        <cfvo type="max"/>
        <color rgb="FF638EC6"/>
      </dataBar>
      <extLst>
        <ext xmlns:x14="http://schemas.microsoft.com/office/spreadsheetml/2009/9/main" uri="{B025F937-C7B1-47D3-B67F-A62EFF666E3E}">
          <x14:id>{E202C5C2-4855-4649-BC7C-AF5DE8BD6C4F}</x14:id>
        </ext>
      </extLst>
    </cfRule>
  </conditionalFormatting>
  <conditionalFormatting sqref="X35">
    <cfRule type="colorScale" priority="816">
      <colorScale>
        <cfvo type="min"/>
        <cfvo type="percentile" val="50"/>
        <cfvo type="max"/>
        <color rgb="FF63BE7B"/>
        <color rgb="FFFFEB84"/>
        <color rgb="FFF8696B"/>
      </colorScale>
    </cfRule>
  </conditionalFormatting>
  <conditionalFormatting sqref="X35">
    <cfRule type="dataBar" priority="815">
      <dataBar>
        <cfvo type="min"/>
        <cfvo type="max"/>
        <color rgb="FF638EC6"/>
      </dataBar>
      <extLst>
        <ext xmlns:x14="http://schemas.microsoft.com/office/spreadsheetml/2009/9/main" uri="{B025F937-C7B1-47D3-B67F-A62EFF666E3E}">
          <x14:id>{E60EF5E8-C80E-6746-A18C-91824C025BD7}</x14:id>
        </ext>
      </extLst>
    </cfRule>
  </conditionalFormatting>
  <conditionalFormatting sqref="Y34">
    <cfRule type="colorScale" priority="814">
      <colorScale>
        <cfvo type="min"/>
        <cfvo type="percentile" val="50"/>
        <cfvo type="max"/>
        <color rgb="FF63BE7B"/>
        <color rgb="FFFFEB84"/>
        <color rgb="FFF8696B"/>
      </colorScale>
    </cfRule>
  </conditionalFormatting>
  <conditionalFormatting sqref="Y34">
    <cfRule type="dataBar" priority="813">
      <dataBar>
        <cfvo type="min"/>
        <cfvo type="max"/>
        <color rgb="FF638EC6"/>
      </dataBar>
      <extLst>
        <ext xmlns:x14="http://schemas.microsoft.com/office/spreadsheetml/2009/9/main" uri="{B025F937-C7B1-47D3-B67F-A62EFF666E3E}">
          <x14:id>{67F7586E-4143-FE4A-9D91-B1369A0120DC}</x14:id>
        </ext>
      </extLst>
    </cfRule>
  </conditionalFormatting>
  <conditionalFormatting sqref="Z33">
    <cfRule type="colorScale" priority="812">
      <colorScale>
        <cfvo type="min"/>
        <cfvo type="percentile" val="50"/>
        <cfvo type="max"/>
        <color rgb="FF63BE7B"/>
        <color rgb="FFFFEB84"/>
        <color rgb="FFF8696B"/>
      </colorScale>
    </cfRule>
  </conditionalFormatting>
  <conditionalFormatting sqref="Z33">
    <cfRule type="dataBar" priority="811">
      <dataBar>
        <cfvo type="min"/>
        <cfvo type="max"/>
        <color rgb="FF638EC6"/>
      </dataBar>
      <extLst>
        <ext xmlns:x14="http://schemas.microsoft.com/office/spreadsheetml/2009/9/main" uri="{B025F937-C7B1-47D3-B67F-A62EFF666E3E}">
          <x14:id>{FB8A83DC-F49F-B14C-9D34-A5AB5B126F05}</x14:id>
        </ext>
      </extLst>
    </cfRule>
  </conditionalFormatting>
  <conditionalFormatting sqref="AA32">
    <cfRule type="colorScale" priority="810">
      <colorScale>
        <cfvo type="min"/>
        <cfvo type="percentile" val="50"/>
        <cfvo type="max"/>
        <color rgb="FF63BE7B"/>
        <color rgb="FFFFEB84"/>
        <color rgb="FFF8696B"/>
      </colorScale>
    </cfRule>
  </conditionalFormatting>
  <conditionalFormatting sqref="AA32">
    <cfRule type="dataBar" priority="809">
      <dataBar>
        <cfvo type="min"/>
        <cfvo type="max"/>
        <color rgb="FF638EC6"/>
      </dataBar>
      <extLst>
        <ext xmlns:x14="http://schemas.microsoft.com/office/spreadsheetml/2009/9/main" uri="{B025F937-C7B1-47D3-B67F-A62EFF666E3E}">
          <x14:id>{E1FF105E-5A31-054E-AE01-32DC218A713E}</x14:id>
        </ext>
      </extLst>
    </cfRule>
  </conditionalFormatting>
  <conditionalFormatting sqref="AB31">
    <cfRule type="colorScale" priority="808">
      <colorScale>
        <cfvo type="min"/>
        <cfvo type="percentile" val="50"/>
        <cfvo type="max"/>
        <color rgb="FF63BE7B"/>
        <color rgb="FFFFEB84"/>
        <color rgb="FFF8696B"/>
      </colorScale>
    </cfRule>
  </conditionalFormatting>
  <conditionalFormatting sqref="AB31">
    <cfRule type="dataBar" priority="807">
      <dataBar>
        <cfvo type="min"/>
        <cfvo type="max"/>
        <color rgb="FF638EC6"/>
      </dataBar>
      <extLst>
        <ext xmlns:x14="http://schemas.microsoft.com/office/spreadsheetml/2009/9/main" uri="{B025F937-C7B1-47D3-B67F-A62EFF666E3E}">
          <x14:id>{FE9B3C20-66BF-1C4D-B98B-E733E13C00A0}</x14:id>
        </ext>
      </extLst>
    </cfRule>
  </conditionalFormatting>
  <conditionalFormatting sqref="AC30">
    <cfRule type="colorScale" priority="806">
      <colorScale>
        <cfvo type="min"/>
        <cfvo type="percentile" val="50"/>
        <cfvo type="max"/>
        <color rgb="FF63BE7B"/>
        <color rgb="FFFFEB84"/>
        <color rgb="FFF8696B"/>
      </colorScale>
    </cfRule>
  </conditionalFormatting>
  <conditionalFormatting sqref="AC30">
    <cfRule type="dataBar" priority="805">
      <dataBar>
        <cfvo type="min"/>
        <cfvo type="max"/>
        <color rgb="FF638EC6"/>
      </dataBar>
      <extLst>
        <ext xmlns:x14="http://schemas.microsoft.com/office/spreadsheetml/2009/9/main" uri="{B025F937-C7B1-47D3-B67F-A62EFF666E3E}">
          <x14:id>{C236D40A-2C59-2C40-8833-E7887EA12555}</x14:id>
        </ext>
      </extLst>
    </cfRule>
  </conditionalFormatting>
  <conditionalFormatting sqref="AD29">
    <cfRule type="colorScale" priority="804">
      <colorScale>
        <cfvo type="min"/>
        <cfvo type="percentile" val="50"/>
        <cfvo type="max"/>
        <color rgb="FF63BE7B"/>
        <color rgb="FFFFEB84"/>
        <color rgb="FFF8696B"/>
      </colorScale>
    </cfRule>
  </conditionalFormatting>
  <conditionalFormatting sqref="AD29">
    <cfRule type="dataBar" priority="803">
      <dataBar>
        <cfvo type="min"/>
        <cfvo type="max"/>
        <color rgb="FF638EC6"/>
      </dataBar>
      <extLst>
        <ext xmlns:x14="http://schemas.microsoft.com/office/spreadsheetml/2009/9/main" uri="{B025F937-C7B1-47D3-B67F-A62EFF666E3E}">
          <x14:id>{51C64402-E4DC-1C40-A09B-153092B22795}</x14:id>
        </ext>
      </extLst>
    </cfRule>
  </conditionalFormatting>
  <conditionalFormatting sqref="M48">
    <cfRule type="dataBar" priority="802">
      <dataBar>
        <cfvo type="min"/>
        <cfvo type="max"/>
        <color rgb="FF638EC6"/>
      </dataBar>
      <extLst>
        <ext xmlns:x14="http://schemas.microsoft.com/office/spreadsheetml/2009/9/main" uri="{B025F937-C7B1-47D3-B67F-A62EFF666E3E}">
          <x14:id>{CE13E1D6-2D5E-7B48-95D9-48A63B78B284}</x14:id>
        </ext>
      </extLst>
    </cfRule>
  </conditionalFormatting>
  <conditionalFormatting sqref="N47">
    <cfRule type="colorScale" priority="801">
      <colorScale>
        <cfvo type="min"/>
        <cfvo type="percentile" val="50"/>
        <cfvo type="max"/>
        <color rgb="FF63BE7B"/>
        <color rgb="FFFFEB84"/>
        <color rgb="FFF8696B"/>
      </colorScale>
    </cfRule>
  </conditionalFormatting>
  <conditionalFormatting sqref="N47">
    <cfRule type="dataBar" priority="800">
      <dataBar>
        <cfvo type="min"/>
        <cfvo type="max"/>
        <color rgb="FF638EC6"/>
      </dataBar>
      <extLst>
        <ext xmlns:x14="http://schemas.microsoft.com/office/spreadsheetml/2009/9/main" uri="{B025F937-C7B1-47D3-B67F-A62EFF666E3E}">
          <x14:id>{F48E8A5F-CE3A-0542-BA3F-567F186E883F}</x14:id>
        </ext>
      </extLst>
    </cfRule>
  </conditionalFormatting>
  <conditionalFormatting sqref="O46">
    <cfRule type="colorScale" priority="799">
      <colorScale>
        <cfvo type="min"/>
        <cfvo type="percentile" val="50"/>
        <cfvo type="max"/>
        <color rgb="FF63BE7B"/>
        <color rgb="FFFFEB84"/>
        <color rgb="FFF8696B"/>
      </colorScale>
    </cfRule>
  </conditionalFormatting>
  <conditionalFormatting sqref="O46">
    <cfRule type="dataBar" priority="798">
      <dataBar>
        <cfvo type="min"/>
        <cfvo type="max"/>
        <color rgb="FF638EC6"/>
      </dataBar>
      <extLst>
        <ext xmlns:x14="http://schemas.microsoft.com/office/spreadsheetml/2009/9/main" uri="{B025F937-C7B1-47D3-B67F-A62EFF666E3E}">
          <x14:id>{96A85B8B-8380-CB46-8402-C4702AB85BFD}</x14:id>
        </ext>
      </extLst>
    </cfRule>
  </conditionalFormatting>
  <conditionalFormatting sqref="P45">
    <cfRule type="colorScale" priority="797">
      <colorScale>
        <cfvo type="min"/>
        <cfvo type="percentile" val="50"/>
        <cfvo type="max"/>
        <color rgb="FF63BE7B"/>
        <color rgb="FFFFEB84"/>
        <color rgb="FFF8696B"/>
      </colorScale>
    </cfRule>
  </conditionalFormatting>
  <conditionalFormatting sqref="P45">
    <cfRule type="dataBar" priority="796">
      <dataBar>
        <cfvo type="min"/>
        <cfvo type="max"/>
        <color rgb="FF638EC6"/>
      </dataBar>
      <extLst>
        <ext xmlns:x14="http://schemas.microsoft.com/office/spreadsheetml/2009/9/main" uri="{B025F937-C7B1-47D3-B67F-A62EFF666E3E}">
          <x14:id>{3457E44A-0620-164C-B96D-540F1BAED138}</x14:id>
        </ext>
      </extLst>
    </cfRule>
  </conditionalFormatting>
  <conditionalFormatting sqref="Q44">
    <cfRule type="colorScale" priority="795">
      <colorScale>
        <cfvo type="min"/>
        <cfvo type="percentile" val="50"/>
        <cfvo type="max"/>
        <color rgb="FF63BE7B"/>
        <color rgb="FFFFEB84"/>
        <color rgb="FFF8696B"/>
      </colorScale>
    </cfRule>
  </conditionalFormatting>
  <conditionalFormatting sqref="Q44">
    <cfRule type="dataBar" priority="794">
      <dataBar>
        <cfvo type="min"/>
        <cfvo type="max"/>
        <color rgb="FF638EC6"/>
      </dataBar>
      <extLst>
        <ext xmlns:x14="http://schemas.microsoft.com/office/spreadsheetml/2009/9/main" uri="{B025F937-C7B1-47D3-B67F-A62EFF666E3E}">
          <x14:id>{F3DB1F86-E594-784D-85E9-9F544056A0CE}</x14:id>
        </ext>
      </extLst>
    </cfRule>
  </conditionalFormatting>
  <conditionalFormatting sqref="R43">
    <cfRule type="colorScale" priority="793">
      <colorScale>
        <cfvo type="min"/>
        <cfvo type="percentile" val="50"/>
        <cfvo type="max"/>
        <color rgb="FF63BE7B"/>
        <color rgb="FFFFEB84"/>
        <color rgb="FFF8696B"/>
      </colorScale>
    </cfRule>
  </conditionalFormatting>
  <conditionalFormatting sqref="R43">
    <cfRule type="dataBar" priority="792">
      <dataBar>
        <cfvo type="min"/>
        <cfvo type="max"/>
        <color rgb="FF638EC6"/>
      </dataBar>
      <extLst>
        <ext xmlns:x14="http://schemas.microsoft.com/office/spreadsheetml/2009/9/main" uri="{B025F937-C7B1-47D3-B67F-A62EFF666E3E}">
          <x14:id>{92855971-2838-7446-A2AA-0120BB8AA405}</x14:id>
        </ext>
      </extLst>
    </cfRule>
  </conditionalFormatting>
  <conditionalFormatting sqref="S42">
    <cfRule type="colorScale" priority="791">
      <colorScale>
        <cfvo type="min"/>
        <cfvo type="percentile" val="50"/>
        <cfvo type="max"/>
        <color rgb="FF63BE7B"/>
        <color rgb="FFFFEB84"/>
        <color rgb="FFF8696B"/>
      </colorScale>
    </cfRule>
  </conditionalFormatting>
  <conditionalFormatting sqref="S42">
    <cfRule type="dataBar" priority="790">
      <dataBar>
        <cfvo type="min"/>
        <cfvo type="max"/>
        <color rgb="FF638EC6"/>
      </dataBar>
      <extLst>
        <ext xmlns:x14="http://schemas.microsoft.com/office/spreadsheetml/2009/9/main" uri="{B025F937-C7B1-47D3-B67F-A62EFF666E3E}">
          <x14:id>{8A7BE4DF-D8EE-2B47-B1B7-611B96EADD9D}</x14:id>
        </ext>
      </extLst>
    </cfRule>
  </conditionalFormatting>
  <conditionalFormatting sqref="T41">
    <cfRule type="colorScale" priority="789">
      <colorScale>
        <cfvo type="min"/>
        <cfvo type="percentile" val="50"/>
        <cfvo type="max"/>
        <color rgb="FF63BE7B"/>
        <color rgb="FFFFEB84"/>
        <color rgb="FFF8696B"/>
      </colorScale>
    </cfRule>
  </conditionalFormatting>
  <conditionalFormatting sqref="T41">
    <cfRule type="dataBar" priority="788">
      <dataBar>
        <cfvo type="min"/>
        <cfvo type="max"/>
        <color rgb="FF638EC6"/>
      </dataBar>
      <extLst>
        <ext xmlns:x14="http://schemas.microsoft.com/office/spreadsheetml/2009/9/main" uri="{B025F937-C7B1-47D3-B67F-A62EFF666E3E}">
          <x14:id>{F0ECCDB7-EF58-A44C-9354-7A420299B17E}</x14:id>
        </ext>
      </extLst>
    </cfRule>
  </conditionalFormatting>
  <conditionalFormatting sqref="U40">
    <cfRule type="colorScale" priority="787">
      <colorScale>
        <cfvo type="min"/>
        <cfvo type="percentile" val="50"/>
        <cfvo type="max"/>
        <color rgb="FF63BE7B"/>
        <color rgb="FFFFEB84"/>
        <color rgb="FFF8696B"/>
      </colorScale>
    </cfRule>
  </conditionalFormatting>
  <conditionalFormatting sqref="U40">
    <cfRule type="dataBar" priority="786">
      <dataBar>
        <cfvo type="min"/>
        <cfvo type="max"/>
        <color rgb="FF638EC6"/>
      </dataBar>
      <extLst>
        <ext xmlns:x14="http://schemas.microsoft.com/office/spreadsheetml/2009/9/main" uri="{B025F937-C7B1-47D3-B67F-A62EFF666E3E}">
          <x14:id>{7E2DB24F-A633-344B-989A-50BED17CC617}</x14:id>
        </ext>
      </extLst>
    </cfRule>
  </conditionalFormatting>
  <conditionalFormatting sqref="V39">
    <cfRule type="colorScale" priority="785">
      <colorScale>
        <cfvo type="min"/>
        <cfvo type="percentile" val="50"/>
        <cfvo type="max"/>
        <color rgb="FF63BE7B"/>
        <color rgb="FFFFEB84"/>
        <color rgb="FFF8696B"/>
      </colorScale>
    </cfRule>
  </conditionalFormatting>
  <conditionalFormatting sqref="V39">
    <cfRule type="dataBar" priority="784">
      <dataBar>
        <cfvo type="min"/>
        <cfvo type="max"/>
        <color rgb="FF638EC6"/>
      </dataBar>
      <extLst>
        <ext xmlns:x14="http://schemas.microsoft.com/office/spreadsheetml/2009/9/main" uri="{B025F937-C7B1-47D3-B67F-A62EFF666E3E}">
          <x14:id>{1AB541F7-6DA6-7C4C-9A9D-E05F9DA999AF}</x14:id>
        </ext>
      </extLst>
    </cfRule>
  </conditionalFormatting>
  <conditionalFormatting sqref="W38">
    <cfRule type="colorScale" priority="783">
      <colorScale>
        <cfvo type="min"/>
        <cfvo type="percentile" val="50"/>
        <cfvo type="max"/>
        <color rgb="FF63BE7B"/>
        <color rgb="FFFFEB84"/>
        <color rgb="FFF8696B"/>
      </colorScale>
    </cfRule>
  </conditionalFormatting>
  <conditionalFormatting sqref="W38">
    <cfRule type="dataBar" priority="782">
      <dataBar>
        <cfvo type="min"/>
        <cfvo type="max"/>
        <color rgb="FF638EC6"/>
      </dataBar>
      <extLst>
        <ext xmlns:x14="http://schemas.microsoft.com/office/spreadsheetml/2009/9/main" uri="{B025F937-C7B1-47D3-B67F-A62EFF666E3E}">
          <x14:id>{16002E24-C386-3A42-830E-E97F3B6A99F9}</x14:id>
        </ext>
      </extLst>
    </cfRule>
  </conditionalFormatting>
  <conditionalFormatting sqref="X37">
    <cfRule type="colorScale" priority="781">
      <colorScale>
        <cfvo type="min"/>
        <cfvo type="percentile" val="50"/>
        <cfvo type="max"/>
        <color rgb="FF63BE7B"/>
        <color rgb="FFFFEB84"/>
        <color rgb="FFF8696B"/>
      </colorScale>
    </cfRule>
  </conditionalFormatting>
  <conditionalFormatting sqref="X37">
    <cfRule type="dataBar" priority="780">
      <dataBar>
        <cfvo type="min"/>
        <cfvo type="max"/>
        <color rgb="FF638EC6"/>
      </dataBar>
      <extLst>
        <ext xmlns:x14="http://schemas.microsoft.com/office/spreadsheetml/2009/9/main" uri="{B025F937-C7B1-47D3-B67F-A62EFF666E3E}">
          <x14:id>{E1EC7C05-DDDF-5444-96AA-7AF20BDD0FB2}</x14:id>
        </ext>
      </extLst>
    </cfRule>
  </conditionalFormatting>
  <conditionalFormatting sqref="Y36">
    <cfRule type="colorScale" priority="779">
      <colorScale>
        <cfvo type="min"/>
        <cfvo type="percentile" val="50"/>
        <cfvo type="max"/>
        <color rgb="FF63BE7B"/>
        <color rgb="FFFFEB84"/>
        <color rgb="FFF8696B"/>
      </colorScale>
    </cfRule>
  </conditionalFormatting>
  <conditionalFormatting sqref="Y36">
    <cfRule type="dataBar" priority="778">
      <dataBar>
        <cfvo type="min"/>
        <cfvo type="max"/>
        <color rgb="FF638EC6"/>
      </dataBar>
      <extLst>
        <ext xmlns:x14="http://schemas.microsoft.com/office/spreadsheetml/2009/9/main" uri="{B025F937-C7B1-47D3-B67F-A62EFF666E3E}">
          <x14:id>{D8172F42-42B8-3A43-93E0-D791A042C06E}</x14:id>
        </ext>
      </extLst>
    </cfRule>
  </conditionalFormatting>
  <conditionalFormatting sqref="Z35">
    <cfRule type="colorScale" priority="777">
      <colorScale>
        <cfvo type="min"/>
        <cfvo type="percentile" val="50"/>
        <cfvo type="max"/>
        <color rgb="FF63BE7B"/>
        <color rgb="FFFFEB84"/>
        <color rgb="FFF8696B"/>
      </colorScale>
    </cfRule>
  </conditionalFormatting>
  <conditionalFormatting sqref="Z35">
    <cfRule type="dataBar" priority="776">
      <dataBar>
        <cfvo type="min"/>
        <cfvo type="max"/>
        <color rgb="FF638EC6"/>
      </dataBar>
      <extLst>
        <ext xmlns:x14="http://schemas.microsoft.com/office/spreadsheetml/2009/9/main" uri="{B025F937-C7B1-47D3-B67F-A62EFF666E3E}">
          <x14:id>{AB2F0A37-4152-1D48-80A6-097A697A826B}</x14:id>
        </ext>
      </extLst>
    </cfRule>
  </conditionalFormatting>
  <conditionalFormatting sqref="AA34">
    <cfRule type="colorScale" priority="775">
      <colorScale>
        <cfvo type="min"/>
        <cfvo type="percentile" val="50"/>
        <cfvo type="max"/>
        <color rgb="FF63BE7B"/>
        <color rgb="FFFFEB84"/>
        <color rgb="FFF8696B"/>
      </colorScale>
    </cfRule>
  </conditionalFormatting>
  <conditionalFormatting sqref="AA34">
    <cfRule type="dataBar" priority="774">
      <dataBar>
        <cfvo type="min"/>
        <cfvo type="max"/>
        <color rgb="FF638EC6"/>
      </dataBar>
      <extLst>
        <ext xmlns:x14="http://schemas.microsoft.com/office/spreadsheetml/2009/9/main" uri="{B025F937-C7B1-47D3-B67F-A62EFF666E3E}">
          <x14:id>{429A5DA2-4B62-D343-83C3-48C52FA14663}</x14:id>
        </ext>
      </extLst>
    </cfRule>
  </conditionalFormatting>
  <conditionalFormatting sqref="AB33">
    <cfRule type="colorScale" priority="773">
      <colorScale>
        <cfvo type="min"/>
        <cfvo type="percentile" val="50"/>
        <cfvo type="max"/>
        <color rgb="FF63BE7B"/>
        <color rgb="FFFFEB84"/>
        <color rgb="FFF8696B"/>
      </colorScale>
    </cfRule>
  </conditionalFormatting>
  <conditionalFormatting sqref="AB33">
    <cfRule type="dataBar" priority="772">
      <dataBar>
        <cfvo type="min"/>
        <cfvo type="max"/>
        <color rgb="FF638EC6"/>
      </dataBar>
      <extLst>
        <ext xmlns:x14="http://schemas.microsoft.com/office/spreadsheetml/2009/9/main" uri="{B025F937-C7B1-47D3-B67F-A62EFF666E3E}">
          <x14:id>{52EB2F02-2DC1-D746-96A8-13A807418031}</x14:id>
        </ext>
      </extLst>
    </cfRule>
  </conditionalFormatting>
  <conditionalFormatting sqref="AC32">
    <cfRule type="colorScale" priority="771">
      <colorScale>
        <cfvo type="min"/>
        <cfvo type="percentile" val="50"/>
        <cfvo type="max"/>
        <color rgb="FF63BE7B"/>
        <color rgb="FFFFEB84"/>
        <color rgb="FFF8696B"/>
      </colorScale>
    </cfRule>
  </conditionalFormatting>
  <conditionalFormatting sqref="AC32">
    <cfRule type="dataBar" priority="770">
      <dataBar>
        <cfvo type="min"/>
        <cfvo type="max"/>
        <color rgb="FF638EC6"/>
      </dataBar>
      <extLst>
        <ext xmlns:x14="http://schemas.microsoft.com/office/spreadsheetml/2009/9/main" uri="{B025F937-C7B1-47D3-B67F-A62EFF666E3E}">
          <x14:id>{75297359-AEAC-FB40-83AA-99F255781B67}</x14:id>
        </ext>
      </extLst>
    </cfRule>
  </conditionalFormatting>
  <conditionalFormatting sqref="AD31">
    <cfRule type="colorScale" priority="769">
      <colorScale>
        <cfvo type="min"/>
        <cfvo type="percentile" val="50"/>
        <cfvo type="max"/>
        <color rgb="FF63BE7B"/>
        <color rgb="FFFFEB84"/>
        <color rgb="FFF8696B"/>
      </colorScale>
    </cfRule>
  </conditionalFormatting>
  <conditionalFormatting sqref="AD31">
    <cfRule type="dataBar" priority="768">
      <dataBar>
        <cfvo type="min"/>
        <cfvo type="max"/>
        <color rgb="FF638EC6"/>
      </dataBar>
      <extLst>
        <ext xmlns:x14="http://schemas.microsoft.com/office/spreadsheetml/2009/9/main" uri="{B025F937-C7B1-47D3-B67F-A62EFF666E3E}">
          <x14:id>{BD6AE8AF-DF13-314A-8A60-27E92B1D9497}</x14:id>
        </ext>
      </extLst>
    </cfRule>
  </conditionalFormatting>
  <conditionalFormatting sqref="M50">
    <cfRule type="dataBar" priority="767">
      <dataBar>
        <cfvo type="min"/>
        <cfvo type="max"/>
        <color rgb="FF638EC6"/>
      </dataBar>
      <extLst>
        <ext xmlns:x14="http://schemas.microsoft.com/office/spreadsheetml/2009/9/main" uri="{B025F937-C7B1-47D3-B67F-A62EFF666E3E}">
          <x14:id>{DBD40982-1B68-FF44-93B9-20EAA193EB48}</x14:id>
        </ext>
      </extLst>
    </cfRule>
  </conditionalFormatting>
  <conditionalFormatting sqref="N49">
    <cfRule type="colorScale" priority="766">
      <colorScale>
        <cfvo type="min"/>
        <cfvo type="percentile" val="50"/>
        <cfvo type="max"/>
        <color rgb="FF63BE7B"/>
        <color rgb="FFFFEB84"/>
        <color rgb="FFF8696B"/>
      </colorScale>
    </cfRule>
  </conditionalFormatting>
  <conditionalFormatting sqref="N49">
    <cfRule type="dataBar" priority="765">
      <dataBar>
        <cfvo type="min"/>
        <cfvo type="max"/>
        <color rgb="FF638EC6"/>
      </dataBar>
      <extLst>
        <ext xmlns:x14="http://schemas.microsoft.com/office/spreadsheetml/2009/9/main" uri="{B025F937-C7B1-47D3-B67F-A62EFF666E3E}">
          <x14:id>{A72E3E07-43B4-B34F-B2F2-04E948EC0EFB}</x14:id>
        </ext>
      </extLst>
    </cfRule>
  </conditionalFormatting>
  <conditionalFormatting sqref="O48">
    <cfRule type="colorScale" priority="764">
      <colorScale>
        <cfvo type="min"/>
        <cfvo type="percentile" val="50"/>
        <cfvo type="max"/>
        <color rgb="FF63BE7B"/>
        <color rgb="FFFFEB84"/>
        <color rgb="FFF8696B"/>
      </colorScale>
    </cfRule>
  </conditionalFormatting>
  <conditionalFormatting sqref="O48">
    <cfRule type="dataBar" priority="763">
      <dataBar>
        <cfvo type="min"/>
        <cfvo type="max"/>
        <color rgb="FF638EC6"/>
      </dataBar>
      <extLst>
        <ext xmlns:x14="http://schemas.microsoft.com/office/spreadsheetml/2009/9/main" uri="{B025F937-C7B1-47D3-B67F-A62EFF666E3E}">
          <x14:id>{D62F2296-D9F8-7540-A703-288D84529735}</x14:id>
        </ext>
      </extLst>
    </cfRule>
  </conditionalFormatting>
  <conditionalFormatting sqref="P47">
    <cfRule type="colorScale" priority="762">
      <colorScale>
        <cfvo type="min"/>
        <cfvo type="percentile" val="50"/>
        <cfvo type="max"/>
        <color rgb="FF63BE7B"/>
        <color rgb="FFFFEB84"/>
        <color rgb="FFF8696B"/>
      </colorScale>
    </cfRule>
  </conditionalFormatting>
  <conditionalFormatting sqref="P47">
    <cfRule type="dataBar" priority="761">
      <dataBar>
        <cfvo type="min"/>
        <cfvo type="max"/>
        <color rgb="FF638EC6"/>
      </dataBar>
      <extLst>
        <ext xmlns:x14="http://schemas.microsoft.com/office/spreadsheetml/2009/9/main" uri="{B025F937-C7B1-47D3-B67F-A62EFF666E3E}">
          <x14:id>{ECA080FB-EBCE-0848-95BD-7E5C73A1687A}</x14:id>
        </ext>
      </extLst>
    </cfRule>
  </conditionalFormatting>
  <conditionalFormatting sqref="Q46">
    <cfRule type="colorScale" priority="760">
      <colorScale>
        <cfvo type="min"/>
        <cfvo type="percentile" val="50"/>
        <cfvo type="max"/>
        <color rgb="FF63BE7B"/>
        <color rgb="FFFFEB84"/>
        <color rgb="FFF8696B"/>
      </colorScale>
    </cfRule>
  </conditionalFormatting>
  <conditionalFormatting sqref="Q46">
    <cfRule type="dataBar" priority="759">
      <dataBar>
        <cfvo type="min"/>
        <cfvo type="max"/>
        <color rgb="FF638EC6"/>
      </dataBar>
      <extLst>
        <ext xmlns:x14="http://schemas.microsoft.com/office/spreadsheetml/2009/9/main" uri="{B025F937-C7B1-47D3-B67F-A62EFF666E3E}">
          <x14:id>{60BC8DA5-7BC7-2146-8A53-190A29201E93}</x14:id>
        </ext>
      </extLst>
    </cfRule>
  </conditionalFormatting>
  <conditionalFormatting sqref="R45">
    <cfRule type="colorScale" priority="758">
      <colorScale>
        <cfvo type="min"/>
        <cfvo type="percentile" val="50"/>
        <cfvo type="max"/>
        <color rgb="FF63BE7B"/>
        <color rgb="FFFFEB84"/>
        <color rgb="FFF8696B"/>
      </colorScale>
    </cfRule>
  </conditionalFormatting>
  <conditionalFormatting sqref="R45">
    <cfRule type="dataBar" priority="757">
      <dataBar>
        <cfvo type="min"/>
        <cfvo type="max"/>
        <color rgb="FF638EC6"/>
      </dataBar>
      <extLst>
        <ext xmlns:x14="http://schemas.microsoft.com/office/spreadsheetml/2009/9/main" uri="{B025F937-C7B1-47D3-B67F-A62EFF666E3E}">
          <x14:id>{F37061BE-43AF-1F4F-8F52-2818234E7B0C}</x14:id>
        </ext>
      </extLst>
    </cfRule>
  </conditionalFormatting>
  <conditionalFormatting sqref="S44">
    <cfRule type="colorScale" priority="756">
      <colorScale>
        <cfvo type="min"/>
        <cfvo type="percentile" val="50"/>
        <cfvo type="max"/>
        <color rgb="FF63BE7B"/>
        <color rgb="FFFFEB84"/>
        <color rgb="FFF8696B"/>
      </colorScale>
    </cfRule>
  </conditionalFormatting>
  <conditionalFormatting sqref="S44">
    <cfRule type="dataBar" priority="755">
      <dataBar>
        <cfvo type="min"/>
        <cfvo type="max"/>
        <color rgb="FF638EC6"/>
      </dataBar>
      <extLst>
        <ext xmlns:x14="http://schemas.microsoft.com/office/spreadsheetml/2009/9/main" uri="{B025F937-C7B1-47D3-B67F-A62EFF666E3E}">
          <x14:id>{D0C89E97-76E1-8B4C-858A-1782123F2A77}</x14:id>
        </ext>
      </extLst>
    </cfRule>
  </conditionalFormatting>
  <conditionalFormatting sqref="T43">
    <cfRule type="colorScale" priority="754">
      <colorScale>
        <cfvo type="min"/>
        <cfvo type="percentile" val="50"/>
        <cfvo type="max"/>
        <color rgb="FF63BE7B"/>
        <color rgb="FFFFEB84"/>
        <color rgb="FFF8696B"/>
      </colorScale>
    </cfRule>
  </conditionalFormatting>
  <conditionalFormatting sqref="T43">
    <cfRule type="dataBar" priority="753">
      <dataBar>
        <cfvo type="min"/>
        <cfvo type="max"/>
        <color rgb="FF638EC6"/>
      </dataBar>
      <extLst>
        <ext xmlns:x14="http://schemas.microsoft.com/office/spreadsheetml/2009/9/main" uri="{B025F937-C7B1-47D3-B67F-A62EFF666E3E}">
          <x14:id>{8D0F705B-410B-8D4C-992F-6C804F23C44B}</x14:id>
        </ext>
      </extLst>
    </cfRule>
  </conditionalFormatting>
  <conditionalFormatting sqref="U42">
    <cfRule type="colorScale" priority="752">
      <colorScale>
        <cfvo type="min"/>
        <cfvo type="percentile" val="50"/>
        <cfvo type="max"/>
        <color rgb="FF63BE7B"/>
        <color rgb="FFFFEB84"/>
        <color rgb="FFF8696B"/>
      </colorScale>
    </cfRule>
  </conditionalFormatting>
  <conditionalFormatting sqref="U42">
    <cfRule type="dataBar" priority="751">
      <dataBar>
        <cfvo type="min"/>
        <cfvo type="max"/>
        <color rgb="FF638EC6"/>
      </dataBar>
      <extLst>
        <ext xmlns:x14="http://schemas.microsoft.com/office/spreadsheetml/2009/9/main" uri="{B025F937-C7B1-47D3-B67F-A62EFF666E3E}">
          <x14:id>{11FC3AF6-ADC8-A240-937B-E2A6B7C4AA99}</x14:id>
        </ext>
      </extLst>
    </cfRule>
  </conditionalFormatting>
  <conditionalFormatting sqref="V41">
    <cfRule type="colorScale" priority="750">
      <colorScale>
        <cfvo type="min"/>
        <cfvo type="percentile" val="50"/>
        <cfvo type="max"/>
        <color rgb="FF63BE7B"/>
        <color rgb="FFFFEB84"/>
        <color rgb="FFF8696B"/>
      </colorScale>
    </cfRule>
  </conditionalFormatting>
  <conditionalFormatting sqref="V41">
    <cfRule type="dataBar" priority="749">
      <dataBar>
        <cfvo type="min"/>
        <cfvo type="max"/>
        <color rgb="FF638EC6"/>
      </dataBar>
      <extLst>
        <ext xmlns:x14="http://schemas.microsoft.com/office/spreadsheetml/2009/9/main" uri="{B025F937-C7B1-47D3-B67F-A62EFF666E3E}">
          <x14:id>{76B3CB13-955E-4045-8E07-6E36A934D3CD}</x14:id>
        </ext>
      </extLst>
    </cfRule>
  </conditionalFormatting>
  <conditionalFormatting sqref="W40">
    <cfRule type="colorScale" priority="748">
      <colorScale>
        <cfvo type="min"/>
        <cfvo type="percentile" val="50"/>
        <cfvo type="max"/>
        <color rgb="FF63BE7B"/>
        <color rgb="FFFFEB84"/>
        <color rgb="FFF8696B"/>
      </colorScale>
    </cfRule>
  </conditionalFormatting>
  <conditionalFormatting sqref="W40">
    <cfRule type="dataBar" priority="747">
      <dataBar>
        <cfvo type="min"/>
        <cfvo type="max"/>
        <color rgb="FF638EC6"/>
      </dataBar>
      <extLst>
        <ext xmlns:x14="http://schemas.microsoft.com/office/spreadsheetml/2009/9/main" uri="{B025F937-C7B1-47D3-B67F-A62EFF666E3E}">
          <x14:id>{8653525F-7342-0747-BE6F-71CB776913D4}</x14:id>
        </ext>
      </extLst>
    </cfRule>
  </conditionalFormatting>
  <conditionalFormatting sqref="X39">
    <cfRule type="colorScale" priority="746">
      <colorScale>
        <cfvo type="min"/>
        <cfvo type="percentile" val="50"/>
        <cfvo type="max"/>
        <color rgb="FF63BE7B"/>
        <color rgb="FFFFEB84"/>
        <color rgb="FFF8696B"/>
      </colorScale>
    </cfRule>
  </conditionalFormatting>
  <conditionalFormatting sqref="X39">
    <cfRule type="dataBar" priority="745">
      <dataBar>
        <cfvo type="min"/>
        <cfvo type="max"/>
        <color rgb="FF638EC6"/>
      </dataBar>
      <extLst>
        <ext xmlns:x14="http://schemas.microsoft.com/office/spreadsheetml/2009/9/main" uri="{B025F937-C7B1-47D3-B67F-A62EFF666E3E}">
          <x14:id>{FE46DB3A-D24C-5140-9433-C96A2A9502DB}</x14:id>
        </ext>
      </extLst>
    </cfRule>
  </conditionalFormatting>
  <conditionalFormatting sqref="Y38">
    <cfRule type="colorScale" priority="744">
      <colorScale>
        <cfvo type="min"/>
        <cfvo type="percentile" val="50"/>
        <cfvo type="max"/>
        <color rgb="FF63BE7B"/>
        <color rgb="FFFFEB84"/>
        <color rgb="FFF8696B"/>
      </colorScale>
    </cfRule>
  </conditionalFormatting>
  <conditionalFormatting sqref="Y38">
    <cfRule type="dataBar" priority="743">
      <dataBar>
        <cfvo type="min"/>
        <cfvo type="max"/>
        <color rgb="FF638EC6"/>
      </dataBar>
      <extLst>
        <ext xmlns:x14="http://schemas.microsoft.com/office/spreadsheetml/2009/9/main" uri="{B025F937-C7B1-47D3-B67F-A62EFF666E3E}">
          <x14:id>{5156DC04-04BD-3242-B93C-7331C231AA4C}</x14:id>
        </ext>
      </extLst>
    </cfRule>
  </conditionalFormatting>
  <conditionalFormatting sqref="Z37">
    <cfRule type="colorScale" priority="742">
      <colorScale>
        <cfvo type="min"/>
        <cfvo type="percentile" val="50"/>
        <cfvo type="max"/>
        <color rgb="FF63BE7B"/>
        <color rgb="FFFFEB84"/>
        <color rgb="FFF8696B"/>
      </colorScale>
    </cfRule>
  </conditionalFormatting>
  <conditionalFormatting sqref="Z37">
    <cfRule type="dataBar" priority="741">
      <dataBar>
        <cfvo type="min"/>
        <cfvo type="max"/>
        <color rgb="FF638EC6"/>
      </dataBar>
      <extLst>
        <ext xmlns:x14="http://schemas.microsoft.com/office/spreadsheetml/2009/9/main" uri="{B025F937-C7B1-47D3-B67F-A62EFF666E3E}">
          <x14:id>{47634BA6-85CD-EE41-AE6D-1C6E61207E9D}</x14:id>
        </ext>
      </extLst>
    </cfRule>
  </conditionalFormatting>
  <conditionalFormatting sqref="AA36">
    <cfRule type="colorScale" priority="740">
      <colorScale>
        <cfvo type="min"/>
        <cfvo type="percentile" val="50"/>
        <cfvo type="max"/>
        <color rgb="FF63BE7B"/>
        <color rgb="FFFFEB84"/>
        <color rgb="FFF8696B"/>
      </colorScale>
    </cfRule>
  </conditionalFormatting>
  <conditionalFormatting sqref="AA36">
    <cfRule type="dataBar" priority="739">
      <dataBar>
        <cfvo type="min"/>
        <cfvo type="max"/>
        <color rgb="FF638EC6"/>
      </dataBar>
      <extLst>
        <ext xmlns:x14="http://schemas.microsoft.com/office/spreadsheetml/2009/9/main" uri="{B025F937-C7B1-47D3-B67F-A62EFF666E3E}">
          <x14:id>{6625A29D-2939-0542-A251-1F5457E8F33F}</x14:id>
        </ext>
      </extLst>
    </cfRule>
  </conditionalFormatting>
  <conditionalFormatting sqref="AB35">
    <cfRule type="colorScale" priority="738">
      <colorScale>
        <cfvo type="min"/>
        <cfvo type="percentile" val="50"/>
        <cfvo type="max"/>
        <color rgb="FF63BE7B"/>
        <color rgb="FFFFEB84"/>
        <color rgb="FFF8696B"/>
      </colorScale>
    </cfRule>
  </conditionalFormatting>
  <conditionalFormatting sqref="AB35">
    <cfRule type="dataBar" priority="737">
      <dataBar>
        <cfvo type="min"/>
        <cfvo type="max"/>
        <color rgb="FF638EC6"/>
      </dataBar>
      <extLst>
        <ext xmlns:x14="http://schemas.microsoft.com/office/spreadsheetml/2009/9/main" uri="{B025F937-C7B1-47D3-B67F-A62EFF666E3E}">
          <x14:id>{D1953156-66FB-D14A-8F32-A6B1171EAB4B}</x14:id>
        </ext>
      </extLst>
    </cfRule>
  </conditionalFormatting>
  <conditionalFormatting sqref="AC34">
    <cfRule type="colorScale" priority="736">
      <colorScale>
        <cfvo type="min"/>
        <cfvo type="percentile" val="50"/>
        <cfvo type="max"/>
        <color rgb="FF63BE7B"/>
        <color rgb="FFFFEB84"/>
        <color rgb="FFF8696B"/>
      </colorScale>
    </cfRule>
  </conditionalFormatting>
  <conditionalFormatting sqref="AC34">
    <cfRule type="dataBar" priority="735">
      <dataBar>
        <cfvo type="min"/>
        <cfvo type="max"/>
        <color rgb="FF638EC6"/>
      </dataBar>
      <extLst>
        <ext xmlns:x14="http://schemas.microsoft.com/office/spreadsheetml/2009/9/main" uri="{B025F937-C7B1-47D3-B67F-A62EFF666E3E}">
          <x14:id>{C20C693B-AC9D-5545-A06F-80ABA1C1C8E3}</x14:id>
        </ext>
      </extLst>
    </cfRule>
  </conditionalFormatting>
  <conditionalFormatting sqref="AD33">
    <cfRule type="colorScale" priority="734">
      <colorScale>
        <cfvo type="min"/>
        <cfvo type="percentile" val="50"/>
        <cfvo type="max"/>
        <color rgb="FF63BE7B"/>
        <color rgb="FFFFEB84"/>
        <color rgb="FFF8696B"/>
      </colorScale>
    </cfRule>
  </conditionalFormatting>
  <conditionalFormatting sqref="AD33">
    <cfRule type="dataBar" priority="733">
      <dataBar>
        <cfvo type="min"/>
        <cfvo type="max"/>
        <color rgb="FF638EC6"/>
      </dataBar>
      <extLst>
        <ext xmlns:x14="http://schemas.microsoft.com/office/spreadsheetml/2009/9/main" uri="{B025F937-C7B1-47D3-B67F-A62EFF666E3E}">
          <x14:id>{F2FEB14E-0602-224E-9666-842A3725CAEB}</x14:id>
        </ext>
      </extLst>
    </cfRule>
  </conditionalFormatting>
  <conditionalFormatting sqref="M52">
    <cfRule type="dataBar" priority="732">
      <dataBar>
        <cfvo type="min"/>
        <cfvo type="max"/>
        <color rgb="FF638EC6"/>
      </dataBar>
      <extLst>
        <ext xmlns:x14="http://schemas.microsoft.com/office/spreadsheetml/2009/9/main" uri="{B025F937-C7B1-47D3-B67F-A62EFF666E3E}">
          <x14:id>{34C4CEAB-EDD5-A548-AA5A-218D99159564}</x14:id>
        </ext>
      </extLst>
    </cfRule>
  </conditionalFormatting>
  <conditionalFormatting sqref="N51">
    <cfRule type="colorScale" priority="731">
      <colorScale>
        <cfvo type="min"/>
        <cfvo type="percentile" val="50"/>
        <cfvo type="max"/>
        <color rgb="FF63BE7B"/>
        <color rgb="FFFFEB84"/>
        <color rgb="FFF8696B"/>
      </colorScale>
    </cfRule>
  </conditionalFormatting>
  <conditionalFormatting sqref="N51">
    <cfRule type="dataBar" priority="730">
      <dataBar>
        <cfvo type="min"/>
        <cfvo type="max"/>
        <color rgb="FF638EC6"/>
      </dataBar>
      <extLst>
        <ext xmlns:x14="http://schemas.microsoft.com/office/spreadsheetml/2009/9/main" uri="{B025F937-C7B1-47D3-B67F-A62EFF666E3E}">
          <x14:id>{5B69A897-3D1A-A14E-9A7B-37DBFF386852}</x14:id>
        </ext>
      </extLst>
    </cfRule>
  </conditionalFormatting>
  <conditionalFormatting sqref="O50">
    <cfRule type="colorScale" priority="729">
      <colorScale>
        <cfvo type="min"/>
        <cfvo type="percentile" val="50"/>
        <cfvo type="max"/>
        <color rgb="FF63BE7B"/>
        <color rgb="FFFFEB84"/>
        <color rgb="FFF8696B"/>
      </colorScale>
    </cfRule>
  </conditionalFormatting>
  <conditionalFormatting sqref="O50">
    <cfRule type="dataBar" priority="728">
      <dataBar>
        <cfvo type="min"/>
        <cfvo type="max"/>
        <color rgb="FF638EC6"/>
      </dataBar>
      <extLst>
        <ext xmlns:x14="http://schemas.microsoft.com/office/spreadsheetml/2009/9/main" uri="{B025F937-C7B1-47D3-B67F-A62EFF666E3E}">
          <x14:id>{0A2F6C06-F050-A141-91C3-3FD4A99683BA}</x14:id>
        </ext>
      </extLst>
    </cfRule>
  </conditionalFormatting>
  <conditionalFormatting sqref="P49">
    <cfRule type="colorScale" priority="727">
      <colorScale>
        <cfvo type="min"/>
        <cfvo type="percentile" val="50"/>
        <cfvo type="max"/>
        <color rgb="FF63BE7B"/>
        <color rgb="FFFFEB84"/>
        <color rgb="FFF8696B"/>
      </colorScale>
    </cfRule>
  </conditionalFormatting>
  <conditionalFormatting sqref="P49">
    <cfRule type="dataBar" priority="726">
      <dataBar>
        <cfvo type="min"/>
        <cfvo type="max"/>
        <color rgb="FF638EC6"/>
      </dataBar>
      <extLst>
        <ext xmlns:x14="http://schemas.microsoft.com/office/spreadsheetml/2009/9/main" uri="{B025F937-C7B1-47D3-B67F-A62EFF666E3E}">
          <x14:id>{7CFD0EE1-2DA5-5C40-B9AB-F2F235300B6E}</x14:id>
        </ext>
      </extLst>
    </cfRule>
  </conditionalFormatting>
  <conditionalFormatting sqref="Q48">
    <cfRule type="colorScale" priority="725">
      <colorScale>
        <cfvo type="min"/>
        <cfvo type="percentile" val="50"/>
        <cfvo type="max"/>
        <color rgb="FF63BE7B"/>
        <color rgb="FFFFEB84"/>
        <color rgb="FFF8696B"/>
      </colorScale>
    </cfRule>
  </conditionalFormatting>
  <conditionalFormatting sqref="Q48">
    <cfRule type="dataBar" priority="724">
      <dataBar>
        <cfvo type="min"/>
        <cfvo type="max"/>
        <color rgb="FF638EC6"/>
      </dataBar>
      <extLst>
        <ext xmlns:x14="http://schemas.microsoft.com/office/spreadsheetml/2009/9/main" uri="{B025F937-C7B1-47D3-B67F-A62EFF666E3E}">
          <x14:id>{4BE1E0F8-5BDD-9142-8A47-4DBC7DC99290}</x14:id>
        </ext>
      </extLst>
    </cfRule>
  </conditionalFormatting>
  <conditionalFormatting sqref="AD35 R47 AC36 AB37 AA38 Z39 Y40 X41 W42 V43 U44 T45 S46">
    <cfRule type="colorScale" priority="723">
      <colorScale>
        <cfvo type="min"/>
        <cfvo type="percentile" val="50"/>
        <cfvo type="max"/>
        <color rgb="FF63BE7B"/>
        <color rgb="FFFFEB84"/>
        <color rgb="FFF8696B"/>
      </colorScale>
    </cfRule>
  </conditionalFormatting>
  <conditionalFormatting sqref="AD35 R47 AC36 AB37 AA38 Z39 Y40 X41 W42 V43 U44 T45 S46">
    <cfRule type="dataBar" priority="722">
      <dataBar>
        <cfvo type="min"/>
        <cfvo type="max"/>
        <color rgb="FF638EC6"/>
      </dataBar>
      <extLst>
        <ext xmlns:x14="http://schemas.microsoft.com/office/spreadsheetml/2009/9/main" uri="{B025F937-C7B1-47D3-B67F-A62EFF666E3E}">
          <x14:id>{5676D278-1311-DC47-A60E-506636BFC0FE}</x14:id>
        </ext>
      </extLst>
    </cfRule>
  </conditionalFormatting>
  <conditionalFormatting sqref="M54 AD37 AC38 AB39 AA40 Z41 Y42 X43 W44 V45 U46 T47 S48 R49 Q50 P51 O52 N53">
    <cfRule type="dataBar" priority="721">
      <dataBar>
        <cfvo type="min"/>
        <cfvo type="max"/>
        <color rgb="FF638EC6"/>
      </dataBar>
      <extLst>
        <ext xmlns:x14="http://schemas.microsoft.com/office/spreadsheetml/2009/9/main" uri="{B025F937-C7B1-47D3-B67F-A62EFF666E3E}">
          <x14:id>{3395608A-AD83-8B45-9FEC-E20B89F2A079}</x14:id>
        </ext>
      </extLst>
    </cfRule>
  </conditionalFormatting>
  <conditionalFormatting sqref="N53 AD37 AC38 AB39 AA40 Z41 Y42 X43 W44 V45 U46 T47 S48 R49 Q50 P51 O52">
    <cfRule type="colorScale" priority="720">
      <colorScale>
        <cfvo type="min"/>
        <cfvo type="percentile" val="50"/>
        <cfvo type="max"/>
        <color rgb="FF63BE7B"/>
        <color rgb="FFFFEB84"/>
        <color rgb="FFF8696B"/>
      </colorScale>
    </cfRule>
  </conditionalFormatting>
  <conditionalFormatting sqref="M56 AD39 AC40 AB41 AA42 Z43 Y44 X45 W46 V47 U48 T49 S50 R51 Q52 P53 O54 N55">
    <cfRule type="dataBar" priority="719">
      <dataBar>
        <cfvo type="min"/>
        <cfvo type="max"/>
        <color rgb="FF638EC6"/>
      </dataBar>
      <extLst>
        <ext xmlns:x14="http://schemas.microsoft.com/office/spreadsheetml/2009/9/main" uri="{B025F937-C7B1-47D3-B67F-A62EFF666E3E}">
          <x14:id>{9B917FFE-F086-CD4D-8781-90B21BBE53CB}</x14:id>
        </ext>
      </extLst>
    </cfRule>
  </conditionalFormatting>
  <conditionalFormatting sqref="N55 AD39 AC40 AB41 AA42 Z43 Y44 X45 W46 V47 U48 T49 S50 R51 Q52 P53 O54">
    <cfRule type="colorScale" priority="718">
      <colorScale>
        <cfvo type="min"/>
        <cfvo type="percentile" val="50"/>
        <cfvo type="max"/>
        <color rgb="FF63BE7B"/>
        <color rgb="FFFFEB84"/>
        <color rgb="FFF8696B"/>
      </colorScale>
    </cfRule>
  </conditionalFormatting>
  <conditionalFormatting sqref="M58 AD41 AC42 AB43 AA44 Z45 Y46 X47 W48 V49 U50 T51 S52 R53 Q54 P55 O56 N57">
    <cfRule type="dataBar" priority="717">
      <dataBar>
        <cfvo type="min"/>
        <cfvo type="max"/>
        <color rgb="FF638EC6"/>
      </dataBar>
      <extLst>
        <ext xmlns:x14="http://schemas.microsoft.com/office/spreadsheetml/2009/9/main" uri="{B025F937-C7B1-47D3-B67F-A62EFF666E3E}">
          <x14:id>{981EBB39-6394-4B4D-8BCE-23AC07A4A8E6}</x14:id>
        </ext>
      </extLst>
    </cfRule>
  </conditionalFormatting>
  <conditionalFormatting sqref="N57 AD41 AC42 AB43 AA44 Z45 Y46 X47 W48 V49 U50 T51 S52 R53 Q54 P55 O56">
    <cfRule type="colorScale" priority="716">
      <colorScale>
        <cfvo type="min"/>
        <cfvo type="percentile" val="50"/>
        <cfvo type="max"/>
        <color rgb="FF63BE7B"/>
        <color rgb="FFFFEB84"/>
        <color rgb="FFF8696B"/>
      </colorScale>
    </cfRule>
  </conditionalFormatting>
  <conditionalFormatting sqref="O58 AD43 AC44 AB45 AA46 Z47 Y48 X49 W50 V51 U52 T53 S54 R55 Q56 P57">
    <cfRule type="dataBar" priority="715">
      <dataBar>
        <cfvo type="min"/>
        <cfvo type="max"/>
        <color rgb="FF638EC6"/>
      </dataBar>
      <extLst>
        <ext xmlns:x14="http://schemas.microsoft.com/office/spreadsheetml/2009/9/main" uri="{B025F937-C7B1-47D3-B67F-A62EFF666E3E}">
          <x14:id>{BA26AE79-0420-CD45-B7E0-B1751D30D970}</x14:id>
        </ext>
      </extLst>
    </cfRule>
  </conditionalFormatting>
  <conditionalFormatting sqref="O58 AD43 AC44 AB45 AA46 Z47 Y48 X49 W50 V51 U52 T53 S54 R55 Q56 P57">
    <cfRule type="colorScale" priority="714">
      <colorScale>
        <cfvo type="min"/>
        <cfvo type="percentile" val="50"/>
        <cfvo type="max"/>
        <color rgb="FF63BE7B"/>
        <color rgb="FFFFEB84"/>
        <color rgb="FFF8696B"/>
      </colorScale>
    </cfRule>
  </conditionalFormatting>
  <conditionalFormatting sqref="O60">
    <cfRule type="dataBar" priority="713">
      <dataBar>
        <cfvo type="min"/>
        <cfvo type="max"/>
        <color rgb="FF638EC6"/>
      </dataBar>
      <extLst>
        <ext xmlns:x14="http://schemas.microsoft.com/office/spreadsheetml/2009/9/main" uri="{B025F937-C7B1-47D3-B67F-A62EFF666E3E}">
          <x14:id>{BE1E2FF9-6942-D544-8D06-F4E27EAB6E50}</x14:id>
        </ext>
      </extLst>
    </cfRule>
  </conditionalFormatting>
  <conditionalFormatting sqref="O60">
    <cfRule type="colorScale" priority="712">
      <colorScale>
        <cfvo type="min"/>
        <cfvo type="percentile" val="50"/>
        <cfvo type="max"/>
        <color rgb="FF63BE7B"/>
        <color rgb="FFFFEB84"/>
        <color rgb="FFF8696B"/>
      </colorScale>
    </cfRule>
  </conditionalFormatting>
  <conditionalFormatting sqref="P59">
    <cfRule type="dataBar" priority="711">
      <dataBar>
        <cfvo type="min"/>
        <cfvo type="max"/>
        <color rgb="FF638EC6"/>
      </dataBar>
      <extLst>
        <ext xmlns:x14="http://schemas.microsoft.com/office/spreadsheetml/2009/9/main" uri="{B025F937-C7B1-47D3-B67F-A62EFF666E3E}">
          <x14:id>{31F17550-413C-ED46-B6C4-6044A9DBE5FA}</x14:id>
        </ext>
      </extLst>
    </cfRule>
  </conditionalFormatting>
  <conditionalFormatting sqref="P59">
    <cfRule type="colorScale" priority="710">
      <colorScale>
        <cfvo type="min"/>
        <cfvo type="percentile" val="50"/>
        <cfvo type="max"/>
        <color rgb="FF63BE7B"/>
        <color rgb="FFFFEB84"/>
        <color rgb="FFF8696B"/>
      </colorScale>
    </cfRule>
  </conditionalFormatting>
  <conditionalFormatting sqref="Q58">
    <cfRule type="dataBar" priority="709">
      <dataBar>
        <cfvo type="min"/>
        <cfvo type="max"/>
        <color rgb="FF638EC6"/>
      </dataBar>
      <extLst>
        <ext xmlns:x14="http://schemas.microsoft.com/office/spreadsheetml/2009/9/main" uri="{B025F937-C7B1-47D3-B67F-A62EFF666E3E}">
          <x14:id>{EBA96F3A-2985-A74F-BE8F-2B30E658C425}</x14:id>
        </ext>
      </extLst>
    </cfRule>
  </conditionalFormatting>
  <conditionalFormatting sqref="Q58">
    <cfRule type="colorScale" priority="708">
      <colorScale>
        <cfvo type="min"/>
        <cfvo type="percentile" val="50"/>
        <cfvo type="max"/>
        <color rgb="FF63BE7B"/>
        <color rgb="FFFFEB84"/>
        <color rgb="FFF8696B"/>
      </colorScale>
    </cfRule>
  </conditionalFormatting>
  <conditionalFormatting sqref="R57">
    <cfRule type="dataBar" priority="707">
      <dataBar>
        <cfvo type="min"/>
        <cfvo type="max"/>
        <color rgb="FF638EC6"/>
      </dataBar>
      <extLst>
        <ext xmlns:x14="http://schemas.microsoft.com/office/spreadsheetml/2009/9/main" uri="{B025F937-C7B1-47D3-B67F-A62EFF666E3E}">
          <x14:id>{E8E19FA6-3544-6346-B9F0-C6E2466FA5CF}</x14:id>
        </ext>
      </extLst>
    </cfRule>
  </conditionalFormatting>
  <conditionalFormatting sqref="R57">
    <cfRule type="colorScale" priority="706">
      <colorScale>
        <cfvo type="min"/>
        <cfvo type="percentile" val="50"/>
        <cfvo type="max"/>
        <color rgb="FF63BE7B"/>
        <color rgb="FFFFEB84"/>
        <color rgb="FFF8696B"/>
      </colorScale>
    </cfRule>
  </conditionalFormatting>
  <conditionalFormatting sqref="S56">
    <cfRule type="dataBar" priority="705">
      <dataBar>
        <cfvo type="min"/>
        <cfvo type="max"/>
        <color rgb="FF638EC6"/>
      </dataBar>
      <extLst>
        <ext xmlns:x14="http://schemas.microsoft.com/office/spreadsheetml/2009/9/main" uri="{B025F937-C7B1-47D3-B67F-A62EFF666E3E}">
          <x14:id>{B0308108-8D23-3443-A391-E3B35FA3DA5D}</x14:id>
        </ext>
      </extLst>
    </cfRule>
  </conditionalFormatting>
  <conditionalFormatting sqref="S56">
    <cfRule type="colorScale" priority="704">
      <colorScale>
        <cfvo type="min"/>
        <cfvo type="percentile" val="50"/>
        <cfvo type="max"/>
        <color rgb="FF63BE7B"/>
        <color rgb="FFFFEB84"/>
        <color rgb="FFF8696B"/>
      </colorScale>
    </cfRule>
  </conditionalFormatting>
  <conditionalFormatting sqref="T55">
    <cfRule type="dataBar" priority="703">
      <dataBar>
        <cfvo type="min"/>
        <cfvo type="max"/>
        <color rgb="FF638EC6"/>
      </dataBar>
      <extLst>
        <ext xmlns:x14="http://schemas.microsoft.com/office/spreadsheetml/2009/9/main" uri="{B025F937-C7B1-47D3-B67F-A62EFF666E3E}">
          <x14:id>{661DF141-1C59-8545-BD78-88CC5AE6189D}</x14:id>
        </ext>
      </extLst>
    </cfRule>
  </conditionalFormatting>
  <conditionalFormatting sqref="T55">
    <cfRule type="colorScale" priority="702">
      <colorScale>
        <cfvo type="min"/>
        <cfvo type="percentile" val="50"/>
        <cfvo type="max"/>
        <color rgb="FF63BE7B"/>
        <color rgb="FFFFEB84"/>
        <color rgb="FFF8696B"/>
      </colorScale>
    </cfRule>
  </conditionalFormatting>
  <conditionalFormatting sqref="U54">
    <cfRule type="dataBar" priority="701">
      <dataBar>
        <cfvo type="min"/>
        <cfvo type="max"/>
        <color rgb="FF638EC6"/>
      </dataBar>
      <extLst>
        <ext xmlns:x14="http://schemas.microsoft.com/office/spreadsheetml/2009/9/main" uri="{B025F937-C7B1-47D3-B67F-A62EFF666E3E}">
          <x14:id>{7562B91D-022A-3844-B9E8-90143DD14804}</x14:id>
        </ext>
      </extLst>
    </cfRule>
  </conditionalFormatting>
  <conditionalFormatting sqref="U54">
    <cfRule type="colorScale" priority="700">
      <colorScale>
        <cfvo type="min"/>
        <cfvo type="percentile" val="50"/>
        <cfvo type="max"/>
        <color rgb="FF63BE7B"/>
        <color rgb="FFFFEB84"/>
        <color rgb="FFF8696B"/>
      </colorScale>
    </cfRule>
  </conditionalFormatting>
  <conditionalFormatting sqref="V53">
    <cfRule type="dataBar" priority="699">
      <dataBar>
        <cfvo type="min"/>
        <cfvo type="max"/>
        <color rgb="FF638EC6"/>
      </dataBar>
      <extLst>
        <ext xmlns:x14="http://schemas.microsoft.com/office/spreadsheetml/2009/9/main" uri="{B025F937-C7B1-47D3-B67F-A62EFF666E3E}">
          <x14:id>{B562549A-BFD5-CA41-ADA0-C8829781B101}</x14:id>
        </ext>
      </extLst>
    </cfRule>
  </conditionalFormatting>
  <conditionalFormatting sqref="V53">
    <cfRule type="colorScale" priority="698">
      <colorScale>
        <cfvo type="min"/>
        <cfvo type="percentile" val="50"/>
        <cfvo type="max"/>
        <color rgb="FF63BE7B"/>
        <color rgb="FFFFEB84"/>
        <color rgb="FFF8696B"/>
      </colorScale>
    </cfRule>
  </conditionalFormatting>
  <conditionalFormatting sqref="W52">
    <cfRule type="dataBar" priority="697">
      <dataBar>
        <cfvo type="min"/>
        <cfvo type="max"/>
        <color rgb="FF638EC6"/>
      </dataBar>
      <extLst>
        <ext xmlns:x14="http://schemas.microsoft.com/office/spreadsheetml/2009/9/main" uri="{B025F937-C7B1-47D3-B67F-A62EFF666E3E}">
          <x14:id>{2372E8D7-56C8-C94E-8E85-5DF005DAEA02}</x14:id>
        </ext>
      </extLst>
    </cfRule>
  </conditionalFormatting>
  <conditionalFormatting sqref="W52">
    <cfRule type="colorScale" priority="696">
      <colorScale>
        <cfvo type="min"/>
        <cfvo type="percentile" val="50"/>
        <cfvo type="max"/>
        <color rgb="FF63BE7B"/>
        <color rgb="FFFFEB84"/>
        <color rgb="FFF8696B"/>
      </colorScale>
    </cfRule>
  </conditionalFormatting>
  <conditionalFormatting sqref="O62">
    <cfRule type="dataBar" priority="695">
      <dataBar>
        <cfvo type="min"/>
        <cfvo type="max"/>
        <color rgb="FF638EC6"/>
      </dataBar>
      <extLst>
        <ext xmlns:x14="http://schemas.microsoft.com/office/spreadsheetml/2009/9/main" uri="{B025F937-C7B1-47D3-B67F-A62EFF666E3E}">
          <x14:id>{B7F9610E-2445-F44B-A4CF-29DA1DD302DE}</x14:id>
        </ext>
      </extLst>
    </cfRule>
  </conditionalFormatting>
  <conditionalFormatting sqref="O62">
    <cfRule type="colorScale" priority="694">
      <colorScale>
        <cfvo type="min"/>
        <cfvo type="percentile" val="50"/>
        <cfvo type="max"/>
        <color rgb="FF63BE7B"/>
        <color rgb="FFFFEB84"/>
        <color rgb="FFF8696B"/>
      </colorScale>
    </cfRule>
  </conditionalFormatting>
  <conditionalFormatting sqref="P63">
    <cfRule type="dataBar" priority="693">
      <dataBar>
        <cfvo type="min"/>
        <cfvo type="max"/>
        <color rgb="FF638EC6"/>
      </dataBar>
      <extLst>
        <ext xmlns:x14="http://schemas.microsoft.com/office/spreadsheetml/2009/9/main" uri="{B025F937-C7B1-47D3-B67F-A62EFF666E3E}">
          <x14:id>{100074FF-4A8D-5C41-A32F-22F426B954C1}</x14:id>
        </ext>
      </extLst>
    </cfRule>
  </conditionalFormatting>
  <conditionalFormatting sqref="P63">
    <cfRule type="colorScale" priority="692">
      <colorScale>
        <cfvo type="min"/>
        <cfvo type="percentile" val="50"/>
        <cfvo type="max"/>
        <color rgb="FF63BE7B"/>
        <color rgb="FFFFEB84"/>
        <color rgb="FFF8696B"/>
      </colorScale>
    </cfRule>
  </conditionalFormatting>
  <conditionalFormatting sqref="Q64">
    <cfRule type="dataBar" priority="691">
      <dataBar>
        <cfvo type="min"/>
        <cfvo type="max"/>
        <color rgb="FF638EC6"/>
      </dataBar>
      <extLst>
        <ext xmlns:x14="http://schemas.microsoft.com/office/spreadsheetml/2009/9/main" uri="{B025F937-C7B1-47D3-B67F-A62EFF666E3E}">
          <x14:id>{524BE740-BA9D-D144-AE23-E345A679F055}</x14:id>
        </ext>
      </extLst>
    </cfRule>
  </conditionalFormatting>
  <conditionalFormatting sqref="Q64">
    <cfRule type="colorScale" priority="690">
      <colorScale>
        <cfvo type="min"/>
        <cfvo type="percentile" val="50"/>
        <cfvo type="max"/>
        <color rgb="FF63BE7B"/>
        <color rgb="FFFFEB84"/>
        <color rgb="FFF8696B"/>
      </colorScale>
    </cfRule>
  </conditionalFormatting>
  <conditionalFormatting sqref="R65">
    <cfRule type="dataBar" priority="689">
      <dataBar>
        <cfvo type="min"/>
        <cfvo type="max"/>
        <color rgb="FF638EC6"/>
      </dataBar>
      <extLst>
        <ext xmlns:x14="http://schemas.microsoft.com/office/spreadsheetml/2009/9/main" uri="{B025F937-C7B1-47D3-B67F-A62EFF666E3E}">
          <x14:id>{DD60CF4A-216B-B847-8816-C0387F053898}</x14:id>
        </ext>
      </extLst>
    </cfRule>
  </conditionalFormatting>
  <conditionalFormatting sqref="R65">
    <cfRule type="colorScale" priority="688">
      <colorScale>
        <cfvo type="min"/>
        <cfvo type="percentile" val="50"/>
        <cfvo type="max"/>
        <color rgb="FF63BE7B"/>
        <color rgb="FFFFEB84"/>
        <color rgb="FFF8696B"/>
      </colorScale>
    </cfRule>
  </conditionalFormatting>
  <conditionalFormatting sqref="S66">
    <cfRule type="dataBar" priority="687">
      <dataBar>
        <cfvo type="min"/>
        <cfvo type="max"/>
        <color rgb="FF638EC6"/>
      </dataBar>
      <extLst>
        <ext xmlns:x14="http://schemas.microsoft.com/office/spreadsheetml/2009/9/main" uri="{B025F937-C7B1-47D3-B67F-A62EFF666E3E}">
          <x14:id>{B0CD00CB-8DBF-9440-A173-9BD1743C0A42}</x14:id>
        </ext>
      </extLst>
    </cfRule>
  </conditionalFormatting>
  <conditionalFormatting sqref="S66">
    <cfRule type="colorScale" priority="686">
      <colorScale>
        <cfvo type="min"/>
        <cfvo type="percentile" val="50"/>
        <cfvo type="max"/>
        <color rgb="FF63BE7B"/>
        <color rgb="FFFFEB84"/>
        <color rgb="FFF8696B"/>
      </colorScale>
    </cfRule>
  </conditionalFormatting>
  <conditionalFormatting sqref="T67">
    <cfRule type="dataBar" priority="685">
      <dataBar>
        <cfvo type="min"/>
        <cfvo type="max"/>
        <color rgb="FF638EC6"/>
      </dataBar>
      <extLst>
        <ext xmlns:x14="http://schemas.microsoft.com/office/spreadsheetml/2009/9/main" uri="{B025F937-C7B1-47D3-B67F-A62EFF666E3E}">
          <x14:id>{AFBA5070-898F-8347-92B7-D9443A36DCDA}</x14:id>
        </ext>
      </extLst>
    </cfRule>
  </conditionalFormatting>
  <conditionalFormatting sqref="T67">
    <cfRule type="colorScale" priority="684">
      <colorScale>
        <cfvo type="min"/>
        <cfvo type="percentile" val="50"/>
        <cfvo type="max"/>
        <color rgb="FF63BE7B"/>
        <color rgb="FFFFEB84"/>
        <color rgb="FFF8696B"/>
      </colorScale>
    </cfRule>
  </conditionalFormatting>
  <conditionalFormatting sqref="U68">
    <cfRule type="dataBar" priority="683">
      <dataBar>
        <cfvo type="min"/>
        <cfvo type="max"/>
        <color rgb="FF638EC6"/>
      </dataBar>
      <extLst>
        <ext xmlns:x14="http://schemas.microsoft.com/office/spreadsheetml/2009/9/main" uri="{B025F937-C7B1-47D3-B67F-A62EFF666E3E}">
          <x14:id>{3E83A677-8797-2245-A13E-B8E4DC4C4373}</x14:id>
        </ext>
      </extLst>
    </cfRule>
  </conditionalFormatting>
  <conditionalFormatting sqref="U68">
    <cfRule type="colorScale" priority="682">
      <colorScale>
        <cfvo type="min"/>
        <cfvo type="percentile" val="50"/>
        <cfvo type="max"/>
        <color rgb="FF63BE7B"/>
        <color rgb="FFFFEB84"/>
        <color rgb="FFF8696B"/>
      </colorScale>
    </cfRule>
  </conditionalFormatting>
  <conditionalFormatting sqref="V69">
    <cfRule type="dataBar" priority="681">
      <dataBar>
        <cfvo type="min"/>
        <cfvo type="max"/>
        <color rgb="FF638EC6"/>
      </dataBar>
      <extLst>
        <ext xmlns:x14="http://schemas.microsoft.com/office/spreadsheetml/2009/9/main" uri="{B025F937-C7B1-47D3-B67F-A62EFF666E3E}">
          <x14:id>{BF539CEE-6393-CC40-85F9-0772B1F5C115}</x14:id>
        </ext>
      </extLst>
    </cfRule>
  </conditionalFormatting>
  <conditionalFormatting sqref="V69">
    <cfRule type="colorScale" priority="680">
      <colorScale>
        <cfvo type="min"/>
        <cfvo type="percentile" val="50"/>
        <cfvo type="max"/>
        <color rgb="FF63BE7B"/>
        <color rgb="FFFFEB84"/>
        <color rgb="FFF8696B"/>
      </colorScale>
    </cfRule>
  </conditionalFormatting>
  <conditionalFormatting sqref="W70">
    <cfRule type="dataBar" priority="679">
      <dataBar>
        <cfvo type="min"/>
        <cfvo type="max"/>
        <color rgb="FF638EC6"/>
      </dataBar>
      <extLst>
        <ext xmlns:x14="http://schemas.microsoft.com/office/spreadsheetml/2009/9/main" uri="{B025F937-C7B1-47D3-B67F-A62EFF666E3E}">
          <x14:id>{0961D925-15E7-354B-8718-644828D18736}</x14:id>
        </ext>
      </extLst>
    </cfRule>
  </conditionalFormatting>
  <conditionalFormatting sqref="W70">
    <cfRule type="colorScale" priority="678">
      <colorScale>
        <cfvo type="min"/>
        <cfvo type="percentile" val="50"/>
        <cfvo type="max"/>
        <color rgb="FF63BE7B"/>
        <color rgb="FFFFEB84"/>
        <color rgb="FFF8696B"/>
      </colorScale>
    </cfRule>
  </conditionalFormatting>
  <conditionalFormatting sqref="X71">
    <cfRule type="dataBar" priority="677">
      <dataBar>
        <cfvo type="min"/>
        <cfvo type="max"/>
        <color rgb="FF638EC6"/>
      </dataBar>
      <extLst>
        <ext xmlns:x14="http://schemas.microsoft.com/office/spreadsheetml/2009/9/main" uri="{B025F937-C7B1-47D3-B67F-A62EFF666E3E}">
          <x14:id>{60A01776-47E8-0041-A06D-DF260BB7FC74}</x14:id>
        </ext>
      </extLst>
    </cfRule>
  </conditionalFormatting>
  <conditionalFormatting sqref="X71">
    <cfRule type="colorScale" priority="676">
      <colorScale>
        <cfvo type="min"/>
        <cfvo type="percentile" val="50"/>
        <cfvo type="max"/>
        <color rgb="FF63BE7B"/>
        <color rgb="FFFFEB84"/>
        <color rgb="FFF8696B"/>
      </colorScale>
    </cfRule>
  </conditionalFormatting>
  <conditionalFormatting sqref="Y72">
    <cfRule type="dataBar" priority="675">
      <dataBar>
        <cfvo type="min"/>
        <cfvo type="max"/>
        <color rgb="FF638EC6"/>
      </dataBar>
      <extLst>
        <ext xmlns:x14="http://schemas.microsoft.com/office/spreadsheetml/2009/9/main" uri="{B025F937-C7B1-47D3-B67F-A62EFF666E3E}">
          <x14:id>{D1D4CAE1-D1A2-B145-84DD-10E3CBCC7AB6}</x14:id>
        </ext>
      </extLst>
    </cfRule>
  </conditionalFormatting>
  <conditionalFormatting sqref="Y72">
    <cfRule type="colorScale" priority="674">
      <colorScale>
        <cfvo type="min"/>
        <cfvo type="percentile" val="50"/>
        <cfvo type="max"/>
        <color rgb="FF63BE7B"/>
        <color rgb="FFFFEB84"/>
        <color rgb="FFF8696B"/>
      </colorScale>
    </cfRule>
  </conditionalFormatting>
  <conditionalFormatting sqref="Z73">
    <cfRule type="dataBar" priority="673">
      <dataBar>
        <cfvo type="min"/>
        <cfvo type="max"/>
        <color rgb="FF638EC6"/>
      </dataBar>
      <extLst>
        <ext xmlns:x14="http://schemas.microsoft.com/office/spreadsheetml/2009/9/main" uri="{B025F937-C7B1-47D3-B67F-A62EFF666E3E}">
          <x14:id>{0EB29B45-C7E3-D448-A756-52AD24DC830A}</x14:id>
        </ext>
      </extLst>
    </cfRule>
  </conditionalFormatting>
  <conditionalFormatting sqref="Z73">
    <cfRule type="colorScale" priority="672">
      <colorScale>
        <cfvo type="min"/>
        <cfvo type="percentile" val="50"/>
        <cfvo type="max"/>
        <color rgb="FF63BE7B"/>
        <color rgb="FFFFEB84"/>
        <color rgb="FFF8696B"/>
      </colorScale>
    </cfRule>
  </conditionalFormatting>
  <conditionalFormatting sqref="AA74">
    <cfRule type="dataBar" priority="671">
      <dataBar>
        <cfvo type="min"/>
        <cfvo type="max"/>
        <color rgb="FF638EC6"/>
      </dataBar>
      <extLst>
        <ext xmlns:x14="http://schemas.microsoft.com/office/spreadsheetml/2009/9/main" uri="{B025F937-C7B1-47D3-B67F-A62EFF666E3E}">
          <x14:id>{79296631-C683-2244-9716-AF3A42CBF556}</x14:id>
        </ext>
      </extLst>
    </cfRule>
  </conditionalFormatting>
  <conditionalFormatting sqref="AA74">
    <cfRule type="colorScale" priority="670">
      <colorScale>
        <cfvo type="min"/>
        <cfvo type="percentile" val="50"/>
        <cfvo type="max"/>
        <color rgb="FF63BE7B"/>
        <color rgb="FFFFEB84"/>
        <color rgb="FFF8696B"/>
      </colorScale>
    </cfRule>
  </conditionalFormatting>
  <conditionalFormatting sqref="AB75">
    <cfRule type="dataBar" priority="669">
      <dataBar>
        <cfvo type="min"/>
        <cfvo type="max"/>
        <color rgb="FF638EC6"/>
      </dataBar>
      <extLst>
        <ext xmlns:x14="http://schemas.microsoft.com/office/spreadsheetml/2009/9/main" uri="{B025F937-C7B1-47D3-B67F-A62EFF666E3E}">
          <x14:id>{0047C106-3698-F04E-A62D-86D3FA8B544A}</x14:id>
        </ext>
      </extLst>
    </cfRule>
  </conditionalFormatting>
  <conditionalFormatting sqref="AB75">
    <cfRule type="colorScale" priority="668">
      <colorScale>
        <cfvo type="min"/>
        <cfvo type="percentile" val="50"/>
        <cfvo type="max"/>
        <color rgb="FF63BE7B"/>
        <color rgb="FFFFEB84"/>
        <color rgb="FFF8696B"/>
      </colorScale>
    </cfRule>
  </conditionalFormatting>
  <conditionalFormatting sqref="AC76">
    <cfRule type="dataBar" priority="667">
      <dataBar>
        <cfvo type="min"/>
        <cfvo type="max"/>
        <color rgb="FF638EC6"/>
      </dataBar>
      <extLst>
        <ext xmlns:x14="http://schemas.microsoft.com/office/spreadsheetml/2009/9/main" uri="{B025F937-C7B1-47D3-B67F-A62EFF666E3E}">
          <x14:id>{9D7F787C-4E04-B64E-A429-4095B4DEDD8E}</x14:id>
        </ext>
      </extLst>
    </cfRule>
  </conditionalFormatting>
  <conditionalFormatting sqref="AC76">
    <cfRule type="colorScale" priority="666">
      <colorScale>
        <cfvo type="min"/>
        <cfvo type="percentile" val="50"/>
        <cfvo type="max"/>
        <color rgb="FF63BE7B"/>
        <color rgb="FFFFEB84"/>
        <color rgb="FFF8696B"/>
      </colorScale>
    </cfRule>
  </conditionalFormatting>
  <conditionalFormatting sqref="AD77">
    <cfRule type="dataBar" priority="665">
      <dataBar>
        <cfvo type="min"/>
        <cfvo type="max"/>
        <color rgb="FF638EC6"/>
      </dataBar>
      <extLst>
        <ext xmlns:x14="http://schemas.microsoft.com/office/spreadsheetml/2009/9/main" uri="{B025F937-C7B1-47D3-B67F-A62EFF666E3E}">
          <x14:id>{81DCD033-BE8A-CC4E-B3C2-55D7F74A9310}</x14:id>
        </ext>
      </extLst>
    </cfRule>
  </conditionalFormatting>
  <conditionalFormatting sqref="AD77">
    <cfRule type="colorScale" priority="664">
      <colorScale>
        <cfvo type="min"/>
        <cfvo type="percentile" val="50"/>
        <cfvo type="max"/>
        <color rgb="FF63BE7B"/>
        <color rgb="FFFFEB84"/>
        <color rgb="FFF8696B"/>
      </colorScale>
    </cfRule>
  </conditionalFormatting>
  <conditionalFormatting sqref="P61 AD75 AC74 AB73 AA72 Z71 Y70 X69 W68 V67 U66 T65 S64 R63 Q62">
    <cfRule type="dataBar" priority="663">
      <dataBar>
        <cfvo type="min"/>
        <cfvo type="max"/>
        <color rgb="FF638EC6"/>
      </dataBar>
      <extLst>
        <ext xmlns:x14="http://schemas.microsoft.com/office/spreadsheetml/2009/9/main" uri="{B025F937-C7B1-47D3-B67F-A62EFF666E3E}">
          <x14:id>{234C1E04-B2F7-FE4C-B07A-105C8E2C66D4}</x14:id>
        </ext>
      </extLst>
    </cfRule>
  </conditionalFormatting>
  <conditionalFormatting sqref="P61 AD75 AC74 AB73 AA72 Z71 Y70 X69 W68 V67 U66 T65 S64 R63 Q62">
    <cfRule type="colorScale" priority="662">
      <colorScale>
        <cfvo type="min"/>
        <cfvo type="percentile" val="50"/>
        <cfvo type="max"/>
        <color rgb="FF63BE7B"/>
        <color rgb="FFFFEB84"/>
        <color rgb="FFF8696B"/>
      </colorScale>
    </cfRule>
  </conditionalFormatting>
  <conditionalFormatting sqref="Q60 AD73 AC72 AB71 AA70 Z69 Y68 X67 W66 V65 U64 T63 S62 R61">
    <cfRule type="dataBar" priority="661">
      <dataBar>
        <cfvo type="min"/>
        <cfvo type="max"/>
        <color rgb="FF638EC6"/>
      </dataBar>
      <extLst>
        <ext xmlns:x14="http://schemas.microsoft.com/office/spreadsheetml/2009/9/main" uri="{B025F937-C7B1-47D3-B67F-A62EFF666E3E}">
          <x14:id>{8DEA8A98-CC38-8F44-841C-531C10EA01FF}</x14:id>
        </ext>
      </extLst>
    </cfRule>
  </conditionalFormatting>
  <conditionalFormatting sqref="Q60 AD73 AC72 AB71 AA70 Z69 Y68 X67 W66 V65 U64 T63 S62 R61">
    <cfRule type="colorScale" priority="660">
      <colorScale>
        <cfvo type="min"/>
        <cfvo type="percentile" val="50"/>
        <cfvo type="max"/>
        <color rgb="FF63BE7B"/>
        <color rgb="FFFFEB84"/>
        <color rgb="FFF8696B"/>
      </colorScale>
    </cfRule>
  </conditionalFormatting>
  <conditionalFormatting sqref="R59 AD71 AC70 AB69 AA68 Z67 Y66 X65 W64 V63 U62 T61 S60">
    <cfRule type="dataBar" priority="659">
      <dataBar>
        <cfvo type="min"/>
        <cfvo type="max"/>
        <color rgb="FF638EC6"/>
      </dataBar>
      <extLst>
        <ext xmlns:x14="http://schemas.microsoft.com/office/spreadsheetml/2009/9/main" uri="{B025F937-C7B1-47D3-B67F-A62EFF666E3E}">
          <x14:id>{40CC3D56-AF78-F845-80CA-7D189477A7DC}</x14:id>
        </ext>
      </extLst>
    </cfRule>
  </conditionalFormatting>
  <conditionalFormatting sqref="R59 AD71 AC70 AB69 AA68 Z67 Y66 X65 W64 V63 U62 T61 S60">
    <cfRule type="colorScale" priority="658">
      <colorScale>
        <cfvo type="min"/>
        <cfvo type="percentile" val="50"/>
        <cfvo type="max"/>
        <color rgb="FF63BE7B"/>
        <color rgb="FFFFEB84"/>
        <color rgb="FFF8696B"/>
      </colorScale>
    </cfRule>
  </conditionalFormatting>
  <conditionalFormatting sqref="S58 AD69 AC68 AB67 AA66 Z65 Y64 X63 W62 V61 U60 T59">
    <cfRule type="dataBar" priority="657">
      <dataBar>
        <cfvo type="min"/>
        <cfvo type="max"/>
        <color rgb="FF638EC6"/>
      </dataBar>
      <extLst>
        <ext xmlns:x14="http://schemas.microsoft.com/office/spreadsheetml/2009/9/main" uri="{B025F937-C7B1-47D3-B67F-A62EFF666E3E}">
          <x14:id>{154479FE-5418-E540-B370-6ED9638E5DC4}</x14:id>
        </ext>
      </extLst>
    </cfRule>
  </conditionalFormatting>
  <conditionalFormatting sqref="S58 AD69 AC68 AB67 AA66 Z65 Y64 X63 W62 V61 U60 T59">
    <cfRule type="colorScale" priority="656">
      <colorScale>
        <cfvo type="min"/>
        <cfvo type="percentile" val="50"/>
        <cfvo type="max"/>
        <color rgb="FF63BE7B"/>
        <color rgb="FFFFEB84"/>
        <color rgb="FFF8696B"/>
      </colorScale>
    </cfRule>
  </conditionalFormatting>
  <conditionalFormatting sqref="T57 AD67 AC66 AB65 AA64 Z63 Y62 X61 W60 V59 U58">
    <cfRule type="dataBar" priority="655">
      <dataBar>
        <cfvo type="min"/>
        <cfvo type="max"/>
        <color rgb="FF638EC6"/>
      </dataBar>
      <extLst>
        <ext xmlns:x14="http://schemas.microsoft.com/office/spreadsheetml/2009/9/main" uri="{B025F937-C7B1-47D3-B67F-A62EFF666E3E}">
          <x14:id>{DDC0D674-1ED8-CD47-932A-1BD947577CBC}</x14:id>
        </ext>
      </extLst>
    </cfRule>
  </conditionalFormatting>
  <conditionalFormatting sqref="T57 AD67 AC66 AB65 AA64 Z63 Y62 X61 W60 V59 U58">
    <cfRule type="colorScale" priority="654">
      <colorScale>
        <cfvo type="min"/>
        <cfvo type="percentile" val="50"/>
        <cfvo type="max"/>
        <color rgb="FF63BE7B"/>
        <color rgb="FFFFEB84"/>
        <color rgb="FFF8696B"/>
      </colorScale>
    </cfRule>
  </conditionalFormatting>
  <conditionalFormatting sqref="U56 AD65 AC64 AB63 AA62 Z61 Y60 X59 W58 V57">
    <cfRule type="dataBar" priority="653">
      <dataBar>
        <cfvo type="min"/>
        <cfvo type="max"/>
        <color rgb="FF638EC6"/>
      </dataBar>
      <extLst>
        <ext xmlns:x14="http://schemas.microsoft.com/office/spreadsheetml/2009/9/main" uri="{B025F937-C7B1-47D3-B67F-A62EFF666E3E}">
          <x14:id>{CCE4ADB7-D152-4B4D-BD26-B8F3FEFAADF6}</x14:id>
        </ext>
      </extLst>
    </cfRule>
  </conditionalFormatting>
  <conditionalFormatting sqref="U56 AD65 AC64 AB63 AA62 Z61 Y60 X59 W58 V57">
    <cfRule type="colorScale" priority="652">
      <colorScale>
        <cfvo type="min"/>
        <cfvo type="percentile" val="50"/>
        <cfvo type="max"/>
        <color rgb="FF63BE7B"/>
        <color rgb="FFFFEB84"/>
        <color rgb="FFF8696B"/>
      </colorScale>
    </cfRule>
  </conditionalFormatting>
  <conditionalFormatting sqref="V55 AD63 AC62 AB61 AA60 Z59 Y58 X57 W56">
    <cfRule type="dataBar" priority="651">
      <dataBar>
        <cfvo type="min"/>
        <cfvo type="max"/>
        <color rgb="FF638EC6"/>
      </dataBar>
      <extLst>
        <ext xmlns:x14="http://schemas.microsoft.com/office/spreadsheetml/2009/9/main" uri="{B025F937-C7B1-47D3-B67F-A62EFF666E3E}">
          <x14:id>{C5D68C98-8928-FA43-B2C8-4428B8792131}</x14:id>
        </ext>
      </extLst>
    </cfRule>
  </conditionalFormatting>
  <conditionalFormatting sqref="V55 AD63 AC62 AB61 AA60 Z59 Y58 X57 W56">
    <cfRule type="colorScale" priority="650">
      <colorScale>
        <cfvo type="min"/>
        <cfvo type="percentile" val="50"/>
        <cfvo type="max"/>
        <color rgb="FF63BE7B"/>
        <color rgb="FFFFEB84"/>
        <color rgb="FFF8696B"/>
      </colorScale>
    </cfRule>
  </conditionalFormatting>
  <conditionalFormatting sqref="W54 AD61 AC60 AB59 AA58 Z57 Y56 X55">
    <cfRule type="dataBar" priority="649">
      <dataBar>
        <cfvo type="min"/>
        <cfvo type="max"/>
        <color rgb="FF638EC6"/>
      </dataBar>
      <extLst>
        <ext xmlns:x14="http://schemas.microsoft.com/office/spreadsheetml/2009/9/main" uri="{B025F937-C7B1-47D3-B67F-A62EFF666E3E}">
          <x14:id>{B38304FD-5353-3F40-842B-A84D828021EE}</x14:id>
        </ext>
      </extLst>
    </cfRule>
  </conditionalFormatting>
  <conditionalFormatting sqref="W54 AD61 AC60 AB59 AA58 Z57 Y56 X55">
    <cfRule type="colorScale" priority="648">
      <colorScale>
        <cfvo type="min"/>
        <cfvo type="percentile" val="50"/>
        <cfvo type="max"/>
        <color rgb="FF63BE7B"/>
        <color rgb="FFFFEB84"/>
        <color rgb="FFF8696B"/>
      </colorScale>
    </cfRule>
  </conditionalFormatting>
  <conditionalFormatting sqref="AD59 X53 AC58 AB57 AA56 Z55 Y54">
    <cfRule type="dataBar" priority="647">
      <dataBar>
        <cfvo type="min"/>
        <cfvo type="max"/>
        <color rgb="FF638EC6"/>
      </dataBar>
      <extLst>
        <ext xmlns:x14="http://schemas.microsoft.com/office/spreadsheetml/2009/9/main" uri="{B025F937-C7B1-47D3-B67F-A62EFF666E3E}">
          <x14:id>{E4D10348-6CDE-DF4E-A469-C20C27408559}</x14:id>
        </ext>
      </extLst>
    </cfRule>
  </conditionalFormatting>
  <conditionalFormatting sqref="AD59 X53 AC58 AB57 AA56 Z55 Y54">
    <cfRule type="colorScale" priority="646">
      <colorScale>
        <cfvo type="min"/>
        <cfvo type="percentile" val="50"/>
        <cfvo type="max"/>
        <color rgb="FF63BE7B"/>
        <color rgb="FFFFEB84"/>
        <color rgb="FFF8696B"/>
      </colorScale>
    </cfRule>
  </conditionalFormatting>
  <conditionalFormatting sqref="AD57 X51 AC56 AB55 AA54 Z53 Y52">
    <cfRule type="dataBar" priority="645">
      <dataBar>
        <cfvo type="min"/>
        <cfvo type="max"/>
        <color rgb="FF638EC6"/>
      </dataBar>
      <extLst>
        <ext xmlns:x14="http://schemas.microsoft.com/office/spreadsheetml/2009/9/main" uri="{B025F937-C7B1-47D3-B67F-A62EFF666E3E}">
          <x14:id>{0716CE13-BED6-6E41-A8AC-AC86E03B8A3C}</x14:id>
        </ext>
      </extLst>
    </cfRule>
  </conditionalFormatting>
  <conditionalFormatting sqref="AD57 X51 AC56 AB55 AA54 Z53 Y52">
    <cfRule type="colorScale" priority="644">
      <colorScale>
        <cfvo type="min"/>
        <cfvo type="percentile" val="50"/>
        <cfvo type="max"/>
        <color rgb="FF63BE7B"/>
        <color rgb="FFFFEB84"/>
        <color rgb="FFF8696B"/>
      </colorScale>
    </cfRule>
  </conditionalFormatting>
  <conditionalFormatting sqref="AD55 Y50 AC54 AB53 AA52 Z51">
    <cfRule type="dataBar" priority="643">
      <dataBar>
        <cfvo type="min"/>
        <cfvo type="max"/>
        <color rgb="FF638EC6"/>
      </dataBar>
      <extLst>
        <ext xmlns:x14="http://schemas.microsoft.com/office/spreadsheetml/2009/9/main" uri="{B025F937-C7B1-47D3-B67F-A62EFF666E3E}">
          <x14:id>{E9AC73B2-0EB4-FB46-9825-8705D693FDAD}</x14:id>
        </ext>
      </extLst>
    </cfRule>
  </conditionalFormatting>
  <conditionalFormatting sqref="AD55 Y50 AC54 AB53 AA52 Z51">
    <cfRule type="colorScale" priority="642">
      <colorScale>
        <cfvo type="min"/>
        <cfvo type="percentile" val="50"/>
        <cfvo type="max"/>
        <color rgb="FF63BE7B"/>
        <color rgb="FFFFEB84"/>
        <color rgb="FFF8696B"/>
      </colorScale>
    </cfRule>
  </conditionalFormatting>
  <conditionalFormatting sqref="AD53 Z49 AC52 AB51 AA50">
    <cfRule type="dataBar" priority="641">
      <dataBar>
        <cfvo type="min"/>
        <cfvo type="max"/>
        <color rgb="FF638EC6"/>
      </dataBar>
      <extLst>
        <ext xmlns:x14="http://schemas.microsoft.com/office/spreadsheetml/2009/9/main" uri="{B025F937-C7B1-47D3-B67F-A62EFF666E3E}">
          <x14:id>{B6AF506F-F048-1C43-B11D-8CB7B2FBD54E}</x14:id>
        </ext>
      </extLst>
    </cfRule>
  </conditionalFormatting>
  <conditionalFormatting sqref="AD53 Z49 AC52 AB51 AA50">
    <cfRule type="colorScale" priority="640">
      <colorScale>
        <cfvo type="min"/>
        <cfvo type="percentile" val="50"/>
        <cfvo type="max"/>
        <color rgb="FF63BE7B"/>
        <color rgb="FFFFEB84"/>
        <color rgb="FFF8696B"/>
      </colorScale>
    </cfRule>
  </conditionalFormatting>
  <conditionalFormatting sqref="AA48 AD51 AC50 AB49">
    <cfRule type="dataBar" priority="639">
      <dataBar>
        <cfvo type="min"/>
        <cfvo type="max"/>
        <color rgb="FF638EC6"/>
      </dataBar>
      <extLst>
        <ext xmlns:x14="http://schemas.microsoft.com/office/spreadsheetml/2009/9/main" uri="{B025F937-C7B1-47D3-B67F-A62EFF666E3E}">
          <x14:id>{F97ABD7B-9C15-1E46-813C-E13DBB1134DC}</x14:id>
        </ext>
      </extLst>
    </cfRule>
  </conditionalFormatting>
  <conditionalFormatting sqref="AA48 AD51 AC50 AB49">
    <cfRule type="colorScale" priority="638">
      <colorScale>
        <cfvo type="min"/>
        <cfvo type="percentile" val="50"/>
        <cfvo type="max"/>
        <color rgb="FF63BE7B"/>
        <color rgb="FFFFEB84"/>
        <color rgb="FFF8696B"/>
      </colorScale>
    </cfRule>
  </conditionalFormatting>
  <conditionalFormatting sqref="AB47 AD49 AC48">
    <cfRule type="dataBar" priority="637">
      <dataBar>
        <cfvo type="min"/>
        <cfvo type="max"/>
        <color rgb="FF638EC6"/>
      </dataBar>
      <extLst>
        <ext xmlns:x14="http://schemas.microsoft.com/office/spreadsheetml/2009/9/main" uri="{B025F937-C7B1-47D3-B67F-A62EFF666E3E}">
          <x14:id>{3F41B289-F9FB-3849-8E66-726E2D1071E9}</x14:id>
        </ext>
      </extLst>
    </cfRule>
  </conditionalFormatting>
  <conditionalFormatting sqref="AB47 AD49 AC48">
    <cfRule type="colorScale" priority="636">
      <colorScale>
        <cfvo type="min"/>
        <cfvo type="percentile" val="50"/>
        <cfvo type="max"/>
        <color rgb="FF63BE7B"/>
        <color rgb="FFFFEB84"/>
        <color rgb="FFF8696B"/>
      </colorScale>
    </cfRule>
  </conditionalFormatting>
  <conditionalFormatting sqref="AC46 AD47">
    <cfRule type="dataBar" priority="635">
      <dataBar>
        <cfvo type="min"/>
        <cfvo type="max"/>
        <color rgb="FF638EC6"/>
      </dataBar>
      <extLst>
        <ext xmlns:x14="http://schemas.microsoft.com/office/spreadsheetml/2009/9/main" uri="{B025F937-C7B1-47D3-B67F-A62EFF666E3E}">
          <x14:id>{2EA519BF-E3BB-274B-81E2-F562618F7F72}</x14:id>
        </ext>
      </extLst>
    </cfRule>
  </conditionalFormatting>
  <conditionalFormatting sqref="AD47 AC46">
    <cfRule type="colorScale" priority="634">
      <colorScale>
        <cfvo type="min"/>
        <cfvo type="percentile" val="50"/>
        <cfvo type="max"/>
        <color rgb="FF63BE7B"/>
        <color rgb="FFFFEB84"/>
        <color rgb="FFF8696B"/>
      </colorScale>
    </cfRule>
  </conditionalFormatting>
  <conditionalFormatting sqref="AD45">
    <cfRule type="dataBar" priority="633">
      <dataBar>
        <cfvo type="min"/>
        <cfvo type="max"/>
        <color rgb="FF638EC6"/>
      </dataBar>
      <extLst>
        <ext xmlns:x14="http://schemas.microsoft.com/office/spreadsheetml/2009/9/main" uri="{B025F937-C7B1-47D3-B67F-A62EFF666E3E}">
          <x14:id>{26B29BAE-A028-024C-9BA7-5E8F155ABDA5}</x14:id>
        </ext>
      </extLst>
    </cfRule>
  </conditionalFormatting>
  <conditionalFormatting sqref="AD45">
    <cfRule type="colorScale" priority="632">
      <colorScale>
        <cfvo type="min"/>
        <cfvo type="percentile" val="50"/>
        <cfvo type="max"/>
        <color rgb="FF63BE7B"/>
        <color rgb="FFFFEB84"/>
        <color rgb="FFF8696B"/>
      </colorScale>
    </cfRule>
  </conditionalFormatting>
  <conditionalFormatting sqref="N36 S67 S65 S63 S61 S59 S57 S55 S53 S51 S49 S47 S45 S43 S41 S39 S37 S35 S33 S31 R66 R64 R62 R60 R58 R56 R54 R52 R50 R48 R46 R44 R42 R40 R38 R36 R34 R32 Q65 Q63 Q61 Q59 Q57 Q55 Q53 Q51 Q49 Q47 Q45 Q43 Q41 Q39 Q37 Q35 Q33 P64 P62 P60 P58 P56 P54 P52 P50 P48 P46 P44 P42 P40 P38 P36 P34 O63 O61 O59 O57 O55 O53 O51 O49 O47 O45 O43 O41 O39 O37 O35 N62 N60 N58 N56 N54 N52 N50 N48 N46 N44 N42 N40 N38">
    <cfRule type="colorScale" priority="631">
      <colorScale>
        <cfvo type="min"/>
        <cfvo type="percentile" val="50"/>
        <cfvo type="max"/>
        <color rgb="FF63BE7B"/>
        <color rgb="FFFFEB84"/>
        <color rgb="FFF8696B"/>
      </colorScale>
    </cfRule>
  </conditionalFormatting>
  <conditionalFormatting sqref="T30 T68 T66 T64 T62 T60 T58 T56 T54 T52 T50 T48 T46 T44 T42 T40 T38 T36 T34 T32">
    <cfRule type="colorScale" priority="630">
      <colorScale>
        <cfvo type="min"/>
        <cfvo type="percentile" val="50"/>
        <cfvo type="max"/>
        <color rgb="FF63BE7B"/>
        <color rgb="FFFFEB84"/>
        <color rgb="FFF8696B"/>
      </colorScale>
    </cfRule>
  </conditionalFormatting>
  <conditionalFormatting sqref="A97">
    <cfRule type="colorScale" priority="629">
      <colorScale>
        <cfvo type="min"/>
        <cfvo type="percentile" val="50"/>
        <cfvo type="max"/>
        <color rgb="FF63BE7B"/>
        <color rgb="FFFFEB84"/>
        <color rgb="FFF8696B"/>
      </colorScale>
    </cfRule>
  </conditionalFormatting>
  <conditionalFormatting sqref="U29 U69 U67 U65 U63 U61 U59 U57 U55 U53 U51 U49 U47 U45 U43 U41 U39 U37 U35 U33 U31">
    <cfRule type="colorScale" priority="628">
      <colorScale>
        <cfvo type="min"/>
        <cfvo type="percentile" val="50"/>
        <cfvo type="max"/>
        <color rgb="FF63BE7B"/>
        <color rgb="FFFFEB84"/>
        <color rgb="FFF8696B"/>
      </colorScale>
    </cfRule>
  </conditionalFormatting>
  <conditionalFormatting sqref="V28 V70 V68 V66 V64 V62 V60 V58 V56 V54 V52 V50 V48 V46 V44 V42 V40 V38 V36 V34 V32 V30">
    <cfRule type="colorScale" priority="627">
      <colorScale>
        <cfvo type="min"/>
        <cfvo type="percentile" val="50"/>
        <cfvo type="max"/>
        <color rgb="FF63BE7B"/>
        <color rgb="FFFFEB84"/>
        <color rgb="FFF8696B"/>
      </colorScale>
    </cfRule>
  </conditionalFormatting>
  <conditionalFormatting sqref="W27 W71 W69 W67 W65 W63 W61 W59 W57 W55 W53 W51 W49 W47 W45 W43 W41 W39 W37 W35 W33 W31 W29 X72">
    <cfRule type="colorScale" priority="626">
      <colorScale>
        <cfvo type="min"/>
        <cfvo type="percentile" val="50"/>
        <cfvo type="max"/>
        <color rgb="FF63BE7B"/>
        <color rgb="FFFFEB84"/>
        <color rgb="FFF8696B"/>
      </colorScale>
    </cfRule>
  </conditionalFormatting>
  <conditionalFormatting sqref="X26 X70 X68 X66 X64 X62 X60 X58 X56 X54 X52 X50 X48 X46 X44 X42 X40 X38 X36 X34 X32 X30 X28">
    <cfRule type="colorScale" priority="625">
      <colorScale>
        <cfvo type="min"/>
        <cfvo type="percentile" val="50"/>
        <cfvo type="max"/>
        <color rgb="FF63BE7B"/>
        <color rgb="FFFFEB84"/>
        <color rgb="FFF8696B"/>
      </colorScale>
    </cfRule>
  </conditionalFormatting>
  <conditionalFormatting sqref="M60">
    <cfRule type="dataBar" priority="624">
      <dataBar>
        <cfvo type="min"/>
        <cfvo type="max"/>
        <color rgb="FF638EC6"/>
      </dataBar>
      <extLst>
        <ext xmlns:x14="http://schemas.microsoft.com/office/spreadsheetml/2009/9/main" uri="{B025F937-C7B1-47D3-B67F-A62EFF666E3E}">
          <x14:id>{4D741B01-D26A-E540-89C5-0FD921B27A47}</x14:id>
        </ext>
      </extLst>
    </cfRule>
  </conditionalFormatting>
  <conditionalFormatting sqref="AE102">
    <cfRule type="colorScale" priority="623">
      <colorScale>
        <cfvo type="min"/>
        <cfvo type="percentile" val="50"/>
        <cfvo type="max"/>
        <color rgb="FF63BE7B"/>
        <color rgb="FFFFEB84"/>
        <color rgb="FFF8696B"/>
      </colorScale>
    </cfRule>
  </conditionalFormatting>
  <conditionalFormatting sqref="A164:M164 A163:D163 F163:M163">
    <cfRule type="colorScale" priority="1026">
      <colorScale>
        <cfvo type="min"/>
        <cfvo type="percentile" val="50"/>
        <cfvo type="max"/>
        <color rgb="FF63BE7B"/>
        <color rgb="FFFFEB84"/>
        <color rgb="FFF8696B"/>
      </colorScale>
    </cfRule>
  </conditionalFormatting>
  <conditionalFormatting sqref="A165">
    <cfRule type="colorScale" priority="622">
      <colorScale>
        <cfvo type="min"/>
        <cfvo type="percentile" val="50"/>
        <cfvo type="max"/>
        <color rgb="FF63BE7B"/>
        <color rgb="FFFFEB84"/>
        <color rgb="FFF8696B"/>
      </colorScale>
    </cfRule>
  </conditionalFormatting>
  <conditionalFormatting sqref="AE232 AE174 AE176 AE178 AE180 AE182 AE184 AE186 AE188 AE190 AE192 AE194 AE196 AE198 AE200 AE202 AE204 AE206 AE208 AE210 AE212 AE214 AE216 AE218 AE220 AE222 AE224 AE226 AE228 AE230">
    <cfRule type="colorScale" priority="621">
      <colorScale>
        <cfvo type="min"/>
        <cfvo type="percentile" val="50"/>
        <cfvo type="max"/>
        <color rgb="FF63BE7B"/>
        <color rgb="FFFFEB84"/>
        <color rgb="FFF8696B"/>
      </colorScale>
    </cfRule>
  </conditionalFormatting>
  <conditionalFormatting sqref="N37">
    <cfRule type="colorScale" priority="620">
      <colorScale>
        <cfvo type="min"/>
        <cfvo type="percentile" val="50"/>
        <cfvo type="max"/>
        <color rgb="FF63BE7B"/>
        <color rgb="FFFFEB84"/>
        <color rgb="FFF8696B"/>
      </colorScale>
    </cfRule>
  </conditionalFormatting>
  <conditionalFormatting sqref="N37">
    <cfRule type="dataBar" priority="619">
      <dataBar>
        <cfvo type="min"/>
        <cfvo type="max"/>
        <color rgb="FF638EC6"/>
      </dataBar>
      <extLst>
        <ext xmlns:x14="http://schemas.microsoft.com/office/spreadsheetml/2009/9/main" uri="{B025F937-C7B1-47D3-B67F-A62EFF666E3E}">
          <x14:id>{B779AA3B-CEF6-FD45-823E-061A5057060C}</x14:id>
        </ext>
      </extLst>
    </cfRule>
  </conditionalFormatting>
  <conditionalFormatting sqref="N59">
    <cfRule type="colorScale" priority="618">
      <colorScale>
        <cfvo type="min"/>
        <cfvo type="percentile" val="50"/>
        <cfvo type="max"/>
        <color rgb="FF63BE7B"/>
        <color rgb="FFFFEB84"/>
        <color rgb="FFF8696B"/>
      </colorScale>
    </cfRule>
  </conditionalFormatting>
  <conditionalFormatting sqref="N59">
    <cfRule type="dataBar" priority="617">
      <dataBar>
        <cfvo type="min"/>
        <cfvo type="max"/>
        <color rgb="FF638EC6"/>
      </dataBar>
      <extLst>
        <ext xmlns:x14="http://schemas.microsoft.com/office/spreadsheetml/2009/9/main" uri="{B025F937-C7B1-47D3-B67F-A62EFF666E3E}">
          <x14:id>{C55A6A6A-B0B3-E74D-8C6F-25F735E6028F}</x14:id>
        </ext>
      </extLst>
    </cfRule>
  </conditionalFormatting>
  <conditionalFormatting sqref="N61">
    <cfRule type="colorScale" priority="616">
      <colorScale>
        <cfvo type="min"/>
        <cfvo type="percentile" val="50"/>
        <cfvo type="max"/>
        <color rgb="FF63BE7B"/>
        <color rgb="FFFFEB84"/>
        <color rgb="FFF8696B"/>
      </colorScale>
    </cfRule>
  </conditionalFormatting>
  <conditionalFormatting sqref="N61">
    <cfRule type="dataBar" priority="615">
      <dataBar>
        <cfvo type="min"/>
        <cfvo type="max"/>
        <color rgb="FF638EC6"/>
      </dataBar>
      <extLst>
        <ext xmlns:x14="http://schemas.microsoft.com/office/spreadsheetml/2009/9/main" uri="{B025F937-C7B1-47D3-B67F-A62EFF666E3E}">
          <x14:id>{9715EB07-993F-8E4E-B6D9-033921229151}</x14:id>
        </ext>
      </extLst>
    </cfRule>
  </conditionalFormatting>
  <conditionalFormatting sqref="AE173">
    <cfRule type="colorScale" priority="589">
      <colorScale>
        <cfvo type="min"/>
        <cfvo type="percentile" val="50"/>
        <cfvo type="max"/>
        <color rgb="FF63BE7B"/>
        <color rgb="FFFFEB84"/>
        <color rgb="FFF8696B"/>
      </colorScale>
    </cfRule>
  </conditionalFormatting>
  <conditionalFormatting sqref="AE233 AE175 AE231 AE229 AE227 AE225 AE223 AE221 AE219 AE217 AE215 AE213 AE211 AE209 AE207 AE205 AE203 AE201 AE199 AE197 AE195 AE193 AE191 AE189 AE187 AE185 AE183 AE181 AE179 AE177">
    <cfRule type="colorScale" priority="588">
      <colorScale>
        <cfvo type="min"/>
        <cfvo type="percentile" val="50"/>
        <cfvo type="max"/>
        <color rgb="FF63BE7B"/>
        <color rgb="FFFFEB84"/>
        <color rgb="FFF8696B"/>
      </colorScale>
    </cfRule>
  </conditionalFormatting>
  <conditionalFormatting sqref="A102:AC102 AE102 A101:AE101">
    <cfRule type="colorScale" priority="587">
      <colorScale>
        <cfvo type="min"/>
        <cfvo type="percentile" val="50"/>
        <cfvo type="max"/>
        <color rgb="FF63BE7B"/>
        <color rgb="FFFFEB84"/>
        <color rgb="FFF8696B"/>
      </colorScale>
    </cfRule>
  </conditionalFormatting>
  <conditionalFormatting sqref="A102:AC102 AE102 A100:AE101">
    <cfRule type="colorScale" priority="586">
      <colorScale>
        <cfvo type="min"/>
        <cfvo type="percentile" val="50"/>
        <cfvo type="max"/>
        <color rgb="FF63BE7B"/>
        <color rgb="FFFFEB84"/>
        <color rgb="FFF8696B"/>
      </colorScale>
    </cfRule>
  </conditionalFormatting>
  <conditionalFormatting sqref="A84:AE84">
    <cfRule type="colorScale" priority="585">
      <colorScale>
        <cfvo type="min"/>
        <cfvo type="percentile" val="50"/>
        <cfvo type="max"/>
        <color rgb="FF63BE7B"/>
        <color rgb="FFFFEB84"/>
        <color rgb="FFF8696B"/>
      </colorScale>
    </cfRule>
  </conditionalFormatting>
  <conditionalFormatting sqref="A186:M187">
    <cfRule type="colorScale" priority="583">
      <colorScale>
        <cfvo type="min"/>
        <cfvo type="percentile" val="50"/>
        <cfvo type="max"/>
        <color rgb="FF63BE7B"/>
        <color rgb="FFFFEB84"/>
        <color rgb="FFF8696B"/>
      </colorScale>
    </cfRule>
  </conditionalFormatting>
  <conditionalFormatting sqref="A188:M189">
    <cfRule type="colorScale" priority="582">
      <colorScale>
        <cfvo type="min"/>
        <cfvo type="percentile" val="50"/>
        <cfvo type="max"/>
        <color rgb="FF63BE7B"/>
        <color rgb="FFFFEB84"/>
        <color rgb="FFF8696B"/>
      </colorScale>
    </cfRule>
  </conditionalFormatting>
  <conditionalFormatting sqref="V183 V223 U222 U184 T221 N200 O203 V185 V187 V189 V191 V193 V195 V197 V199 V201 V203 V205 V207 V209 V211 V213 V215 V217 V219 V221 U220 U218 U216 U214 U212 U210 U208 U206 U204 U202 U200 U198 U196 U194 U192 U190 U188 U186 T197 T199 T201 T203 T205 T207 T209 T211 T213 T215 T217 T219 P200 W182 W184 W186 W188 W190 W192 W194 W196 W198 W200 W202 W204 W206 W208 W210 W212 W214 W216 W218 W220 W222 W224 X181 X183 X185 X187 X189 X191 X193 X195 X197 X199 X201 X203 X205 X207 X209 X211 X213 X215 X217 X219 X221 X223 Y180 Y182 Y184 Y186 Y188 Y190 Y192 Y194 Y196 Y198 Y200 Y202 Y204 Y206 Y208 Y210 Y212 Y214 Y216 Y218 Y220 Y222 Y224 Z179 Z181 Z183 Z185 Z187 Z189 Z191 Z193 Z195 Z197 Z199 Z201 Z203 Z205 Z207 Z209 Z211 Z213 Z215 Z217 Z219 Z221 Z223 AA178 AA180 AA182 AA184 AA186 AA188 AA190 AA192 AA194 AA196 AA198 AA200 AA202 AA204 AA206 AA208 AA210 AA212 AA214 AA216 AA218 AA220 AA222 AA224 AB177 AB179 AB181 AB183 AB185 AB187 AB189 AB191 AB193 AB195 AB197 AB199 AB201 AB203 AB205 AB207 AB209 AB211 AB213 AB215 AB217 AB219 AB221 AB223 AC176 AC178 AC180 AC182 AC184 AC186 AC188 AC190 AC192 AC194 AC196 AC198 AC200 AC202 AC204 AC206 AC208 AC210 AC212 AC214 AC216 AC218 AC220 AC222 AC224">
    <cfRule type="colorScale" priority="581">
      <colorScale>
        <cfvo type="min"/>
        <cfvo type="percentile" val="50"/>
        <cfvo type="max"/>
        <color rgb="FF63BE7B"/>
        <color rgb="FFFFEB84"/>
        <color rgb="FFF8696B"/>
      </colorScale>
    </cfRule>
  </conditionalFormatting>
  <conditionalFormatting sqref="X225 Y226 Z225 AB225 Z227 AA226 AA228 AB227 AB229 AC228 AC230 AC226">
    <cfRule type="colorScale" priority="580">
      <colorScale>
        <cfvo type="min"/>
        <cfvo type="percentile" val="50"/>
        <cfvo type="max"/>
        <color rgb="FF63BE7B"/>
        <color rgb="FFFFEB84"/>
        <color rgb="FFF8696B"/>
      </colorScale>
    </cfRule>
  </conditionalFormatting>
  <conditionalFormatting sqref="A192:J192 A191:K191 A194:H194 A193:I193 A196:F196 A195:G195 A198:D198 A197:E197 A200:B200 A199:C199 A204 A206:C206 A205:B205 A208:E208 A207:D207 A210:G210 A209:F209 A212:I212 A211:H211 A214:K214 A213:J213 A216:M233 A215:L215">
    <cfRule type="colorScale" priority="584">
      <colorScale>
        <cfvo type="min"/>
        <cfvo type="percentile" val="50"/>
        <cfvo type="max"/>
        <color rgb="FF63BE7B"/>
        <color rgb="FFFFEB84"/>
        <color rgb="FFF8696B"/>
      </colorScale>
    </cfRule>
  </conditionalFormatting>
  <conditionalFormatting sqref="W225">
    <cfRule type="colorScale" priority="579">
      <colorScale>
        <cfvo type="min"/>
        <cfvo type="percentile" val="50"/>
        <cfvo type="max"/>
        <color rgb="FF63BE7B"/>
        <color rgb="FFFFEB84"/>
        <color rgb="FFF8696B"/>
      </colorScale>
    </cfRule>
  </conditionalFormatting>
  <conditionalFormatting sqref="AD174">
    <cfRule type="colorScale" priority="578">
      <colorScale>
        <cfvo type="min"/>
        <cfvo type="percentile" val="50"/>
        <cfvo type="max"/>
        <color rgb="FF63BE7B"/>
        <color rgb="FFFFEB84"/>
        <color rgb="FFF8696B"/>
      </colorScale>
    </cfRule>
  </conditionalFormatting>
  <conditionalFormatting sqref="AD176">
    <cfRule type="colorScale" priority="577">
      <colorScale>
        <cfvo type="min"/>
        <cfvo type="percentile" val="50"/>
        <cfvo type="max"/>
        <color rgb="FF63BE7B"/>
        <color rgb="FFFFEB84"/>
        <color rgb="FFF8696B"/>
      </colorScale>
    </cfRule>
  </conditionalFormatting>
  <conditionalFormatting sqref="AD178">
    <cfRule type="colorScale" priority="576">
      <colorScale>
        <cfvo type="min"/>
        <cfvo type="percentile" val="50"/>
        <cfvo type="max"/>
        <color rgb="FF63BE7B"/>
        <color rgb="FFFFEB84"/>
        <color rgb="FFF8696B"/>
      </colorScale>
    </cfRule>
  </conditionalFormatting>
  <conditionalFormatting sqref="AD180">
    <cfRule type="colorScale" priority="575">
      <colorScale>
        <cfvo type="min"/>
        <cfvo type="percentile" val="50"/>
        <cfvo type="max"/>
        <color rgb="FF63BE7B"/>
        <color rgb="FFFFEB84"/>
        <color rgb="FFF8696B"/>
      </colorScale>
    </cfRule>
  </conditionalFormatting>
  <conditionalFormatting sqref="AD182">
    <cfRule type="colorScale" priority="574">
      <colorScale>
        <cfvo type="min"/>
        <cfvo type="percentile" val="50"/>
        <cfvo type="max"/>
        <color rgb="FF63BE7B"/>
        <color rgb="FFFFEB84"/>
        <color rgb="FFF8696B"/>
      </colorScale>
    </cfRule>
  </conditionalFormatting>
  <conditionalFormatting sqref="AD184">
    <cfRule type="colorScale" priority="573">
      <colorScale>
        <cfvo type="min"/>
        <cfvo type="percentile" val="50"/>
        <cfvo type="max"/>
        <color rgb="FF63BE7B"/>
        <color rgb="FFFFEB84"/>
        <color rgb="FFF8696B"/>
      </colorScale>
    </cfRule>
  </conditionalFormatting>
  <conditionalFormatting sqref="AD186">
    <cfRule type="colorScale" priority="572">
      <colorScale>
        <cfvo type="min"/>
        <cfvo type="percentile" val="50"/>
        <cfvo type="max"/>
        <color rgb="FF63BE7B"/>
        <color rgb="FFFFEB84"/>
        <color rgb="FFF8696B"/>
      </colorScale>
    </cfRule>
  </conditionalFormatting>
  <conditionalFormatting sqref="AD188">
    <cfRule type="colorScale" priority="571">
      <colorScale>
        <cfvo type="min"/>
        <cfvo type="percentile" val="50"/>
        <cfvo type="max"/>
        <color rgb="FF63BE7B"/>
        <color rgb="FFFFEB84"/>
        <color rgb="FFF8696B"/>
      </colorScale>
    </cfRule>
  </conditionalFormatting>
  <conditionalFormatting sqref="AD190">
    <cfRule type="colorScale" priority="570">
      <colorScale>
        <cfvo type="min"/>
        <cfvo type="percentile" val="50"/>
        <cfvo type="max"/>
        <color rgb="FF63BE7B"/>
        <color rgb="FFFFEB84"/>
        <color rgb="FFF8696B"/>
      </colorScale>
    </cfRule>
  </conditionalFormatting>
  <conditionalFormatting sqref="AD192">
    <cfRule type="colorScale" priority="569">
      <colorScale>
        <cfvo type="min"/>
        <cfvo type="percentile" val="50"/>
        <cfvo type="max"/>
        <color rgb="FF63BE7B"/>
        <color rgb="FFFFEB84"/>
        <color rgb="FFF8696B"/>
      </colorScale>
    </cfRule>
  </conditionalFormatting>
  <conditionalFormatting sqref="AD194">
    <cfRule type="colorScale" priority="568">
      <colorScale>
        <cfvo type="min"/>
        <cfvo type="percentile" val="50"/>
        <cfvo type="max"/>
        <color rgb="FF63BE7B"/>
        <color rgb="FFFFEB84"/>
        <color rgb="FFF8696B"/>
      </colorScale>
    </cfRule>
  </conditionalFormatting>
  <conditionalFormatting sqref="AD196">
    <cfRule type="colorScale" priority="567">
      <colorScale>
        <cfvo type="min"/>
        <cfvo type="percentile" val="50"/>
        <cfvo type="max"/>
        <color rgb="FF63BE7B"/>
        <color rgb="FFFFEB84"/>
        <color rgb="FFF8696B"/>
      </colorScale>
    </cfRule>
  </conditionalFormatting>
  <conditionalFormatting sqref="AD198">
    <cfRule type="colorScale" priority="566">
      <colorScale>
        <cfvo type="min"/>
        <cfvo type="percentile" val="50"/>
        <cfvo type="max"/>
        <color rgb="FF63BE7B"/>
        <color rgb="FFFFEB84"/>
        <color rgb="FFF8696B"/>
      </colorScale>
    </cfRule>
  </conditionalFormatting>
  <conditionalFormatting sqref="AD200">
    <cfRule type="colorScale" priority="565">
      <colorScale>
        <cfvo type="min"/>
        <cfvo type="percentile" val="50"/>
        <cfvo type="max"/>
        <color rgb="FF63BE7B"/>
        <color rgb="FFFFEB84"/>
        <color rgb="FFF8696B"/>
      </colorScale>
    </cfRule>
  </conditionalFormatting>
  <conditionalFormatting sqref="AD202">
    <cfRule type="colorScale" priority="564">
      <colorScale>
        <cfvo type="min"/>
        <cfvo type="percentile" val="50"/>
        <cfvo type="max"/>
        <color rgb="FF63BE7B"/>
        <color rgb="FFFFEB84"/>
        <color rgb="FFF8696B"/>
      </colorScale>
    </cfRule>
  </conditionalFormatting>
  <conditionalFormatting sqref="AD204">
    <cfRule type="colorScale" priority="563">
      <colorScale>
        <cfvo type="min"/>
        <cfvo type="percentile" val="50"/>
        <cfvo type="max"/>
        <color rgb="FF63BE7B"/>
        <color rgb="FFFFEB84"/>
        <color rgb="FFF8696B"/>
      </colorScale>
    </cfRule>
  </conditionalFormatting>
  <conditionalFormatting sqref="AD206">
    <cfRule type="colorScale" priority="562">
      <colorScale>
        <cfvo type="min"/>
        <cfvo type="percentile" val="50"/>
        <cfvo type="max"/>
        <color rgb="FF63BE7B"/>
        <color rgb="FFFFEB84"/>
        <color rgb="FFF8696B"/>
      </colorScale>
    </cfRule>
  </conditionalFormatting>
  <conditionalFormatting sqref="AD208">
    <cfRule type="colorScale" priority="561">
      <colorScale>
        <cfvo type="min"/>
        <cfvo type="percentile" val="50"/>
        <cfvo type="max"/>
        <color rgb="FF63BE7B"/>
        <color rgb="FFFFEB84"/>
        <color rgb="FFF8696B"/>
      </colorScale>
    </cfRule>
  </conditionalFormatting>
  <conditionalFormatting sqref="AD210">
    <cfRule type="colorScale" priority="560">
      <colorScale>
        <cfvo type="min"/>
        <cfvo type="percentile" val="50"/>
        <cfvo type="max"/>
        <color rgb="FF63BE7B"/>
        <color rgb="FFFFEB84"/>
        <color rgb="FFF8696B"/>
      </colorScale>
    </cfRule>
  </conditionalFormatting>
  <conditionalFormatting sqref="AD212">
    <cfRule type="colorScale" priority="559">
      <colorScale>
        <cfvo type="min"/>
        <cfvo type="percentile" val="50"/>
        <cfvo type="max"/>
        <color rgb="FF63BE7B"/>
        <color rgb="FFFFEB84"/>
        <color rgb="FFF8696B"/>
      </colorScale>
    </cfRule>
  </conditionalFormatting>
  <conditionalFormatting sqref="AD214">
    <cfRule type="colorScale" priority="558">
      <colorScale>
        <cfvo type="min"/>
        <cfvo type="percentile" val="50"/>
        <cfvo type="max"/>
        <color rgb="FF63BE7B"/>
        <color rgb="FFFFEB84"/>
        <color rgb="FFF8696B"/>
      </colorScale>
    </cfRule>
  </conditionalFormatting>
  <conditionalFormatting sqref="AD216">
    <cfRule type="colorScale" priority="557">
      <colorScale>
        <cfvo type="min"/>
        <cfvo type="percentile" val="50"/>
        <cfvo type="max"/>
        <color rgb="FF63BE7B"/>
        <color rgb="FFFFEB84"/>
        <color rgb="FFF8696B"/>
      </colorScale>
    </cfRule>
  </conditionalFormatting>
  <conditionalFormatting sqref="AD218">
    <cfRule type="colorScale" priority="556">
      <colorScale>
        <cfvo type="min"/>
        <cfvo type="percentile" val="50"/>
        <cfvo type="max"/>
        <color rgb="FF63BE7B"/>
        <color rgb="FFFFEB84"/>
        <color rgb="FFF8696B"/>
      </colorScale>
    </cfRule>
  </conditionalFormatting>
  <conditionalFormatting sqref="AD220">
    <cfRule type="colorScale" priority="555">
      <colorScale>
        <cfvo type="min"/>
        <cfvo type="percentile" val="50"/>
        <cfvo type="max"/>
        <color rgb="FF63BE7B"/>
        <color rgb="FFFFEB84"/>
        <color rgb="FFF8696B"/>
      </colorScale>
    </cfRule>
  </conditionalFormatting>
  <conditionalFormatting sqref="AD222">
    <cfRule type="colorScale" priority="554">
      <colorScale>
        <cfvo type="min"/>
        <cfvo type="percentile" val="50"/>
        <cfvo type="max"/>
        <color rgb="FF63BE7B"/>
        <color rgb="FFFFEB84"/>
        <color rgb="FFF8696B"/>
      </colorScale>
    </cfRule>
  </conditionalFormatting>
  <conditionalFormatting sqref="AD224">
    <cfRule type="colorScale" priority="553">
      <colorScale>
        <cfvo type="min"/>
        <cfvo type="percentile" val="50"/>
        <cfvo type="max"/>
        <color rgb="FF63BE7B"/>
        <color rgb="FFFFEB84"/>
        <color rgb="FFF8696B"/>
      </colorScale>
    </cfRule>
  </conditionalFormatting>
  <conditionalFormatting sqref="AD226">
    <cfRule type="colorScale" priority="552">
      <colorScale>
        <cfvo type="min"/>
        <cfvo type="percentile" val="50"/>
        <cfvo type="max"/>
        <color rgb="FF63BE7B"/>
        <color rgb="FFFFEB84"/>
        <color rgb="FFF8696B"/>
      </colorScale>
    </cfRule>
  </conditionalFormatting>
  <conditionalFormatting sqref="AD228">
    <cfRule type="colorScale" priority="551">
      <colorScale>
        <cfvo type="min"/>
        <cfvo type="percentile" val="50"/>
        <cfvo type="max"/>
        <color rgb="FF63BE7B"/>
        <color rgb="FFFFEB84"/>
        <color rgb="FFF8696B"/>
      </colorScale>
    </cfRule>
  </conditionalFormatting>
  <conditionalFormatting sqref="AD230">
    <cfRule type="colorScale" priority="550">
      <colorScale>
        <cfvo type="min"/>
        <cfvo type="percentile" val="50"/>
        <cfvo type="max"/>
        <color rgb="FF63BE7B"/>
        <color rgb="FFFFEB84"/>
        <color rgb="FFF8696B"/>
      </colorScale>
    </cfRule>
  </conditionalFormatting>
  <conditionalFormatting sqref="AD232">
    <cfRule type="colorScale" priority="549">
      <colorScale>
        <cfvo type="min"/>
        <cfvo type="percentile" val="50"/>
        <cfvo type="max"/>
        <color rgb="FF63BE7B"/>
        <color rgb="FFFFEB84"/>
        <color rgb="FFF8696B"/>
      </colorScale>
    </cfRule>
  </conditionalFormatting>
  <conditionalFormatting sqref="AC175">
    <cfRule type="colorScale" priority="548">
      <colorScale>
        <cfvo type="min"/>
        <cfvo type="percentile" val="50"/>
        <cfvo type="max"/>
        <color rgb="FF63BE7B"/>
        <color rgb="FFFFEB84"/>
        <color rgb="FFF8696B"/>
      </colorScale>
    </cfRule>
  </conditionalFormatting>
  <conditionalFormatting sqref="AC177">
    <cfRule type="colorScale" priority="547">
      <colorScale>
        <cfvo type="min"/>
        <cfvo type="percentile" val="50"/>
        <cfvo type="max"/>
        <color rgb="FF63BE7B"/>
        <color rgb="FFFFEB84"/>
        <color rgb="FFF8696B"/>
      </colorScale>
    </cfRule>
  </conditionalFormatting>
  <conditionalFormatting sqref="AC179">
    <cfRule type="colorScale" priority="546">
      <colorScale>
        <cfvo type="min"/>
        <cfvo type="percentile" val="50"/>
        <cfvo type="max"/>
        <color rgb="FF63BE7B"/>
        <color rgb="FFFFEB84"/>
        <color rgb="FFF8696B"/>
      </colorScale>
    </cfRule>
  </conditionalFormatting>
  <conditionalFormatting sqref="AC181">
    <cfRule type="colorScale" priority="545">
      <colorScale>
        <cfvo type="min"/>
        <cfvo type="percentile" val="50"/>
        <cfvo type="max"/>
        <color rgb="FF63BE7B"/>
        <color rgb="FFFFEB84"/>
        <color rgb="FFF8696B"/>
      </colorScale>
    </cfRule>
  </conditionalFormatting>
  <conditionalFormatting sqref="AC183">
    <cfRule type="colorScale" priority="544">
      <colorScale>
        <cfvo type="min"/>
        <cfvo type="percentile" val="50"/>
        <cfvo type="max"/>
        <color rgb="FF63BE7B"/>
        <color rgb="FFFFEB84"/>
        <color rgb="FFF8696B"/>
      </colorScale>
    </cfRule>
  </conditionalFormatting>
  <conditionalFormatting sqref="AC185">
    <cfRule type="colorScale" priority="543">
      <colorScale>
        <cfvo type="min"/>
        <cfvo type="percentile" val="50"/>
        <cfvo type="max"/>
        <color rgb="FF63BE7B"/>
        <color rgb="FFFFEB84"/>
        <color rgb="FFF8696B"/>
      </colorScale>
    </cfRule>
  </conditionalFormatting>
  <conditionalFormatting sqref="AC187">
    <cfRule type="colorScale" priority="542">
      <colorScale>
        <cfvo type="min"/>
        <cfvo type="percentile" val="50"/>
        <cfvo type="max"/>
        <color rgb="FF63BE7B"/>
        <color rgb="FFFFEB84"/>
        <color rgb="FFF8696B"/>
      </colorScale>
    </cfRule>
  </conditionalFormatting>
  <conditionalFormatting sqref="AC189">
    <cfRule type="colorScale" priority="541">
      <colorScale>
        <cfvo type="min"/>
        <cfvo type="percentile" val="50"/>
        <cfvo type="max"/>
        <color rgb="FF63BE7B"/>
        <color rgb="FFFFEB84"/>
        <color rgb="FFF8696B"/>
      </colorScale>
    </cfRule>
  </conditionalFormatting>
  <conditionalFormatting sqref="AC191">
    <cfRule type="colorScale" priority="540">
      <colorScale>
        <cfvo type="min"/>
        <cfvo type="percentile" val="50"/>
        <cfvo type="max"/>
        <color rgb="FF63BE7B"/>
        <color rgb="FFFFEB84"/>
        <color rgb="FFF8696B"/>
      </colorScale>
    </cfRule>
  </conditionalFormatting>
  <conditionalFormatting sqref="AC193">
    <cfRule type="colorScale" priority="539">
      <colorScale>
        <cfvo type="min"/>
        <cfvo type="percentile" val="50"/>
        <cfvo type="max"/>
        <color rgb="FF63BE7B"/>
        <color rgb="FFFFEB84"/>
        <color rgb="FFF8696B"/>
      </colorScale>
    </cfRule>
  </conditionalFormatting>
  <conditionalFormatting sqref="AC195">
    <cfRule type="colorScale" priority="538">
      <colorScale>
        <cfvo type="min"/>
        <cfvo type="percentile" val="50"/>
        <cfvo type="max"/>
        <color rgb="FF63BE7B"/>
        <color rgb="FFFFEB84"/>
        <color rgb="FFF8696B"/>
      </colorScale>
    </cfRule>
  </conditionalFormatting>
  <conditionalFormatting sqref="AC197">
    <cfRule type="colorScale" priority="537">
      <colorScale>
        <cfvo type="min"/>
        <cfvo type="percentile" val="50"/>
        <cfvo type="max"/>
        <color rgb="FF63BE7B"/>
        <color rgb="FFFFEB84"/>
        <color rgb="FFF8696B"/>
      </colorScale>
    </cfRule>
  </conditionalFormatting>
  <conditionalFormatting sqref="AC199">
    <cfRule type="colorScale" priority="536">
      <colorScale>
        <cfvo type="min"/>
        <cfvo type="percentile" val="50"/>
        <cfvo type="max"/>
        <color rgb="FF63BE7B"/>
        <color rgb="FFFFEB84"/>
        <color rgb="FFF8696B"/>
      </colorScale>
    </cfRule>
  </conditionalFormatting>
  <conditionalFormatting sqref="AC201">
    <cfRule type="colorScale" priority="535">
      <colorScale>
        <cfvo type="min"/>
        <cfvo type="percentile" val="50"/>
        <cfvo type="max"/>
        <color rgb="FF63BE7B"/>
        <color rgb="FFFFEB84"/>
        <color rgb="FFF8696B"/>
      </colorScale>
    </cfRule>
  </conditionalFormatting>
  <conditionalFormatting sqref="AC203">
    <cfRule type="colorScale" priority="534">
      <colorScale>
        <cfvo type="min"/>
        <cfvo type="percentile" val="50"/>
        <cfvo type="max"/>
        <color rgb="FF63BE7B"/>
        <color rgb="FFFFEB84"/>
        <color rgb="FFF8696B"/>
      </colorScale>
    </cfRule>
  </conditionalFormatting>
  <conditionalFormatting sqref="AC205">
    <cfRule type="colorScale" priority="533">
      <colorScale>
        <cfvo type="min"/>
        <cfvo type="percentile" val="50"/>
        <cfvo type="max"/>
        <color rgb="FF63BE7B"/>
        <color rgb="FFFFEB84"/>
        <color rgb="FFF8696B"/>
      </colorScale>
    </cfRule>
  </conditionalFormatting>
  <conditionalFormatting sqref="AC207">
    <cfRule type="colorScale" priority="532">
      <colorScale>
        <cfvo type="min"/>
        <cfvo type="percentile" val="50"/>
        <cfvo type="max"/>
        <color rgb="FF63BE7B"/>
        <color rgb="FFFFEB84"/>
        <color rgb="FFF8696B"/>
      </colorScale>
    </cfRule>
  </conditionalFormatting>
  <conditionalFormatting sqref="AC209">
    <cfRule type="colorScale" priority="531">
      <colorScale>
        <cfvo type="min"/>
        <cfvo type="percentile" val="50"/>
        <cfvo type="max"/>
        <color rgb="FF63BE7B"/>
        <color rgb="FFFFEB84"/>
        <color rgb="FFF8696B"/>
      </colorScale>
    </cfRule>
  </conditionalFormatting>
  <conditionalFormatting sqref="AC211">
    <cfRule type="colorScale" priority="530">
      <colorScale>
        <cfvo type="min"/>
        <cfvo type="percentile" val="50"/>
        <cfvo type="max"/>
        <color rgb="FF63BE7B"/>
        <color rgb="FFFFEB84"/>
        <color rgb="FFF8696B"/>
      </colorScale>
    </cfRule>
  </conditionalFormatting>
  <conditionalFormatting sqref="AC213">
    <cfRule type="colorScale" priority="529">
      <colorScale>
        <cfvo type="min"/>
        <cfvo type="percentile" val="50"/>
        <cfvo type="max"/>
        <color rgb="FF63BE7B"/>
        <color rgb="FFFFEB84"/>
        <color rgb="FFF8696B"/>
      </colorScale>
    </cfRule>
  </conditionalFormatting>
  <conditionalFormatting sqref="AC215">
    <cfRule type="colorScale" priority="528">
      <colorScale>
        <cfvo type="min"/>
        <cfvo type="percentile" val="50"/>
        <cfvo type="max"/>
        <color rgb="FF63BE7B"/>
        <color rgb="FFFFEB84"/>
        <color rgb="FFF8696B"/>
      </colorScale>
    </cfRule>
  </conditionalFormatting>
  <conditionalFormatting sqref="AC217">
    <cfRule type="colorScale" priority="527">
      <colorScale>
        <cfvo type="min"/>
        <cfvo type="percentile" val="50"/>
        <cfvo type="max"/>
        <color rgb="FF63BE7B"/>
        <color rgb="FFFFEB84"/>
        <color rgb="FFF8696B"/>
      </colorScale>
    </cfRule>
  </conditionalFormatting>
  <conditionalFormatting sqref="AC219">
    <cfRule type="colorScale" priority="526">
      <colorScale>
        <cfvo type="min"/>
        <cfvo type="percentile" val="50"/>
        <cfvo type="max"/>
        <color rgb="FF63BE7B"/>
        <color rgb="FFFFEB84"/>
        <color rgb="FFF8696B"/>
      </colorScale>
    </cfRule>
  </conditionalFormatting>
  <conditionalFormatting sqref="AC221">
    <cfRule type="colorScale" priority="525">
      <colorScale>
        <cfvo type="min"/>
        <cfvo type="percentile" val="50"/>
        <cfvo type="max"/>
        <color rgb="FF63BE7B"/>
        <color rgb="FFFFEB84"/>
        <color rgb="FFF8696B"/>
      </colorScale>
    </cfRule>
  </conditionalFormatting>
  <conditionalFormatting sqref="AC223">
    <cfRule type="colorScale" priority="524">
      <colorScale>
        <cfvo type="min"/>
        <cfvo type="percentile" val="50"/>
        <cfvo type="max"/>
        <color rgb="FF63BE7B"/>
        <color rgb="FFFFEB84"/>
        <color rgb="FFF8696B"/>
      </colorScale>
    </cfRule>
  </conditionalFormatting>
  <conditionalFormatting sqref="AC225">
    <cfRule type="colorScale" priority="523">
      <colorScale>
        <cfvo type="min"/>
        <cfvo type="percentile" val="50"/>
        <cfvo type="max"/>
        <color rgb="FF63BE7B"/>
        <color rgb="FFFFEB84"/>
        <color rgb="FFF8696B"/>
      </colorScale>
    </cfRule>
  </conditionalFormatting>
  <conditionalFormatting sqref="AC227">
    <cfRule type="colorScale" priority="522">
      <colorScale>
        <cfvo type="min"/>
        <cfvo type="percentile" val="50"/>
        <cfvo type="max"/>
        <color rgb="FF63BE7B"/>
        <color rgb="FFFFEB84"/>
        <color rgb="FFF8696B"/>
      </colorScale>
    </cfRule>
  </conditionalFormatting>
  <conditionalFormatting sqref="AC229">
    <cfRule type="colorScale" priority="521">
      <colorScale>
        <cfvo type="min"/>
        <cfvo type="percentile" val="50"/>
        <cfvo type="max"/>
        <color rgb="FF63BE7B"/>
        <color rgb="FFFFEB84"/>
        <color rgb="FFF8696B"/>
      </colorScale>
    </cfRule>
  </conditionalFormatting>
  <conditionalFormatting sqref="AC231">
    <cfRule type="colorScale" priority="520">
      <colorScale>
        <cfvo type="min"/>
        <cfvo type="percentile" val="50"/>
        <cfvo type="max"/>
        <color rgb="FF63BE7B"/>
        <color rgb="FFFFEB84"/>
        <color rgb="FFF8696B"/>
      </colorScale>
    </cfRule>
  </conditionalFormatting>
  <conditionalFormatting sqref="AB230">
    <cfRule type="colorScale" priority="519">
      <colorScale>
        <cfvo type="min"/>
        <cfvo type="percentile" val="50"/>
        <cfvo type="max"/>
        <color rgb="FF63BE7B"/>
        <color rgb="FFFFEB84"/>
        <color rgb="FFF8696B"/>
      </colorScale>
    </cfRule>
  </conditionalFormatting>
  <conditionalFormatting sqref="AB228">
    <cfRule type="colorScale" priority="518">
      <colorScale>
        <cfvo type="min"/>
        <cfvo type="percentile" val="50"/>
        <cfvo type="max"/>
        <color rgb="FF63BE7B"/>
        <color rgb="FFFFEB84"/>
        <color rgb="FFF8696B"/>
      </colorScale>
    </cfRule>
  </conditionalFormatting>
  <conditionalFormatting sqref="AB226">
    <cfRule type="colorScale" priority="517">
      <colorScale>
        <cfvo type="min"/>
        <cfvo type="percentile" val="50"/>
        <cfvo type="max"/>
        <color rgb="FF63BE7B"/>
        <color rgb="FFFFEB84"/>
        <color rgb="FFF8696B"/>
      </colorScale>
    </cfRule>
  </conditionalFormatting>
  <conditionalFormatting sqref="AB224">
    <cfRule type="colorScale" priority="516">
      <colorScale>
        <cfvo type="min"/>
        <cfvo type="percentile" val="50"/>
        <cfvo type="max"/>
        <color rgb="FF63BE7B"/>
        <color rgb="FFFFEB84"/>
        <color rgb="FFF8696B"/>
      </colorScale>
    </cfRule>
  </conditionalFormatting>
  <conditionalFormatting sqref="AB222">
    <cfRule type="colorScale" priority="515">
      <colorScale>
        <cfvo type="min"/>
        <cfvo type="percentile" val="50"/>
        <cfvo type="max"/>
        <color rgb="FF63BE7B"/>
        <color rgb="FFFFEB84"/>
        <color rgb="FFF8696B"/>
      </colorScale>
    </cfRule>
  </conditionalFormatting>
  <conditionalFormatting sqref="AB220">
    <cfRule type="colorScale" priority="514">
      <colorScale>
        <cfvo type="min"/>
        <cfvo type="percentile" val="50"/>
        <cfvo type="max"/>
        <color rgb="FF63BE7B"/>
        <color rgb="FFFFEB84"/>
        <color rgb="FFF8696B"/>
      </colorScale>
    </cfRule>
  </conditionalFormatting>
  <conditionalFormatting sqref="AB218">
    <cfRule type="colorScale" priority="513">
      <colorScale>
        <cfvo type="min"/>
        <cfvo type="percentile" val="50"/>
        <cfvo type="max"/>
        <color rgb="FF63BE7B"/>
        <color rgb="FFFFEB84"/>
        <color rgb="FFF8696B"/>
      </colorScale>
    </cfRule>
  </conditionalFormatting>
  <conditionalFormatting sqref="AB216">
    <cfRule type="colorScale" priority="512">
      <colorScale>
        <cfvo type="min"/>
        <cfvo type="percentile" val="50"/>
        <cfvo type="max"/>
        <color rgb="FF63BE7B"/>
        <color rgb="FFFFEB84"/>
        <color rgb="FFF8696B"/>
      </colorScale>
    </cfRule>
  </conditionalFormatting>
  <conditionalFormatting sqref="AB214">
    <cfRule type="colorScale" priority="511">
      <colorScale>
        <cfvo type="min"/>
        <cfvo type="percentile" val="50"/>
        <cfvo type="max"/>
        <color rgb="FF63BE7B"/>
        <color rgb="FFFFEB84"/>
        <color rgb="FFF8696B"/>
      </colorScale>
    </cfRule>
  </conditionalFormatting>
  <conditionalFormatting sqref="AB212">
    <cfRule type="colorScale" priority="510">
      <colorScale>
        <cfvo type="min"/>
        <cfvo type="percentile" val="50"/>
        <cfvo type="max"/>
        <color rgb="FF63BE7B"/>
        <color rgb="FFFFEB84"/>
        <color rgb="FFF8696B"/>
      </colorScale>
    </cfRule>
  </conditionalFormatting>
  <conditionalFormatting sqref="AB210">
    <cfRule type="colorScale" priority="509">
      <colorScale>
        <cfvo type="min"/>
        <cfvo type="percentile" val="50"/>
        <cfvo type="max"/>
        <color rgb="FF63BE7B"/>
        <color rgb="FFFFEB84"/>
        <color rgb="FFF8696B"/>
      </colorScale>
    </cfRule>
  </conditionalFormatting>
  <conditionalFormatting sqref="AB208">
    <cfRule type="colorScale" priority="508">
      <colorScale>
        <cfvo type="min"/>
        <cfvo type="percentile" val="50"/>
        <cfvo type="max"/>
        <color rgb="FF63BE7B"/>
        <color rgb="FFFFEB84"/>
        <color rgb="FFF8696B"/>
      </colorScale>
    </cfRule>
  </conditionalFormatting>
  <conditionalFormatting sqref="AB206">
    <cfRule type="colorScale" priority="507">
      <colorScale>
        <cfvo type="min"/>
        <cfvo type="percentile" val="50"/>
        <cfvo type="max"/>
        <color rgb="FF63BE7B"/>
        <color rgb="FFFFEB84"/>
        <color rgb="FFF8696B"/>
      </colorScale>
    </cfRule>
  </conditionalFormatting>
  <conditionalFormatting sqref="AB204">
    <cfRule type="colorScale" priority="506">
      <colorScale>
        <cfvo type="min"/>
        <cfvo type="percentile" val="50"/>
        <cfvo type="max"/>
        <color rgb="FF63BE7B"/>
        <color rgb="FFFFEB84"/>
        <color rgb="FFF8696B"/>
      </colorScale>
    </cfRule>
  </conditionalFormatting>
  <conditionalFormatting sqref="AB202">
    <cfRule type="colorScale" priority="505">
      <colorScale>
        <cfvo type="min"/>
        <cfvo type="percentile" val="50"/>
        <cfvo type="max"/>
        <color rgb="FF63BE7B"/>
        <color rgb="FFFFEB84"/>
        <color rgb="FFF8696B"/>
      </colorScale>
    </cfRule>
  </conditionalFormatting>
  <conditionalFormatting sqref="AB200">
    <cfRule type="colorScale" priority="504">
      <colorScale>
        <cfvo type="min"/>
        <cfvo type="percentile" val="50"/>
        <cfvo type="max"/>
        <color rgb="FF63BE7B"/>
        <color rgb="FFFFEB84"/>
        <color rgb="FFF8696B"/>
      </colorScale>
    </cfRule>
  </conditionalFormatting>
  <conditionalFormatting sqref="AB198">
    <cfRule type="colorScale" priority="503">
      <colorScale>
        <cfvo type="min"/>
        <cfvo type="percentile" val="50"/>
        <cfvo type="max"/>
        <color rgb="FF63BE7B"/>
        <color rgb="FFFFEB84"/>
        <color rgb="FFF8696B"/>
      </colorScale>
    </cfRule>
  </conditionalFormatting>
  <conditionalFormatting sqref="AB196">
    <cfRule type="colorScale" priority="502">
      <colorScale>
        <cfvo type="min"/>
        <cfvo type="percentile" val="50"/>
        <cfvo type="max"/>
        <color rgb="FF63BE7B"/>
        <color rgb="FFFFEB84"/>
        <color rgb="FFF8696B"/>
      </colorScale>
    </cfRule>
  </conditionalFormatting>
  <conditionalFormatting sqref="AB194">
    <cfRule type="colorScale" priority="501">
      <colorScale>
        <cfvo type="min"/>
        <cfvo type="percentile" val="50"/>
        <cfvo type="max"/>
        <color rgb="FF63BE7B"/>
        <color rgb="FFFFEB84"/>
        <color rgb="FFF8696B"/>
      </colorScale>
    </cfRule>
  </conditionalFormatting>
  <conditionalFormatting sqref="AB192">
    <cfRule type="colorScale" priority="500">
      <colorScale>
        <cfvo type="min"/>
        <cfvo type="percentile" val="50"/>
        <cfvo type="max"/>
        <color rgb="FF63BE7B"/>
        <color rgb="FFFFEB84"/>
        <color rgb="FFF8696B"/>
      </colorScale>
    </cfRule>
  </conditionalFormatting>
  <conditionalFormatting sqref="AB190">
    <cfRule type="colorScale" priority="499">
      <colorScale>
        <cfvo type="min"/>
        <cfvo type="percentile" val="50"/>
        <cfvo type="max"/>
        <color rgb="FF63BE7B"/>
        <color rgb="FFFFEB84"/>
        <color rgb="FFF8696B"/>
      </colorScale>
    </cfRule>
  </conditionalFormatting>
  <conditionalFormatting sqref="AB188">
    <cfRule type="colorScale" priority="498">
      <colorScale>
        <cfvo type="min"/>
        <cfvo type="percentile" val="50"/>
        <cfvo type="max"/>
        <color rgb="FF63BE7B"/>
        <color rgb="FFFFEB84"/>
        <color rgb="FFF8696B"/>
      </colorScale>
    </cfRule>
  </conditionalFormatting>
  <conditionalFormatting sqref="AB186">
    <cfRule type="colorScale" priority="497">
      <colorScale>
        <cfvo type="min"/>
        <cfvo type="percentile" val="50"/>
        <cfvo type="max"/>
        <color rgb="FF63BE7B"/>
        <color rgb="FFFFEB84"/>
        <color rgb="FFF8696B"/>
      </colorScale>
    </cfRule>
  </conditionalFormatting>
  <conditionalFormatting sqref="AB184">
    <cfRule type="colorScale" priority="496">
      <colorScale>
        <cfvo type="min"/>
        <cfvo type="percentile" val="50"/>
        <cfvo type="max"/>
        <color rgb="FF63BE7B"/>
        <color rgb="FFFFEB84"/>
        <color rgb="FFF8696B"/>
      </colorScale>
    </cfRule>
  </conditionalFormatting>
  <conditionalFormatting sqref="AB182">
    <cfRule type="colorScale" priority="495">
      <colorScale>
        <cfvo type="min"/>
        <cfvo type="percentile" val="50"/>
        <cfvo type="max"/>
        <color rgb="FF63BE7B"/>
        <color rgb="FFFFEB84"/>
        <color rgb="FFF8696B"/>
      </colorScale>
    </cfRule>
  </conditionalFormatting>
  <conditionalFormatting sqref="AB180">
    <cfRule type="colorScale" priority="494">
      <colorScale>
        <cfvo type="min"/>
        <cfvo type="percentile" val="50"/>
        <cfvo type="max"/>
        <color rgb="FF63BE7B"/>
        <color rgb="FFFFEB84"/>
        <color rgb="FFF8696B"/>
      </colorScale>
    </cfRule>
  </conditionalFormatting>
  <conditionalFormatting sqref="AB178">
    <cfRule type="colorScale" priority="493">
      <colorScale>
        <cfvo type="min"/>
        <cfvo type="percentile" val="50"/>
        <cfvo type="max"/>
        <color rgb="FF63BE7B"/>
        <color rgb="FFFFEB84"/>
        <color rgb="FFF8696B"/>
      </colorScale>
    </cfRule>
  </conditionalFormatting>
  <conditionalFormatting sqref="AB176">
    <cfRule type="colorScale" priority="492">
      <colorScale>
        <cfvo type="min"/>
        <cfvo type="percentile" val="50"/>
        <cfvo type="max"/>
        <color rgb="FF63BE7B"/>
        <color rgb="FFFFEB84"/>
        <color rgb="FFF8696B"/>
      </colorScale>
    </cfRule>
  </conditionalFormatting>
  <conditionalFormatting sqref="AA177">
    <cfRule type="colorScale" priority="491">
      <colorScale>
        <cfvo type="min"/>
        <cfvo type="percentile" val="50"/>
        <cfvo type="max"/>
        <color rgb="FF63BE7B"/>
        <color rgb="FFFFEB84"/>
        <color rgb="FFF8696B"/>
      </colorScale>
    </cfRule>
  </conditionalFormatting>
  <conditionalFormatting sqref="AA179">
    <cfRule type="colorScale" priority="490">
      <colorScale>
        <cfvo type="min"/>
        <cfvo type="percentile" val="50"/>
        <cfvo type="max"/>
        <color rgb="FF63BE7B"/>
        <color rgb="FFFFEB84"/>
        <color rgb="FFF8696B"/>
      </colorScale>
    </cfRule>
  </conditionalFormatting>
  <conditionalFormatting sqref="AA181">
    <cfRule type="colorScale" priority="489">
      <colorScale>
        <cfvo type="min"/>
        <cfvo type="percentile" val="50"/>
        <cfvo type="max"/>
        <color rgb="FF63BE7B"/>
        <color rgb="FFFFEB84"/>
        <color rgb="FFF8696B"/>
      </colorScale>
    </cfRule>
  </conditionalFormatting>
  <conditionalFormatting sqref="AA183">
    <cfRule type="colorScale" priority="488">
      <colorScale>
        <cfvo type="min"/>
        <cfvo type="percentile" val="50"/>
        <cfvo type="max"/>
        <color rgb="FF63BE7B"/>
        <color rgb="FFFFEB84"/>
        <color rgb="FFF8696B"/>
      </colorScale>
    </cfRule>
  </conditionalFormatting>
  <conditionalFormatting sqref="AA185">
    <cfRule type="colorScale" priority="487">
      <colorScale>
        <cfvo type="min"/>
        <cfvo type="percentile" val="50"/>
        <cfvo type="max"/>
        <color rgb="FF63BE7B"/>
        <color rgb="FFFFEB84"/>
        <color rgb="FFF8696B"/>
      </colorScale>
    </cfRule>
  </conditionalFormatting>
  <conditionalFormatting sqref="AA187">
    <cfRule type="colorScale" priority="486">
      <colorScale>
        <cfvo type="min"/>
        <cfvo type="percentile" val="50"/>
        <cfvo type="max"/>
        <color rgb="FF63BE7B"/>
        <color rgb="FFFFEB84"/>
        <color rgb="FFF8696B"/>
      </colorScale>
    </cfRule>
  </conditionalFormatting>
  <conditionalFormatting sqref="AA189">
    <cfRule type="colorScale" priority="485">
      <colorScale>
        <cfvo type="min"/>
        <cfvo type="percentile" val="50"/>
        <cfvo type="max"/>
        <color rgb="FF63BE7B"/>
        <color rgb="FFFFEB84"/>
        <color rgb="FFF8696B"/>
      </colorScale>
    </cfRule>
  </conditionalFormatting>
  <conditionalFormatting sqref="AA191">
    <cfRule type="colorScale" priority="484">
      <colorScale>
        <cfvo type="min"/>
        <cfvo type="percentile" val="50"/>
        <cfvo type="max"/>
        <color rgb="FF63BE7B"/>
        <color rgb="FFFFEB84"/>
        <color rgb="FFF8696B"/>
      </colorScale>
    </cfRule>
  </conditionalFormatting>
  <conditionalFormatting sqref="AA193">
    <cfRule type="colorScale" priority="483">
      <colorScale>
        <cfvo type="min"/>
        <cfvo type="percentile" val="50"/>
        <cfvo type="max"/>
        <color rgb="FF63BE7B"/>
        <color rgb="FFFFEB84"/>
        <color rgb="FFF8696B"/>
      </colorScale>
    </cfRule>
  </conditionalFormatting>
  <conditionalFormatting sqref="AA195">
    <cfRule type="colorScale" priority="482">
      <colorScale>
        <cfvo type="min"/>
        <cfvo type="percentile" val="50"/>
        <cfvo type="max"/>
        <color rgb="FF63BE7B"/>
        <color rgb="FFFFEB84"/>
        <color rgb="FFF8696B"/>
      </colorScale>
    </cfRule>
  </conditionalFormatting>
  <conditionalFormatting sqref="AA197">
    <cfRule type="colorScale" priority="481">
      <colorScale>
        <cfvo type="min"/>
        <cfvo type="percentile" val="50"/>
        <cfvo type="max"/>
        <color rgb="FF63BE7B"/>
        <color rgb="FFFFEB84"/>
        <color rgb="FFF8696B"/>
      </colorScale>
    </cfRule>
  </conditionalFormatting>
  <conditionalFormatting sqref="AA199">
    <cfRule type="colorScale" priority="480">
      <colorScale>
        <cfvo type="min"/>
        <cfvo type="percentile" val="50"/>
        <cfvo type="max"/>
        <color rgb="FF63BE7B"/>
        <color rgb="FFFFEB84"/>
        <color rgb="FFF8696B"/>
      </colorScale>
    </cfRule>
  </conditionalFormatting>
  <conditionalFormatting sqref="AA201">
    <cfRule type="colorScale" priority="479">
      <colorScale>
        <cfvo type="min"/>
        <cfvo type="percentile" val="50"/>
        <cfvo type="max"/>
        <color rgb="FF63BE7B"/>
        <color rgb="FFFFEB84"/>
        <color rgb="FFF8696B"/>
      </colorScale>
    </cfRule>
  </conditionalFormatting>
  <conditionalFormatting sqref="AA203">
    <cfRule type="colorScale" priority="478">
      <colorScale>
        <cfvo type="min"/>
        <cfvo type="percentile" val="50"/>
        <cfvo type="max"/>
        <color rgb="FF63BE7B"/>
        <color rgb="FFFFEB84"/>
        <color rgb="FFF8696B"/>
      </colorScale>
    </cfRule>
  </conditionalFormatting>
  <conditionalFormatting sqref="AA205">
    <cfRule type="colorScale" priority="477">
      <colorScale>
        <cfvo type="min"/>
        <cfvo type="percentile" val="50"/>
        <cfvo type="max"/>
        <color rgb="FF63BE7B"/>
        <color rgb="FFFFEB84"/>
        <color rgb="FFF8696B"/>
      </colorScale>
    </cfRule>
  </conditionalFormatting>
  <conditionalFormatting sqref="AA207">
    <cfRule type="colorScale" priority="476">
      <colorScale>
        <cfvo type="min"/>
        <cfvo type="percentile" val="50"/>
        <cfvo type="max"/>
        <color rgb="FF63BE7B"/>
        <color rgb="FFFFEB84"/>
        <color rgb="FFF8696B"/>
      </colorScale>
    </cfRule>
  </conditionalFormatting>
  <conditionalFormatting sqref="AA209">
    <cfRule type="colorScale" priority="475">
      <colorScale>
        <cfvo type="min"/>
        <cfvo type="percentile" val="50"/>
        <cfvo type="max"/>
        <color rgb="FF63BE7B"/>
        <color rgb="FFFFEB84"/>
        <color rgb="FFF8696B"/>
      </colorScale>
    </cfRule>
  </conditionalFormatting>
  <conditionalFormatting sqref="AA211">
    <cfRule type="colorScale" priority="474">
      <colorScale>
        <cfvo type="min"/>
        <cfvo type="percentile" val="50"/>
        <cfvo type="max"/>
        <color rgb="FF63BE7B"/>
        <color rgb="FFFFEB84"/>
        <color rgb="FFF8696B"/>
      </colorScale>
    </cfRule>
  </conditionalFormatting>
  <conditionalFormatting sqref="AA213">
    <cfRule type="colorScale" priority="473">
      <colorScale>
        <cfvo type="min"/>
        <cfvo type="percentile" val="50"/>
        <cfvo type="max"/>
        <color rgb="FF63BE7B"/>
        <color rgb="FFFFEB84"/>
        <color rgb="FFF8696B"/>
      </colorScale>
    </cfRule>
  </conditionalFormatting>
  <conditionalFormatting sqref="AA215">
    <cfRule type="colorScale" priority="472">
      <colorScale>
        <cfvo type="min"/>
        <cfvo type="percentile" val="50"/>
        <cfvo type="max"/>
        <color rgb="FF63BE7B"/>
        <color rgb="FFFFEB84"/>
        <color rgb="FFF8696B"/>
      </colorScale>
    </cfRule>
  </conditionalFormatting>
  <conditionalFormatting sqref="AA217">
    <cfRule type="colorScale" priority="471">
      <colorScale>
        <cfvo type="min"/>
        <cfvo type="percentile" val="50"/>
        <cfvo type="max"/>
        <color rgb="FF63BE7B"/>
        <color rgb="FFFFEB84"/>
        <color rgb="FFF8696B"/>
      </colorScale>
    </cfRule>
  </conditionalFormatting>
  <conditionalFormatting sqref="AA219">
    <cfRule type="colorScale" priority="470">
      <colorScale>
        <cfvo type="min"/>
        <cfvo type="percentile" val="50"/>
        <cfvo type="max"/>
        <color rgb="FF63BE7B"/>
        <color rgb="FFFFEB84"/>
        <color rgb="FFF8696B"/>
      </colorScale>
    </cfRule>
  </conditionalFormatting>
  <conditionalFormatting sqref="AA221">
    <cfRule type="colorScale" priority="469">
      <colorScale>
        <cfvo type="min"/>
        <cfvo type="percentile" val="50"/>
        <cfvo type="max"/>
        <color rgb="FF63BE7B"/>
        <color rgb="FFFFEB84"/>
        <color rgb="FFF8696B"/>
      </colorScale>
    </cfRule>
  </conditionalFormatting>
  <conditionalFormatting sqref="AA223">
    <cfRule type="colorScale" priority="468">
      <colorScale>
        <cfvo type="min"/>
        <cfvo type="percentile" val="50"/>
        <cfvo type="max"/>
        <color rgb="FF63BE7B"/>
        <color rgb="FFFFEB84"/>
        <color rgb="FFF8696B"/>
      </colorScale>
    </cfRule>
  </conditionalFormatting>
  <conditionalFormatting sqref="AA225">
    <cfRule type="colorScale" priority="467">
      <colorScale>
        <cfvo type="min"/>
        <cfvo type="percentile" val="50"/>
        <cfvo type="max"/>
        <color rgb="FF63BE7B"/>
        <color rgb="FFFFEB84"/>
        <color rgb="FFF8696B"/>
      </colorScale>
    </cfRule>
  </conditionalFormatting>
  <conditionalFormatting sqref="AA227">
    <cfRule type="colorScale" priority="466">
      <colorScale>
        <cfvo type="min"/>
        <cfvo type="percentile" val="50"/>
        <cfvo type="max"/>
        <color rgb="FF63BE7B"/>
        <color rgb="FFFFEB84"/>
        <color rgb="FFF8696B"/>
      </colorScale>
    </cfRule>
  </conditionalFormatting>
  <conditionalFormatting sqref="AA229">
    <cfRule type="colorScale" priority="465">
      <colorScale>
        <cfvo type="min"/>
        <cfvo type="percentile" val="50"/>
        <cfvo type="max"/>
        <color rgb="FF63BE7B"/>
        <color rgb="FFFFEB84"/>
        <color rgb="FFF8696B"/>
      </colorScale>
    </cfRule>
  </conditionalFormatting>
  <conditionalFormatting sqref="Z228">
    <cfRule type="colorScale" priority="464">
      <colorScale>
        <cfvo type="min"/>
        <cfvo type="percentile" val="50"/>
        <cfvo type="max"/>
        <color rgb="FF63BE7B"/>
        <color rgb="FFFFEB84"/>
        <color rgb="FFF8696B"/>
      </colorScale>
    </cfRule>
  </conditionalFormatting>
  <conditionalFormatting sqref="Z226">
    <cfRule type="colorScale" priority="463">
      <colorScale>
        <cfvo type="min"/>
        <cfvo type="percentile" val="50"/>
        <cfvo type="max"/>
        <color rgb="FF63BE7B"/>
        <color rgb="FFFFEB84"/>
        <color rgb="FFF8696B"/>
      </colorScale>
    </cfRule>
  </conditionalFormatting>
  <conditionalFormatting sqref="Z224">
    <cfRule type="colorScale" priority="462">
      <colorScale>
        <cfvo type="min"/>
        <cfvo type="percentile" val="50"/>
        <cfvo type="max"/>
        <color rgb="FF63BE7B"/>
        <color rgb="FFFFEB84"/>
        <color rgb="FFF8696B"/>
      </colorScale>
    </cfRule>
  </conditionalFormatting>
  <conditionalFormatting sqref="Z222">
    <cfRule type="colorScale" priority="461">
      <colorScale>
        <cfvo type="min"/>
        <cfvo type="percentile" val="50"/>
        <cfvo type="max"/>
        <color rgb="FF63BE7B"/>
        <color rgb="FFFFEB84"/>
        <color rgb="FFF8696B"/>
      </colorScale>
    </cfRule>
  </conditionalFormatting>
  <conditionalFormatting sqref="Z220">
    <cfRule type="colorScale" priority="460">
      <colorScale>
        <cfvo type="min"/>
        <cfvo type="percentile" val="50"/>
        <cfvo type="max"/>
        <color rgb="FF63BE7B"/>
        <color rgb="FFFFEB84"/>
        <color rgb="FFF8696B"/>
      </colorScale>
    </cfRule>
  </conditionalFormatting>
  <conditionalFormatting sqref="Z218">
    <cfRule type="colorScale" priority="459">
      <colorScale>
        <cfvo type="min"/>
        <cfvo type="percentile" val="50"/>
        <cfvo type="max"/>
        <color rgb="FF63BE7B"/>
        <color rgb="FFFFEB84"/>
        <color rgb="FFF8696B"/>
      </colorScale>
    </cfRule>
  </conditionalFormatting>
  <conditionalFormatting sqref="Z216">
    <cfRule type="colorScale" priority="458">
      <colorScale>
        <cfvo type="min"/>
        <cfvo type="percentile" val="50"/>
        <cfvo type="max"/>
        <color rgb="FF63BE7B"/>
        <color rgb="FFFFEB84"/>
        <color rgb="FFF8696B"/>
      </colorScale>
    </cfRule>
  </conditionalFormatting>
  <conditionalFormatting sqref="Z214">
    <cfRule type="colorScale" priority="457">
      <colorScale>
        <cfvo type="min"/>
        <cfvo type="percentile" val="50"/>
        <cfvo type="max"/>
        <color rgb="FF63BE7B"/>
        <color rgb="FFFFEB84"/>
        <color rgb="FFF8696B"/>
      </colorScale>
    </cfRule>
  </conditionalFormatting>
  <conditionalFormatting sqref="Z212">
    <cfRule type="colorScale" priority="456">
      <colorScale>
        <cfvo type="min"/>
        <cfvo type="percentile" val="50"/>
        <cfvo type="max"/>
        <color rgb="FF63BE7B"/>
        <color rgb="FFFFEB84"/>
        <color rgb="FFF8696B"/>
      </colorScale>
    </cfRule>
  </conditionalFormatting>
  <conditionalFormatting sqref="Z210">
    <cfRule type="colorScale" priority="455">
      <colorScale>
        <cfvo type="min"/>
        <cfvo type="percentile" val="50"/>
        <cfvo type="max"/>
        <color rgb="FF63BE7B"/>
        <color rgb="FFFFEB84"/>
        <color rgb="FFF8696B"/>
      </colorScale>
    </cfRule>
  </conditionalFormatting>
  <conditionalFormatting sqref="Z208">
    <cfRule type="colorScale" priority="454">
      <colorScale>
        <cfvo type="min"/>
        <cfvo type="percentile" val="50"/>
        <cfvo type="max"/>
        <color rgb="FF63BE7B"/>
        <color rgb="FFFFEB84"/>
        <color rgb="FFF8696B"/>
      </colorScale>
    </cfRule>
  </conditionalFormatting>
  <conditionalFormatting sqref="Z206">
    <cfRule type="colorScale" priority="453">
      <colorScale>
        <cfvo type="min"/>
        <cfvo type="percentile" val="50"/>
        <cfvo type="max"/>
        <color rgb="FF63BE7B"/>
        <color rgb="FFFFEB84"/>
        <color rgb="FFF8696B"/>
      </colorScale>
    </cfRule>
  </conditionalFormatting>
  <conditionalFormatting sqref="Z204">
    <cfRule type="colorScale" priority="452">
      <colorScale>
        <cfvo type="min"/>
        <cfvo type="percentile" val="50"/>
        <cfvo type="max"/>
        <color rgb="FF63BE7B"/>
        <color rgb="FFFFEB84"/>
        <color rgb="FFF8696B"/>
      </colorScale>
    </cfRule>
  </conditionalFormatting>
  <conditionalFormatting sqref="Z202">
    <cfRule type="colorScale" priority="451">
      <colorScale>
        <cfvo type="min"/>
        <cfvo type="percentile" val="50"/>
        <cfvo type="max"/>
        <color rgb="FF63BE7B"/>
        <color rgb="FFFFEB84"/>
        <color rgb="FFF8696B"/>
      </colorScale>
    </cfRule>
  </conditionalFormatting>
  <conditionalFormatting sqref="Z200">
    <cfRule type="colorScale" priority="450">
      <colorScale>
        <cfvo type="min"/>
        <cfvo type="percentile" val="50"/>
        <cfvo type="max"/>
        <color rgb="FF63BE7B"/>
        <color rgb="FFFFEB84"/>
        <color rgb="FFF8696B"/>
      </colorScale>
    </cfRule>
  </conditionalFormatting>
  <conditionalFormatting sqref="Z198">
    <cfRule type="colorScale" priority="449">
      <colorScale>
        <cfvo type="min"/>
        <cfvo type="percentile" val="50"/>
        <cfvo type="max"/>
        <color rgb="FF63BE7B"/>
        <color rgb="FFFFEB84"/>
        <color rgb="FFF8696B"/>
      </colorScale>
    </cfRule>
  </conditionalFormatting>
  <conditionalFormatting sqref="Z196">
    <cfRule type="colorScale" priority="448">
      <colorScale>
        <cfvo type="min"/>
        <cfvo type="percentile" val="50"/>
        <cfvo type="max"/>
        <color rgb="FF63BE7B"/>
        <color rgb="FFFFEB84"/>
        <color rgb="FFF8696B"/>
      </colorScale>
    </cfRule>
  </conditionalFormatting>
  <conditionalFormatting sqref="Z194">
    <cfRule type="colorScale" priority="447">
      <colorScale>
        <cfvo type="min"/>
        <cfvo type="percentile" val="50"/>
        <cfvo type="max"/>
        <color rgb="FF63BE7B"/>
        <color rgb="FFFFEB84"/>
        <color rgb="FFF8696B"/>
      </colorScale>
    </cfRule>
  </conditionalFormatting>
  <conditionalFormatting sqref="Z192">
    <cfRule type="colorScale" priority="446">
      <colorScale>
        <cfvo type="min"/>
        <cfvo type="percentile" val="50"/>
        <cfvo type="max"/>
        <color rgb="FF63BE7B"/>
        <color rgb="FFFFEB84"/>
        <color rgb="FFF8696B"/>
      </colorScale>
    </cfRule>
  </conditionalFormatting>
  <conditionalFormatting sqref="Z190">
    <cfRule type="colorScale" priority="445">
      <colorScale>
        <cfvo type="min"/>
        <cfvo type="percentile" val="50"/>
        <cfvo type="max"/>
        <color rgb="FF63BE7B"/>
        <color rgb="FFFFEB84"/>
        <color rgb="FFF8696B"/>
      </colorScale>
    </cfRule>
  </conditionalFormatting>
  <conditionalFormatting sqref="Z188">
    <cfRule type="colorScale" priority="444">
      <colorScale>
        <cfvo type="min"/>
        <cfvo type="percentile" val="50"/>
        <cfvo type="max"/>
        <color rgb="FF63BE7B"/>
        <color rgb="FFFFEB84"/>
        <color rgb="FFF8696B"/>
      </colorScale>
    </cfRule>
  </conditionalFormatting>
  <conditionalFormatting sqref="Z186">
    <cfRule type="colorScale" priority="443">
      <colorScale>
        <cfvo type="min"/>
        <cfvo type="percentile" val="50"/>
        <cfvo type="max"/>
        <color rgb="FF63BE7B"/>
        <color rgb="FFFFEB84"/>
        <color rgb="FFF8696B"/>
      </colorScale>
    </cfRule>
  </conditionalFormatting>
  <conditionalFormatting sqref="Z184">
    <cfRule type="colorScale" priority="442">
      <colorScale>
        <cfvo type="min"/>
        <cfvo type="percentile" val="50"/>
        <cfvo type="max"/>
        <color rgb="FF63BE7B"/>
        <color rgb="FFFFEB84"/>
        <color rgb="FFF8696B"/>
      </colorScale>
    </cfRule>
  </conditionalFormatting>
  <conditionalFormatting sqref="Z182">
    <cfRule type="colorScale" priority="441">
      <colorScale>
        <cfvo type="min"/>
        <cfvo type="percentile" val="50"/>
        <cfvo type="max"/>
        <color rgb="FF63BE7B"/>
        <color rgb="FFFFEB84"/>
        <color rgb="FFF8696B"/>
      </colorScale>
    </cfRule>
  </conditionalFormatting>
  <conditionalFormatting sqref="Z180">
    <cfRule type="colorScale" priority="440">
      <colorScale>
        <cfvo type="min"/>
        <cfvo type="percentile" val="50"/>
        <cfvo type="max"/>
        <color rgb="FF63BE7B"/>
        <color rgb="FFFFEB84"/>
        <color rgb="FFF8696B"/>
      </colorScale>
    </cfRule>
  </conditionalFormatting>
  <conditionalFormatting sqref="Z178">
    <cfRule type="colorScale" priority="439">
      <colorScale>
        <cfvo type="min"/>
        <cfvo type="percentile" val="50"/>
        <cfvo type="max"/>
        <color rgb="FF63BE7B"/>
        <color rgb="FFFFEB84"/>
        <color rgb="FFF8696B"/>
      </colorScale>
    </cfRule>
  </conditionalFormatting>
  <conditionalFormatting sqref="Y179">
    <cfRule type="colorScale" priority="438">
      <colorScale>
        <cfvo type="min"/>
        <cfvo type="percentile" val="50"/>
        <cfvo type="max"/>
        <color rgb="FF63BE7B"/>
        <color rgb="FFFFEB84"/>
        <color rgb="FFF8696B"/>
      </colorScale>
    </cfRule>
  </conditionalFormatting>
  <conditionalFormatting sqref="Y181">
    <cfRule type="colorScale" priority="437">
      <colorScale>
        <cfvo type="min"/>
        <cfvo type="percentile" val="50"/>
        <cfvo type="max"/>
        <color rgb="FF63BE7B"/>
        <color rgb="FFFFEB84"/>
        <color rgb="FFF8696B"/>
      </colorScale>
    </cfRule>
  </conditionalFormatting>
  <conditionalFormatting sqref="Y183">
    <cfRule type="colorScale" priority="436">
      <colorScale>
        <cfvo type="min"/>
        <cfvo type="percentile" val="50"/>
        <cfvo type="max"/>
        <color rgb="FF63BE7B"/>
        <color rgb="FFFFEB84"/>
        <color rgb="FFF8696B"/>
      </colorScale>
    </cfRule>
  </conditionalFormatting>
  <conditionalFormatting sqref="Y185">
    <cfRule type="colorScale" priority="435">
      <colorScale>
        <cfvo type="min"/>
        <cfvo type="percentile" val="50"/>
        <cfvo type="max"/>
        <color rgb="FF63BE7B"/>
        <color rgb="FFFFEB84"/>
        <color rgb="FFF8696B"/>
      </colorScale>
    </cfRule>
  </conditionalFormatting>
  <conditionalFormatting sqref="Y187">
    <cfRule type="colorScale" priority="434">
      <colorScale>
        <cfvo type="min"/>
        <cfvo type="percentile" val="50"/>
        <cfvo type="max"/>
        <color rgb="FF63BE7B"/>
        <color rgb="FFFFEB84"/>
        <color rgb="FFF8696B"/>
      </colorScale>
    </cfRule>
  </conditionalFormatting>
  <conditionalFormatting sqref="Y189">
    <cfRule type="colorScale" priority="433">
      <colorScale>
        <cfvo type="min"/>
        <cfvo type="percentile" val="50"/>
        <cfvo type="max"/>
        <color rgb="FF63BE7B"/>
        <color rgb="FFFFEB84"/>
        <color rgb="FFF8696B"/>
      </colorScale>
    </cfRule>
  </conditionalFormatting>
  <conditionalFormatting sqref="Y191">
    <cfRule type="colorScale" priority="432">
      <colorScale>
        <cfvo type="min"/>
        <cfvo type="percentile" val="50"/>
        <cfvo type="max"/>
        <color rgb="FF63BE7B"/>
        <color rgb="FFFFEB84"/>
        <color rgb="FFF8696B"/>
      </colorScale>
    </cfRule>
  </conditionalFormatting>
  <conditionalFormatting sqref="Y193">
    <cfRule type="colorScale" priority="431">
      <colorScale>
        <cfvo type="min"/>
        <cfvo type="percentile" val="50"/>
        <cfvo type="max"/>
        <color rgb="FF63BE7B"/>
        <color rgb="FFFFEB84"/>
        <color rgb="FFF8696B"/>
      </colorScale>
    </cfRule>
  </conditionalFormatting>
  <conditionalFormatting sqref="Y195">
    <cfRule type="colorScale" priority="430">
      <colorScale>
        <cfvo type="min"/>
        <cfvo type="percentile" val="50"/>
        <cfvo type="max"/>
        <color rgb="FF63BE7B"/>
        <color rgb="FFFFEB84"/>
        <color rgb="FFF8696B"/>
      </colorScale>
    </cfRule>
  </conditionalFormatting>
  <conditionalFormatting sqref="Y197">
    <cfRule type="colorScale" priority="429">
      <colorScale>
        <cfvo type="min"/>
        <cfvo type="percentile" val="50"/>
        <cfvo type="max"/>
        <color rgb="FF63BE7B"/>
        <color rgb="FFFFEB84"/>
        <color rgb="FFF8696B"/>
      </colorScale>
    </cfRule>
  </conditionalFormatting>
  <conditionalFormatting sqref="Y199">
    <cfRule type="colorScale" priority="428">
      <colorScale>
        <cfvo type="min"/>
        <cfvo type="percentile" val="50"/>
        <cfvo type="max"/>
        <color rgb="FF63BE7B"/>
        <color rgb="FFFFEB84"/>
        <color rgb="FFF8696B"/>
      </colorScale>
    </cfRule>
  </conditionalFormatting>
  <conditionalFormatting sqref="Y201">
    <cfRule type="colorScale" priority="427">
      <colorScale>
        <cfvo type="min"/>
        <cfvo type="percentile" val="50"/>
        <cfvo type="max"/>
        <color rgb="FF63BE7B"/>
        <color rgb="FFFFEB84"/>
        <color rgb="FFF8696B"/>
      </colorScale>
    </cfRule>
  </conditionalFormatting>
  <conditionalFormatting sqref="Y203">
    <cfRule type="colorScale" priority="426">
      <colorScale>
        <cfvo type="min"/>
        <cfvo type="percentile" val="50"/>
        <cfvo type="max"/>
        <color rgb="FF63BE7B"/>
        <color rgb="FFFFEB84"/>
        <color rgb="FFF8696B"/>
      </colorScale>
    </cfRule>
  </conditionalFormatting>
  <conditionalFormatting sqref="Y205">
    <cfRule type="colorScale" priority="425">
      <colorScale>
        <cfvo type="min"/>
        <cfvo type="percentile" val="50"/>
        <cfvo type="max"/>
        <color rgb="FF63BE7B"/>
        <color rgb="FFFFEB84"/>
        <color rgb="FFF8696B"/>
      </colorScale>
    </cfRule>
  </conditionalFormatting>
  <conditionalFormatting sqref="Y207">
    <cfRule type="colorScale" priority="424">
      <colorScale>
        <cfvo type="min"/>
        <cfvo type="percentile" val="50"/>
        <cfvo type="max"/>
        <color rgb="FF63BE7B"/>
        <color rgb="FFFFEB84"/>
        <color rgb="FFF8696B"/>
      </colorScale>
    </cfRule>
  </conditionalFormatting>
  <conditionalFormatting sqref="Y209">
    <cfRule type="colorScale" priority="423">
      <colorScale>
        <cfvo type="min"/>
        <cfvo type="percentile" val="50"/>
        <cfvo type="max"/>
        <color rgb="FF63BE7B"/>
        <color rgb="FFFFEB84"/>
        <color rgb="FFF8696B"/>
      </colorScale>
    </cfRule>
  </conditionalFormatting>
  <conditionalFormatting sqref="Y211">
    <cfRule type="colorScale" priority="422">
      <colorScale>
        <cfvo type="min"/>
        <cfvo type="percentile" val="50"/>
        <cfvo type="max"/>
        <color rgb="FF63BE7B"/>
        <color rgb="FFFFEB84"/>
        <color rgb="FFF8696B"/>
      </colorScale>
    </cfRule>
  </conditionalFormatting>
  <conditionalFormatting sqref="Y213">
    <cfRule type="colorScale" priority="421">
      <colorScale>
        <cfvo type="min"/>
        <cfvo type="percentile" val="50"/>
        <cfvo type="max"/>
        <color rgb="FF63BE7B"/>
        <color rgb="FFFFEB84"/>
        <color rgb="FFF8696B"/>
      </colorScale>
    </cfRule>
  </conditionalFormatting>
  <conditionalFormatting sqref="Y215">
    <cfRule type="colorScale" priority="420">
      <colorScale>
        <cfvo type="min"/>
        <cfvo type="percentile" val="50"/>
        <cfvo type="max"/>
        <color rgb="FF63BE7B"/>
        <color rgb="FFFFEB84"/>
        <color rgb="FFF8696B"/>
      </colorScale>
    </cfRule>
  </conditionalFormatting>
  <conditionalFormatting sqref="Y217">
    <cfRule type="colorScale" priority="419">
      <colorScale>
        <cfvo type="min"/>
        <cfvo type="percentile" val="50"/>
        <cfvo type="max"/>
        <color rgb="FF63BE7B"/>
        <color rgb="FFFFEB84"/>
        <color rgb="FFF8696B"/>
      </colorScale>
    </cfRule>
  </conditionalFormatting>
  <conditionalFormatting sqref="Y219">
    <cfRule type="colorScale" priority="418">
      <colorScale>
        <cfvo type="min"/>
        <cfvo type="percentile" val="50"/>
        <cfvo type="max"/>
        <color rgb="FF63BE7B"/>
        <color rgb="FFFFEB84"/>
        <color rgb="FFF8696B"/>
      </colorScale>
    </cfRule>
  </conditionalFormatting>
  <conditionalFormatting sqref="Y221">
    <cfRule type="colorScale" priority="417">
      <colorScale>
        <cfvo type="min"/>
        <cfvo type="percentile" val="50"/>
        <cfvo type="max"/>
        <color rgb="FF63BE7B"/>
        <color rgb="FFFFEB84"/>
        <color rgb="FFF8696B"/>
      </colorScale>
    </cfRule>
  </conditionalFormatting>
  <conditionalFormatting sqref="Y223">
    <cfRule type="colorScale" priority="416">
      <colorScale>
        <cfvo type="min"/>
        <cfvo type="percentile" val="50"/>
        <cfvo type="max"/>
        <color rgb="FF63BE7B"/>
        <color rgb="FFFFEB84"/>
        <color rgb="FFF8696B"/>
      </colorScale>
    </cfRule>
  </conditionalFormatting>
  <conditionalFormatting sqref="Y225">
    <cfRule type="colorScale" priority="415">
      <colorScale>
        <cfvo type="min"/>
        <cfvo type="percentile" val="50"/>
        <cfvo type="max"/>
        <color rgb="FF63BE7B"/>
        <color rgb="FFFFEB84"/>
        <color rgb="FFF8696B"/>
      </colorScale>
    </cfRule>
  </conditionalFormatting>
  <conditionalFormatting sqref="Y227">
    <cfRule type="colorScale" priority="414">
      <colorScale>
        <cfvo type="min"/>
        <cfvo type="percentile" val="50"/>
        <cfvo type="max"/>
        <color rgb="FF63BE7B"/>
        <color rgb="FFFFEB84"/>
        <color rgb="FFF8696B"/>
      </colorScale>
    </cfRule>
  </conditionalFormatting>
  <conditionalFormatting sqref="X226">
    <cfRule type="colorScale" priority="413">
      <colorScale>
        <cfvo type="min"/>
        <cfvo type="percentile" val="50"/>
        <cfvo type="max"/>
        <color rgb="FF63BE7B"/>
        <color rgb="FFFFEB84"/>
        <color rgb="FFF8696B"/>
      </colorScale>
    </cfRule>
  </conditionalFormatting>
  <conditionalFormatting sqref="X224">
    <cfRule type="colorScale" priority="412">
      <colorScale>
        <cfvo type="min"/>
        <cfvo type="percentile" val="50"/>
        <cfvo type="max"/>
        <color rgb="FF63BE7B"/>
        <color rgb="FFFFEB84"/>
        <color rgb="FFF8696B"/>
      </colorScale>
    </cfRule>
  </conditionalFormatting>
  <conditionalFormatting sqref="X222">
    <cfRule type="colorScale" priority="411">
      <colorScale>
        <cfvo type="min"/>
        <cfvo type="percentile" val="50"/>
        <cfvo type="max"/>
        <color rgb="FF63BE7B"/>
        <color rgb="FFFFEB84"/>
        <color rgb="FFF8696B"/>
      </colorScale>
    </cfRule>
  </conditionalFormatting>
  <conditionalFormatting sqref="X220">
    <cfRule type="colorScale" priority="410">
      <colorScale>
        <cfvo type="min"/>
        <cfvo type="percentile" val="50"/>
        <cfvo type="max"/>
        <color rgb="FF63BE7B"/>
        <color rgb="FFFFEB84"/>
        <color rgb="FFF8696B"/>
      </colorScale>
    </cfRule>
  </conditionalFormatting>
  <conditionalFormatting sqref="X218">
    <cfRule type="colorScale" priority="409">
      <colorScale>
        <cfvo type="min"/>
        <cfvo type="percentile" val="50"/>
        <cfvo type="max"/>
        <color rgb="FF63BE7B"/>
        <color rgb="FFFFEB84"/>
        <color rgb="FFF8696B"/>
      </colorScale>
    </cfRule>
  </conditionalFormatting>
  <conditionalFormatting sqref="X216">
    <cfRule type="colorScale" priority="408">
      <colorScale>
        <cfvo type="min"/>
        <cfvo type="percentile" val="50"/>
        <cfvo type="max"/>
        <color rgb="FF63BE7B"/>
        <color rgb="FFFFEB84"/>
        <color rgb="FFF8696B"/>
      </colorScale>
    </cfRule>
  </conditionalFormatting>
  <conditionalFormatting sqref="X214">
    <cfRule type="colorScale" priority="407">
      <colorScale>
        <cfvo type="min"/>
        <cfvo type="percentile" val="50"/>
        <cfvo type="max"/>
        <color rgb="FF63BE7B"/>
        <color rgb="FFFFEB84"/>
        <color rgb="FFF8696B"/>
      </colorScale>
    </cfRule>
  </conditionalFormatting>
  <conditionalFormatting sqref="X212">
    <cfRule type="colorScale" priority="406">
      <colorScale>
        <cfvo type="min"/>
        <cfvo type="percentile" val="50"/>
        <cfvo type="max"/>
        <color rgb="FF63BE7B"/>
        <color rgb="FFFFEB84"/>
        <color rgb="FFF8696B"/>
      </colorScale>
    </cfRule>
  </conditionalFormatting>
  <conditionalFormatting sqref="X210">
    <cfRule type="colorScale" priority="405">
      <colorScale>
        <cfvo type="min"/>
        <cfvo type="percentile" val="50"/>
        <cfvo type="max"/>
        <color rgb="FF63BE7B"/>
        <color rgb="FFFFEB84"/>
        <color rgb="FFF8696B"/>
      </colorScale>
    </cfRule>
  </conditionalFormatting>
  <conditionalFormatting sqref="X208">
    <cfRule type="colorScale" priority="404">
      <colorScale>
        <cfvo type="min"/>
        <cfvo type="percentile" val="50"/>
        <cfvo type="max"/>
        <color rgb="FF63BE7B"/>
        <color rgb="FFFFEB84"/>
        <color rgb="FFF8696B"/>
      </colorScale>
    </cfRule>
  </conditionalFormatting>
  <conditionalFormatting sqref="X206">
    <cfRule type="colorScale" priority="403">
      <colorScale>
        <cfvo type="min"/>
        <cfvo type="percentile" val="50"/>
        <cfvo type="max"/>
        <color rgb="FF63BE7B"/>
        <color rgb="FFFFEB84"/>
        <color rgb="FFF8696B"/>
      </colorScale>
    </cfRule>
  </conditionalFormatting>
  <conditionalFormatting sqref="X204">
    <cfRule type="colorScale" priority="402">
      <colorScale>
        <cfvo type="min"/>
        <cfvo type="percentile" val="50"/>
        <cfvo type="max"/>
        <color rgb="FF63BE7B"/>
        <color rgb="FFFFEB84"/>
        <color rgb="FFF8696B"/>
      </colorScale>
    </cfRule>
  </conditionalFormatting>
  <conditionalFormatting sqref="X202">
    <cfRule type="colorScale" priority="401">
      <colorScale>
        <cfvo type="min"/>
        <cfvo type="percentile" val="50"/>
        <cfvo type="max"/>
        <color rgb="FF63BE7B"/>
        <color rgb="FFFFEB84"/>
        <color rgb="FFF8696B"/>
      </colorScale>
    </cfRule>
  </conditionalFormatting>
  <conditionalFormatting sqref="X200">
    <cfRule type="colorScale" priority="400">
      <colorScale>
        <cfvo type="min"/>
        <cfvo type="percentile" val="50"/>
        <cfvo type="max"/>
        <color rgb="FF63BE7B"/>
        <color rgb="FFFFEB84"/>
        <color rgb="FFF8696B"/>
      </colorScale>
    </cfRule>
  </conditionalFormatting>
  <conditionalFormatting sqref="X198">
    <cfRule type="colorScale" priority="399">
      <colorScale>
        <cfvo type="min"/>
        <cfvo type="percentile" val="50"/>
        <cfvo type="max"/>
        <color rgb="FF63BE7B"/>
        <color rgb="FFFFEB84"/>
        <color rgb="FFF8696B"/>
      </colorScale>
    </cfRule>
  </conditionalFormatting>
  <conditionalFormatting sqref="X196">
    <cfRule type="colorScale" priority="398">
      <colorScale>
        <cfvo type="min"/>
        <cfvo type="percentile" val="50"/>
        <cfvo type="max"/>
        <color rgb="FF63BE7B"/>
        <color rgb="FFFFEB84"/>
        <color rgb="FFF8696B"/>
      </colorScale>
    </cfRule>
  </conditionalFormatting>
  <conditionalFormatting sqref="X194">
    <cfRule type="colorScale" priority="397">
      <colorScale>
        <cfvo type="min"/>
        <cfvo type="percentile" val="50"/>
        <cfvo type="max"/>
        <color rgb="FF63BE7B"/>
        <color rgb="FFFFEB84"/>
        <color rgb="FFF8696B"/>
      </colorScale>
    </cfRule>
  </conditionalFormatting>
  <conditionalFormatting sqref="X192">
    <cfRule type="colorScale" priority="396">
      <colorScale>
        <cfvo type="min"/>
        <cfvo type="percentile" val="50"/>
        <cfvo type="max"/>
        <color rgb="FF63BE7B"/>
        <color rgb="FFFFEB84"/>
        <color rgb="FFF8696B"/>
      </colorScale>
    </cfRule>
  </conditionalFormatting>
  <conditionalFormatting sqref="X190">
    <cfRule type="colorScale" priority="395">
      <colorScale>
        <cfvo type="min"/>
        <cfvo type="percentile" val="50"/>
        <cfvo type="max"/>
        <color rgb="FF63BE7B"/>
        <color rgb="FFFFEB84"/>
        <color rgb="FFF8696B"/>
      </colorScale>
    </cfRule>
  </conditionalFormatting>
  <conditionalFormatting sqref="X188">
    <cfRule type="colorScale" priority="394">
      <colorScale>
        <cfvo type="min"/>
        <cfvo type="percentile" val="50"/>
        <cfvo type="max"/>
        <color rgb="FF63BE7B"/>
        <color rgb="FFFFEB84"/>
        <color rgb="FFF8696B"/>
      </colorScale>
    </cfRule>
  </conditionalFormatting>
  <conditionalFormatting sqref="X186">
    <cfRule type="colorScale" priority="393">
      <colorScale>
        <cfvo type="min"/>
        <cfvo type="percentile" val="50"/>
        <cfvo type="max"/>
        <color rgb="FF63BE7B"/>
        <color rgb="FFFFEB84"/>
        <color rgb="FFF8696B"/>
      </colorScale>
    </cfRule>
  </conditionalFormatting>
  <conditionalFormatting sqref="X184">
    <cfRule type="colorScale" priority="392">
      <colorScale>
        <cfvo type="min"/>
        <cfvo type="percentile" val="50"/>
        <cfvo type="max"/>
        <color rgb="FF63BE7B"/>
        <color rgb="FFFFEB84"/>
        <color rgb="FFF8696B"/>
      </colorScale>
    </cfRule>
  </conditionalFormatting>
  <conditionalFormatting sqref="X182">
    <cfRule type="colorScale" priority="391">
      <colorScale>
        <cfvo type="min"/>
        <cfvo type="percentile" val="50"/>
        <cfvo type="max"/>
        <color rgb="FF63BE7B"/>
        <color rgb="FFFFEB84"/>
        <color rgb="FFF8696B"/>
      </colorScale>
    </cfRule>
  </conditionalFormatting>
  <conditionalFormatting sqref="X180">
    <cfRule type="colorScale" priority="390">
      <colorScale>
        <cfvo type="min"/>
        <cfvo type="percentile" val="50"/>
        <cfvo type="max"/>
        <color rgb="FF63BE7B"/>
        <color rgb="FFFFEB84"/>
        <color rgb="FFF8696B"/>
      </colorScale>
    </cfRule>
  </conditionalFormatting>
  <conditionalFormatting sqref="W181">
    <cfRule type="colorScale" priority="389">
      <colorScale>
        <cfvo type="min"/>
        <cfvo type="percentile" val="50"/>
        <cfvo type="max"/>
        <color rgb="FF63BE7B"/>
        <color rgb="FFFFEB84"/>
        <color rgb="FFF8696B"/>
      </colorScale>
    </cfRule>
  </conditionalFormatting>
  <conditionalFormatting sqref="W183">
    <cfRule type="colorScale" priority="388">
      <colorScale>
        <cfvo type="min"/>
        <cfvo type="percentile" val="50"/>
        <cfvo type="max"/>
        <color rgb="FF63BE7B"/>
        <color rgb="FFFFEB84"/>
        <color rgb="FFF8696B"/>
      </colorScale>
    </cfRule>
  </conditionalFormatting>
  <conditionalFormatting sqref="W185">
    <cfRule type="colorScale" priority="387">
      <colorScale>
        <cfvo type="min"/>
        <cfvo type="percentile" val="50"/>
        <cfvo type="max"/>
        <color rgb="FF63BE7B"/>
        <color rgb="FFFFEB84"/>
        <color rgb="FFF8696B"/>
      </colorScale>
    </cfRule>
  </conditionalFormatting>
  <conditionalFormatting sqref="W187">
    <cfRule type="colorScale" priority="386">
      <colorScale>
        <cfvo type="min"/>
        <cfvo type="percentile" val="50"/>
        <cfvo type="max"/>
        <color rgb="FF63BE7B"/>
        <color rgb="FFFFEB84"/>
        <color rgb="FFF8696B"/>
      </colorScale>
    </cfRule>
  </conditionalFormatting>
  <conditionalFormatting sqref="W189">
    <cfRule type="colorScale" priority="385">
      <colorScale>
        <cfvo type="min"/>
        <cfvo type="percentile" val="50"/>
        <cfvo type="max"/>
        <color rgb="FF63BE7B"/>
        <color rgb="FFFFEB84"/>
        <color rgb="FFF8696B"/>
      </colorScale>
    </cfRule>
  </conditionalFormatting>
  <conditionalFormatting sqref="W191">
    <cfRule type="colorScale" priority="384">
      <colorScale>
        <cfvo type="min"/>
        <cfvo type="percentile" val="50"/>
        <cfvo type="max"/>
        <color rgb="FF63BE7B"/>
        <color rgb="FFFFEB84"/>
        <color rgb="FFF8696B"/>
      </colorScale>
    </cfRule>
  </conditionalFormatting>
  <conditionalFormatting sqref="W193">
    <cfRule type="colorScale" priority="383">
      <colorScale>
        <cfvo type="min"/>
        <cfvo type="percentile" val="50"/>
        <cfvo type="max"/>
        <color rgb="FF63BE7B"/>
        <color rgb="FFFFEB84"/>
        <color rgb="FFF8696B"/>
      </colorScale>
    </cfRule>
  </conditionalFormatting>
  <conditionalFormatting sqref="W195">
    <cfRule type="colorScale" priority="382">
      <colorScale>
        <cfvo type="min"/>
        <cfvo type="percentile" val="50"/>
        <cfvo type="max"/>
        <color rgb="FF63BE7B"/>
        <color rgb="FFFFEB84"/>
        <color rgb="FFF8696B"/>
      </colorScale>
    </cfRule>
  </conditionalFormatting>
  <conditionalFormatting sqref="W197">
    <cfRule type="colorScale" priority="381">
      <colorScale>
        <cfvo type="min"/>
        <cfvo type="percentile" val="50"/>
        <cfvo type="max"/>
        <color rgb="FF63BE7B"/>
        <color rgb="FFFFEB84"/>
        <color rgb="FFF8696B"/>
      </colorScale>
    </cfRule>
  </conditionalFormatting>
  <conditionalFormatting sqref="W199">
    <cfRule type="colorScale" priority="380">
      <colorScale>
        <cfvo type="min"/>
        <cfvo type="percentile" val="50"/>
        <cfvo type="max"/>
        <color rgb="FF63BE7B"/>
        <color rgb="FFFFEB84"/>
        <color rgb="FFF8696B"/>
      </colorScale>
    </cfRule>
  </conditionalFormatting>
  <conditionalFormatting sqref="W201">
    <cfRule type="colorScale" priority="379">
      <colorScale>
        <cfvo type="min"/>
        <cfvo type="percentile" val="50"/>
        <cfvo type="max"/>
        <color rgb="FF63BE7B"/>
        <color rgb="FFFFEB84"/>
        <color rgb="FFF8696B"/>
      </colorScale>
    </cfRule>
  </conditionalFormatting>
  <conditionalFormatting sqref="W203">
    <cfRule type="colorScale" priority="378">
      <colorScale>
        <cfvo type="min"/>
        <cfvo type="percentile" val="50"/>
        <cfvo type="max"/>
        <color rgb="FF63BE7B"/>
        <color rgb="FFFFEB84"/>
        <color rgb="FFF8696B"/>
      </colorScale>
    </cfRule>
  </conditionalFormatting>
  <conditionalFormatting sqref="W205">
    <cfRule type="colorScale" priority="377">
      <colorScale>
        <cfvo type="min"/>
        <cfvo type="percentile" val="50"/>
        <cfvo type="max"/>
        <color rgb="FF63BE7B"/>
        <color rgb="FFFFEB84"/>
        <color rgb="FFF8696B"/>
      </colorScale>
    </cfRule>
  </conditionalFormatting>
  <conditionalFormatting sqref="W207">
    <cfRule type="colorScale" priority="376">
      <colorScale>
        <cfvo type="min"/>
        <cfvo type="percentile" val="50"/>
        <cfvo type="max"/>
        <color rgb="FF63BE7B"/>
        <color rgb="FFFFEB84"/>
        <color rgb="FFF8696B"/>
      </colorScale>
    </cfRule>
  </conditionalFormatting>
  <conditionalFormatting sqref="W209">
    <cfRule type="colorScale" priority="375">
      <colorScale>
        <cfvo type="min"/>
        <cfvo type="percentile" val="50"/>
        <cfvo type="max"/>
        <color rgb="FF63BE7B"/>
        <color rgb="FFFFEB84"/>
        <color rgb="FFF8696B"/>
      </colorScale>
    </cfRule>
  </conditionalFormatting>
  <conditionalFormatting sqref="W211">
    <cfRule type="colorScale" priority="374">
      <colorScale>
        <cfvo type="min"/>
        <cfvo type="percentile" val="50"/>
        <cfvo type="max"/>
        <color rgb="FF63BE7B"/>
        <color rgb="FFFFEB84"/>
        <color rgb="FFF8696B"/>
      </colorScale>
    </cfRule>
  </conditionalFormatting>
  <conditionalFormatting sqref="W213">
    <cfRule type="colorScale" priority="373">
      <colorScale>
        <cfvo type="min"/>
        <cfvo type="percentile" val="50"/>
        <cfvo type="max"/>
        <color rgb="FF63BE7B"/>
        <color rgb="FFFFEB84"/>
        <color rgb="FFF8696B"/>
      </colorScale>
    </cfRule>
  </conditionalFormatting>
  <conditionalFormatting sqref="W215">
    <cfRule type="colorScale" priority="372">
      <colorScale>
        <cfvo type="min"/>
        <cfvo type="percentile" val="50"/>
        <cfvo type="max"/>
        <color rgb="FF63BE7B"/>
        <color rgb="FFFFEB84"/>
        <color rgb="FFF8696B"/>
      </colorScale>
    </cfRule>
  </conditionalFormatting>
  <conditionalFormatting sqref="W217">
    <cfRule type="colorScale" priority="371">
      <colorScale>
        <cfvo type="min"/>
        <cfvo type="percentile" val="50"/>
        <cfvo type="max"/>
        <color rgb="FF63BE7B"/>
        <color rgb="FFFFEB84"/>
        <color rgb="FFF8696B"/>
      </colorScale>
    </cfRule>
  </conditionalFormatting>
  <conditionalFormatting sqref="W219">
    <cfRule type="colorScale" priority="370">
      <colorScale>
        <cfvo type="min"/>
        <cfvo type="percentile" val="50"/>
        <cfvo type="max"/>
        <color rgb="FF63BE7B"/>
        <color rgb="FFFFEB84"/>
        <color rgb="FFF8696B"/>
      </colorScale>
    </cfRule>
  </conditionalFormatting>
  <conditionalFormatting sqref="W221">
    <cfRule type="colorScale" priority="369">
      <colorScale>
        <cfvo type="min"/>
        <cfvo type="percentile" val="50"/>
        <cfvo type="max"/>
        <color rgb="FF63BE7B"/>
        <color rgb="FFFFEB84"/>
        <color rgb="FFF8696B"/>
      </colorScale>
    </cfRule>
  </conditionalFormatting>
  <conditionalFormatting sqref="W223">
    <cfRule type="colorScale" priority="368">
      <colorScale>
        <cfvo type="min"/>
        <cfvo type="percentile" val="50"/>
        <cfvo type="max"/>
        <color rgb="FF63BE7B"/>
        <color rgb="FFFFEB84"/>
        <color rgb="FFF8696B"/>
      </colorScale>
    </cfRule>
  </conditionalFormatting>
  <conditionalFormatting sqref="V224">
    <cfRule type="colorScale" priority="367">
      <colorScale>
        <cfvo type="min"/>
        <cfvo type="percentile" val="50"/>
        <cfvo type="max"/>
        <color rgb="FF63BE7B"/>
        <color rgb="FFFFEB84"/>
        <color rgb="FFF8696B"/>
      </colorScale>
    </cfRule>
  </conditionalFormatting>
  <conditionalFormatting sqref="V222">
    <cfRule type="colorScale" priority="366">
      <colorScale>
        <cfvo type="min"/>
        <cfvo type="percentile" val="50"/>
        <cfvo type="max"/>
        <color rgb="FF63BE7B"/>
        <color rgb="FFFFEB84"/>
        <color rgb="FFF8696B"/>
      </colorScale>
    </cfRule>
  </conditionalFormatting>
  <conditionalFormatting sqref="V220">
    <cfRule type="colorScale" priority="365">
      <colorScale>
        <cfvo type="min"/>
        <cfvo type="percentile" val="50"/>
        <cfvo type="max"/>
        <color rgb="FF63BE7B"/>
        <color rgb="FFFFEB84"/>
        <color rgb="FFF8696B"/>
      </colorScale>
    </cfRule>
  </conditionalFormatting>
  <conditionalFormatting sqref="V218">
    <cfRule type="colorScale" priority="364">
      <colorScale>
        <cfvo type="min"/>
        <cfvo type="percentile" val="50"/>
        <cfvo type="max"/>
        <color rgb="FF63BE7B"/>
        <color rgb="FFFFEB84"/>
        <color rgb="FFF8696B"/>
      </colorScale>
    </cfRule>
  </conditionalFormatting>
  <conditionalFormatting sqref="V216">
    <cfRule type="colorScale" priority="363">
      <colorScale>
        <cfvo type="min"/>
        <cfvo type="percentile" val="50"/>
        <cfvo type="max"/>
        <color rgb="FF63BE7B"/>
        <color rgb="FFFFEB84"/>
        <color rgb="FFF8696B"/>
      </colorScale>
    </cfRule>
  </conditionalFormatting>
  <conditionalFormatting sqref="V214">
    <cfRule type="colorScale" priority="362">
      <colorScale>
        <cfvo type="min"/>
        <cfvo type="percentile" val="50"/>
        <cfvo type="max"/>
        <color rgb="FF63BE7B"/>
        <color rgb="FFFFEB84"/>
        <color rgb="FFF8696B"/>
      </colorScale>
    </cfRule>
  </conditionalFormatting>
  <conditionalFormatting sqref="V212">
    <cfRule type="colorScale" priority="361">
      <colorScale>
        <cfvo type="min"/>
        <cfvo type="percentile" val="50"/>
        <cfvo type="max"/>
        <color rgb="FF63BE7B"/>
        <color rgb="FFFFEB84"/>
        <color rgb="FFF8696B"/>
      </colorScale>
    </cfRule>
  </conditionalFormatting>
  <conditionalFormatting sqref="V210">
    <cfRule type="colorScale" priority="360">
      <colorScale>
        <cfvo type="min"/>
        <cfvo type="percentile" val="50"/>
        <cfvo type="max"/>
        <color rgb="FF63BE7B"/>
        <color rgb="FFFFEB84"/>
        <color rgb="FFF8696B"/>
      </colorScale>
    </cfRule>
  </conditionalFormatting>
  <conditionalFormatting sqref="V208">
    <cfRule type="colorScale" priority="359">
      <colorScale>
        <cfvo type="min"/>
        <cfvo type="percentile" val="50"/>
        <cfvo type="max"/>
        <color rgb="FF63BE7B"/>
        <color rgb="FFFFEB84"/>
        <color rgb="FFF8696B"/>
      </colorScale>
    </cfRule>
  </conditionalFormatting>
  <conditionalFormatting sqref="V206">
    <cfRule type="colorScale" priority="358">
      <colorScale>
        <cfvo type="min"/>
        <cfvo type="percentile" val="50"/>
        <cfvo type="max"/>
        <color rgb="FF63BE7B"/>
        <color rgb="FFFFEB84"/>
        <color rgb="FFF8696B"/>
      </colorScale>
    </cfRule>
  </conditionalFormatting>
  <conditionalFormatting sqref="V204">
    <cfRule type="colorScale" priority="357">
      <colorScale>
        <cfvo type="min"/>
        <cfvo type="percentile" val="50"/>
        <cfvo type="max"/>
        <color rgb="FF63BE7B"/>
        <color rgb="FFFFEB84"/>
        <color rgb="FFF8696B"/>
      </colorScale>
    </cfRule>
  </conditionalFormatting>
  <conditionalFormatting sqref="V202">
    <cfRule type="colorScale" priority="356">
      <colorScale>
        <cfvo type="min"/>
        <cfvo type="percentile" val="50"/>
        <cfvo type="max"/>
        <color rgb="FF63BE7B"/>
        <color rgb="FFFFEB84"/>
        <color rgb="FFF8696B"/>
      </colorScale>
    </cfRule>
  </conditionalFormatting>
  <conditionalFormatting sqref="V200">
    <cfRule type="colorScale" priority="355">
      <colorScale>
        <cfvo type="min"/>
        <cfvo type="percentile" val="50"/>
        <cfvo type="max"/>
        <color rgb="FF63BE7B"/>
        <color rgb="FFFFEB84"/>
        <color rgb="FFF8696B"/>
      </colorScale>
    </cfRule>
  </conditionalFormatting>
  <conditionalFormatting sqref="V198">
    <cfRule type="colorScale" priority="354">
      <colorScale>
        <cfvo type="min"/>
        <cfvo type="percentile" val="50"/>
        <cfvo type="max"/>
        <color rgb="FF63BE7B"/>
        <color rgb="FFFFEB84"/>
        <color rgb="FFF8696B"/>
      </colorScale>
    </cfRule>
  </conditionalFormatting>
  <conditionalFormatting sqref="V196">
    <cfRule type="colorScale" priority="353">
      <colorScale>
        <cfvo type="min"/>
        <cfvo type="percentile" val="50"/>
        <cfvo type="max"/>
        <color rgb="FF63BE7B"/>
        <color rgb="FFFFEB84"/>
        <color rgb="FFF8696B"/>
      </colorScale>
    </cfRule>
  </conditionalFormatting>
  <conditionalFormatting sqref="V194">
    <cfRule type="colorScale" priority="352">
      <colorScale>
        <cfvo type="min"/>
        <cfvo type="percentile" val="50"/>
        <cfvo type="max"/>
        <color rgb="FF63BE7B"/>
        <color rgb="FFFFEB84"/>
        <color rgb="FFF8696B"/>
      </colorScale>
    </cfRule>
  </conditionalFormatting>
  <conditionalFormatting sqref="V192">
    <cfRule type="colorScale" priority="351">
      <colorScale>
        <cfvo type="min"/>
        <cfvo type="percentile" val="50"/>
        <cfvo type="max"/>
        <color rgb="FF63BE7B"/>
        <color rgb="FFFFEB84"/>
        <color rgb="FFF8696B"/>
      </colorScale>
    </cfRule>
  </conditionalFormatting>
  <conditionalFormatting sqref="V190">
    <cfRule type="colorScale" priority="350">
      <colorScale>
        <cfvo type="min"/>
        <cfvo type="percentile" val="50"/>
        <cfvo type="max"/>
        <color rgb="FF63BE7B"/>
        <color rgb="FFFFEB84"/>
        <color rgb="FFF8696B"/>
      </colorScale>
    </cfRule>
  </conditionalFormatting>
  <conditionalFormatting sqref="V188">
    <cfRule type="colorScale" priority="349">
      <colorScale>
        <cfvo type="min"/>
        <cfvo type="percentile" val="50"/>
        <cfvo type="max"/>
        <color rgb="FF63BE7B"/>
        <color rgb="FFFFEB84"/>
        <color rgb="FFF8696B"/>
      </colorScale>
    </cfRule>
  </conditionalFormatting>
  <conditionalFormatting sqref="V186">
    <cfRule type="colorScale" priority="348">
      <colorScale>
        <cfvo type="min"/>
        <cfvo type="percentile" val="50"/>
        <cfvo type="max"/>
        <color rgb="FF63BE7B"/>
        <color rgb="FFFFEB84"/>
        <color rgb="FFF8696B"/>
      </colorScale>
    </cfRule>
  </conditionalFormatting>
  <conditionalFormatting sqref="V184">
    <cfRule type="colorScale" priority="347">
      <colorScale>
        <cfvo type="min"/>
        <cfvo type="percentile" val="50"/>
        <cfvo type="max"/>
        <color rgb="FF63BE7B"/>
        <color rgb="FFFFEB84"/>
        <color rgb="FFF8696B"/>
      </colorScale>
    </cfRule>
  </conditionalFormatting>
  <conditionalFormatting sqref="V182">
    <cfRule type="colorScale" priority="346">
      <colorScale>
        <cfvo type="min"/>
        <cfvo type="percentile" val="50"/>
        <cfvo type="max"/>
        <color rgb="FF63BE7B"/>
        <color rgb="FFFFEB84"/>
        <color rgb="FFF8696B"/>
      </colorScale>
    </cfRule>
  </conditionalFormatting>
  <conditionalFormatting sqref="U183">
    <cfRule type="colorScale" priority="345">
      <colorScale>
        <cfvo type="min"/>
        <cfvo type="percentile" val="50"/>
        <cfvo type="max"/>
        <color rgb="FF63BE7B"/>
        <color rgb="FFFFEB84"/>
        <color rgb="FFF8696B"/>
      </colorScale>
    </cfRule>
  </conditionalFormatting>
  <conditionalFormatting sqref="U185">
    <cfRule type="colorScale" priority="344">
      <colorScale>
        <cfvo type="min"/>
        <cfvo type="percentile" val="50"/>
        <cfvo type="max"/>
        <color rgb="FF63BE7B"/>
        <color rgb="FFFFEB84"/>
        <color rgb="FFF8696B"/>
      </colorScale>
    </cfRule>
  </conditionalFormatting>
  <conditionalFormatting sqref="U187">
    <cfRule type="colorScale" priority="343">
      <colorScale>
        <cfvo type="min"/>
        <cfvo type="percentile" val="50"/>
        <cfvo type="max"/>
        <color rgb="FF63BE7B"/>
        <color rgb="FFFFEB84"/>
        <color rgb="FFF8696B"/>
      </colorScale>
    </cfRule>
  </conditionalFormatting>
  <conditionalFormatting sqref="U189">
    <cfRule type="colorScale" priority="342">
      <colorScale>
        <cfvo type="min"/>
        <cfvo type="percentile" val="50"/>
        <cfvo type="max"/>
        <color rgb="FF63BE7B"/>
        <color rgb="FFFFEB84"/>
        <color rgb="FFF8696B"/>
      </colorScale>
    </cfRule>
  </conditionalFormatting>
  <conditionalFormatting sqref="U191">
    <cfRule type="colorScale" priority="341">
      <colorScale>
        <cfvo type="min"/>
        <cfvo type="percentile" val="50"/>
        <cfvo type="max"/>
        <color rgb="FF63BE7B"/>
        <color rgb="FFFFEB84"/>
        <color rgb="FFF8696B"/>
      </colorScale>
    </cfRule>
  </conditionalFormatting>
  <conditionalFormatting sqref="U193">
    <cfRule type="colorScale" priority="340">
      <colorScale>
        <cfvo type="min"/>
        <cfvo type="percentile" val="50"/>
        <cfvo type="max"/>
        <color rgb="FF63BE7B"/>
        <color rgb="FFFFEB84"/>
        <color rgb="FFF8696B"/>
      </colorScale>
    </cfRule>
  </conditionalFormatting>
  <conditionalFormatting sqref="U195">
    <cfRule type="colorScale" priority="339">
      <colorScale>
        <cfvo type="min"/>
        <cfvo type="percentile" val="50"/>
        <cfvo type="max"/>
        <color rgb="FF63BE7B"/>
        <color rgb="FFFFEB84"/>
        <color rgb="FFF8696B"/>
      </colorScale>
    </cfRule>
  </conditionalFormatting>
  <conditionalFormatting sqref="U197">
    <cfRule type="colorScale" priority="338">
      <colorScale>
        <cfvo type="min"/>
        <cfvo type="percentile" val="50"/>
        <cfvo type="max"/>
        <color rgb="FF63BE7B"/>
        <color rgb="FFFFEB84"/>
        <color rgb="FFF8696B"/>
      </colorScale>
    </cfRule>
  </conditionalFormatting>
  <conditionalFormatting sqref="U199">
    <cfRule type="colorScale" priority="337">
      <colorScale>
        <cfvo type="min"/>
        <cfvo type="percentile" val="50"/>
        <cfvo type="max"/>
        <color rgb="FF63BE7B"/>
        <color rgb="FFFFEB84"/>
        <color rgb="FFF8696B"/>
      </colorScale>
    </cfRule>
  </conditionalFormatting>
  <conditionalFormatting sqref="U201">
    <cfRule type="colorScale" priority="336">
      <colorScale>
        <cfvo type="min"/>
        <cfvo type="percentile" val="50"/>
        <cfvo type="max"/>
        <color rgb="FF63BE7B"/>
        <color rgb="FFFFEB84"/>
        <color rgb="FFF8696B"/>
      </colorScale>
    </cfRule>
  </conditionalFormatting>
  <conditionalFormatting sqref="U203">
    <cfRule type="colorScale" priority="335">
      <colorScale>
        <cfvo type="min"/>
        <cfvo type="percentile" val="50"/>
        <cfvo type="max"/>
        <color rgb="FF63BE7B"/>
        <color rgb="FFFFEB84"/>
        <color rgb="FFF8696B"/>
      </colorScale>
    </cfRule>
  </conditionalFormatting>
  <conditionalFormatting sqref="U205">
    <cfRule type="colorScale" priority="334">
      <colorScale>
        <cfvo type="min"/>
        <cfvo type="percentile" val="50"/>
        <cfvo type="max"/>
        <color rgb="FF63BE7B"/>
        <color rgb="FFFFEB84"/>
        <color rgb="FFF8696B"/>
      </colorScale>
    </cfRule>
  </conditionalFormatting>
  <conditionalFormatting sqref="U207">
    <cfRule type="colorScale" priority="333">
      <colorScale>
        <cfvo type="min"/>
        <cfvo type="percentile" val="50"/>
        <cfvo type="max"/>
        <color rgb="FF63BE7B"/>
        <color rgb="FFFFEB84"/>
        <color rgb="FFF8696B"/>
      </colorScale>
    </cfRule>
  </conditionalFormatting>
  <conditionalFormatting sqref="U209">
    <cfRule type="colorScale" priority="332">
      <colorScale>
        <cfvo type="min"/>
        <cfvo type="percentile" val="50"/>
        <cfvo type="max"/>
        <color rgb="FF63BE7B"/>
        <color rgb="FFFFEB84"/>
        <color rgb="FFF8696B"/>
      </colorScale>
    </cfRule>
  </conditionalFormatting>
  <conditionalFormatting sqref="U211">
    <cfRule type="colorScale" priority="331">
      <colorScale>
        <cfvo type="min"/>
        <cfvo type="percentile" val="50"/>
        <cfvo type="max"/>
        <color rgb="FF63BE7B"/>
        <color rgb="FFFFEB84"/>
        <color rgb="FFF8696B"/>
      </colorScale>
    </cfRule>
  </conditionalFormatting>
  <conditionalFormatting sqref="U213">
    <cfRule type="colorScale" priority="330">
      <colorScale>
        <cfvo type="min"/>
        <cfvo type="percentile" val="50"/>
        <cfvo type="max"/>
        <color rgb="FF63BE7B"/>
        <color rgb="FFFFEB84"/>
        <color rgb="FFF8696B"/>
      </colorScale>
    </cfRule>
  </conditionalFormatting>
  <conditionalFormatting sqref="U215">
    <cfRule type="colorScale" priority="329">
      <colorScale>
        <cfvo type="min"/>
        <cfvo type="percentile" val="50"/>
        <cfvo type="max"/>
        <color rgb="FF63BE7B"/>
        <color rgb="FFFFEB84"/>
        <color rgb="FFF8696B"/>
      </colorScale>
    </cfRule>
  </conditionalFormatting>
  <conditionalFormatting sqref="U217">
    <cfRule type="colorScale" priority="328">
      <colorScale>
        <cfvo type="min"/>
        <cfvo type="percentile" val="50"/>
        <cfvo type="max"/>
        <color rgb="FF63BE7B"/>
        <color rgb="FFFFEB84"/>
        <color rgb="FFF8696B"/>
      </colorScale>
    </cfRule>
  </conditionalFormatting>
  <conditionalFormatting sqref="U219">
    <cfRule type="colorScale" priority="327">
      <colorScale>
        <cfvo type="min"/>
        <cfvo type="percentile" val="50"/>
        <cfvo type="max"/>
        <color rgb="FF63BE7B"/>
        <color rgb="FFFFEB84"/>
        <color rgb="FFF8696B"/>
      </colorScale>
    </cfRule>
  </conditionalFormatting>
  <conditionalFormatting sqref="U221">
    <cfRule type="colorScale" priority="326">
      <colorScale>
        <cfvo type="min"/>
        <cfvo type="percentile" val="50"/>
        <cfvo type="max"/>
        <color rgb="FF63BE7B"/>
        <color rgb="FFFFEB84"/>
        <color rgb="FFF8696B"/>
      </colorScale>
    </cfRule>
  </conditionalFormatting>
  <conditionalFormatting sqref="U223">
    <cfRule type="colorScale" priority="325">
      <colorScale>
        <cfvo type="min"/>
        <cfvo type="percentile" val="50"/>
        <cfvo type="max"/>
        <color rgb="FF63BE7B"/>
        <color rgb="FFFFEB84"/>
        <color rgb="FFF8696B"/>
      </colorScale>
    </cfRule>
  </conditionalFormatting>
  <conditionalFormatting sqref="T222">
    <cfRule type="colorScale" priority="324">
      <colorScale>
        <cfvo type="min"/>
        <cfvo type="percentile" val="50"/>
        <cfvo type="max"/>
        <color rgb="FF63BE7B"/>
        <color rgb="FFFFEB84"/>
        <color rgb="FFF8696B"/>
      </colorScale>
    </cfRule>
  </conditionalFormatting>
  <conditionalFormatting sqref="T220">
    <cfRule type="colorScale" priority="323">
      <colorScale>
        <cfvo type="min"/>
        <cfvo type="percentile" val="50"/>
        <cfvo type="max"/>
        <color rgb="FF63BE7B"/>
        <color rgb="FFFFEB84"/>
        <color rgb="FFF8696B"/>
      </colorScale>
    </cfRule>
  </conditionalFormatting>
  <conditionalFormatting sqref="T218">
    <cfRule type="colorScale" priority="322">
      <colorScale>
        <cfvo type="min"/>
        <cfvo type="percentile" val="50"/>
        <cfvo type="max"/>
        <color rgb="FF63BE7B"/>
        <color rgb="FFFFEB84"/>
        <color rgb="FFF8696B"/>
      </colorScale>
    </cfRule>
  </conditionalFormatting>
  <conditionalFormatting sqref="T216">
    <cfRule type="colorScale" priority="321">
      <colorScale>
        <cfvo type="min"/>
        <cfvo type="percentile" val="50"/>
        <cfvo type="max"/>
        <color rgb="FF63BE7B"/>
        <color rgb="FFFFEB84"/>
        <color rgb="FFF8696B"/>
      </colorScale>
    </cfRule>
  </conditionalFormatting>
  <conditionalFormatting sqref="T214">
    <cfRule type="colorScale" priority="320">
      <colorScale>
        <cfvo type="min"/>
        <cfvo type="percentile" val="50"/>
        <cfvo type="max"/>
        <color rgb="FF63BE7B"/>
        <color rgb="FFFFEB84"/>
        <color rgb="FFF8696B"/>
      </colorScale>
    </cfRule>
  </conditionalFormatting>
  <conditionalFormatting sqref="T212">
    <cfRule type="colorScale" priority="319">
      <colorScale>
        <cfvo type="min"/>
        <cfvo type="percentile" val="50"/>
        <cfvo type="max"/>
        <color rgb="FF63BE7B"/>
        <color rgb="FFFFEB84"/>
        <color rgb="FFF8696B"/>
      </colorScale>
    </cfRule>
  </conditionalFormatting>
  <conditionalFormatting sqref="T210">
    <cfRule type="colorScale" priority="318">
      <colorScale>
        <cfvo type="min"/>
        <cfvo type="percentile" val="50"/>
        <cfvo type="max"/>
        <color rgb="FF63BE7B"/>
        <color rgb="FFFFEB84"/>
        <color rgb="FFF8696B"/>
      </colorScale>
    </cfRule>
  </conditionalFormatting>
  <conditionalFormatting sqref="T208">
    <cfRule type="colorScale" priority="317">
      <colorScale>
        <cfvo type="min"/>
        <cfvo type="percentile" val="50"/>
        <cfvo type="max"/>
        <color rgb="FF63BE7B"/>
        <color rgb="FFFFEB84"/>
        <color rgb="FFF8696B"/>
      </colorScale>
    </cfRule>
  </conditionalFormatting>
  <conditionalFormatting sqref="T206">
    <cfRule type="colorScale" priority="316">
      <colorScale>
        <cfvo type="min"/>
        <cfvo type="percentile" val="50"/>
        <cfvo type="max"/>
        <color rgb="FF63BE7B"/>
        <color rgb="FFFFEB84"/>
        <color rgb="FFF8696B"/>
      </colorScale>
    </cfRule>
  </conditionalFormatting>
  <conditionalFormatting sqref="T204">
    <cfRule type="colorScale" priority="315">
      <colorScale>
        <cfvo type="min"/>
        <cfvo type="percentile" val="50"/>
        <cfvo type="max"/>
        <color rgb="FF63BE7B"/>
        <color rgb="FFFFEB84"/>
        <color rgb="FFF8696B"/>
      </colorScale>
    </cfRule>
  </conditionalFormatting>
  <conditionalFormatting sqref="T202">
    <cfRule type="colorScale" priority="314">
      <colorScale>
        <cfvo type="min"/>
        <cfvo type="percentile" val="50"/>
        <cfvo type="max"/>
        <color rgb="FF63BE7B"/>
        <color rgb="FFFFEB84"/>
        <color rgb="FFF8696B"/>
      </colorScale>
    </cfRule>
  </conditionalFormatting>
  <conditionalFormatting sqref="T200">
    <cfRule type="colorScale" priority="313">
      <colorScale>
        <cfvo type="min"/>
        <cfvo type="percentile" val="50"/>
        <cfvo type="max"/>
        <color rgb="FF63BE7B"/>
        <color rgb="FFFFEB84"/>
        <color rgb="FFF8696B"/>
      </colorScale>
    </cfRule>
  </conditionalFormatting>
  <conditionalFormatting sqref="T198">
    <cfRule type="colorScale" priority="312">
      <colorScale>
        <cfvo type="min"/>
        <cfvo type="percentile" val="50"/>
        <cfvo type="max"/>
        <color rgb="FF63BE7B"/>
        <color rgb="FFFFEB84"/>
        <color rgb="FFF8696B"/>
      </colorScale>
    </cfRule>
  </conditionalFormatting>
  <conditionalFormatting sqref="T196">
    <cfRule type="colorScale" priority="311">
      <colorScale>
        <cfvo type="min"/>
        <cfvo type="percentile" val="50"/>
        <cfvo type="max"/>
        <color rgb="FF63BE7B"/>
        <color rgb="FFFFEB84"/>
        <color rgb="FFF8696B"/>
      </colorScale>
    </cfRule>
  </conditionalFormatting>
  <conditionalFormatting sqref="T194">
    <cfRule type="colorScale" priority="310">
      <colorScale>
        <cfvo type="min"/>
        <cfvo type="percentile" val="50"/>
        <cfvo type="max"/>
        <color rgb="FF63BE7B"/>
        <color rgb="FFFFEB84"/>
        <color rgb="FFF8696B"/>
      </colorScale>
    </cfRule>
  </conditionalFormatting>
  <conditionalFormatting sqref="T192">
    <cfRule type="colorScale" priority="309">
      <colorScale>
        <cfvo type="min"/>
        <cfvo type="percentile" val="50"/>
        <cfvo type="max"/>
        <color rgb="FF63BE7B"/>
        <color rgb="FFFFEB84"/>
        <color rgb="FFF8696B"/>
      </colorScale>
    </cfRule>
  </conditionalFormatting>
  <conditionalFormatting sqref="T190">
    <cfRule type="colorScale" priority="308">
      <colorScale>
        <cfvo type="min"/>
        <cfvo type="percentile" val="50"/>
        <cfvo type="max"/>
        <color rgb="FF63BE7B"/>
        <color rgb="FFFFEB84"/>
        <color rgb="FFF8696B"/>
      </colorScale>
    </cfRule>
  </conditionalFormatting>
  <conditionalFormatting sqref="T188">
    <cfRule type="colorScale" priority="307">
      <colorScale>
        <cfvo type="min"/>
        <cfvo type="percentile" val="50"/>
        <cfvo type="max"/>
        <color rgb="FF63BE7B"/>
        <color rgb="FFFFEB84"/>
        <color rgb="FFF8696B"/>
      </colorScale>
    </cfRule>
  </conditionalFormatting>
  <conditionalFormatting sqref="T186">
    <cfRule type="colorScale" priority="306">
      <colorScale>
        <cfvo type="min"/>
        <cfvo type="percentile" val="50"/>
        <cfvo type="max"/>
        <color rgb="FF63BE7B"/>
        <color rgb="FFFFEB84"/>
        <color rgb="FFF8696B"/>
      </colorScale>
    </cfRule>
  </conditionalFormatting>
  <conditionalFormatting sqref="T184">
    <cfRule type="colorScale" priority="305">
      <colorScale>
        <cfvo type="min"/>
        <cfvo type="percentile" val="50"/>
        <cfvo type="max"/>
        <color rgb="FF63BE7B"/>
        <color rgb="FFFFEB84"/>
        <color rgb="FFF8696B"/>
      </colorScale>
    </cfRule>
  </conditionalFormatting>
  <conditionalFormatting sqref="P188 P218 P190 P192 P194 P196 P198 P202 P206 P204 P208 P210 P212 P214 P216">
    <cfRule type="colorScale" priority="304">
      <colorScale>
        <cfvo type="min"/>
        <cfvo type="percentile" val="50"/>
        <cfvo type="max"/>
        <color rgb="FF63BE7B"/>
        <color rgb="FFFFEB84"/>
        <color rgb="FFF8696B"/>
      </colorScale>
    </cfRule>
  </conditionalFormatting>
  <conditionalFormatting sqref="O189 O217 O215 O213 O209 O211 O207 O205 O201 O199 O197 O195 O193 O191">
    <cfRule type="colorScale" priority="303">
      <colorScale>
        <cfvo type="min"/>
        <cfvo type="percentile" val="50"/>
        <cfvo type="max"/>
        <color rgb="FF63BE7B"/>
        <color rgb="FFFFEB84"/>
        <color rgb="FFF8696B"/>
      </colorScale>
    </cfRule>
  </conditionalFormatting>
  <conditionalFormatting sqref="N190 N216 N192 N194 N196 N198 N202 N204 N206 N208 N210 N212 N214">
    <cfRule type="colorScale" priority="302">
      <colorScale>
        <cfvo type="min"/>
        <cfvo type="percentile" val="50"/>
        <cfvo type="max"/>
        <color rgb="FF63BE7B"/>
        <color rgb="FFFFEB84"/>
        <color rgb="FFF8696B"/>
      </colorScale>
    </cfRule>
  </conditionalFormatting>
  <conditionalFormatting sqref="M191 M209 M215 M213 M211 M207 M205 M203 M201 M199 M197 M195 M193">
    <cfRule type="colorScale" priority="301">
      <colorScale>
        <cfvo type="min"/>
        <cfvo type="percentile" val="50"/>
        <cfvo type="max"/>
        <color rgb="FF63BE7B"/>
        <color rgb="FFFFEB84"/>
        <color rgb="FFF8696B"/>
      </colorScale>
    </cfRule>
  </conditionalFormatting>
  <conditionalFormatting sqref="L192 K213 K211 K209 K207 K205 K203 K201 K199 K197 K195 K193 L214 L212 L210 L208 L206 L204 L202 L200 L198 L196 L194">
    <cfRule type="colorScale" priority="300">
      <colorScale>
        <cfvo type="min"/>
        <cfvo type="percentile" val="50"/>
        <cfvo type="max"/>
        <color rgb="FF63BE7B"/>
        <color rgb="FFFFEB84"/>
        <color rgb="FFF8696B"/>
      </colorScale>
    </cfRule>
  </conditionalFormatting>
  <conditionalFormatting sqref="J212 J194 J210 J208 J206 J204 J202 J200 J198 J196">
    <cfRule type="colorScale" priority="299">
      <colorScale>
        <cfvo type="min"/>
        <cfvo type="percentile" val="50"/>
        <cfvo type="max"/>
        <color rgb="FF63BE7B"/>
        <color rgb="FFFFEB84"/>
        <color rgb="FFF8696B"/>
      </colorScale>
    </cfRule>
  </conditionalFormatting>
  <conditionalFormatting sqref="I211 I195 I197 I199 I201 I203 I205 I207 I209">
    <cfRule type="colorScale" priority="298">
      <colorScale>
        <cfvo type="min"/>
        <cfvo type="percentile" val="50"/>
        <cfvo type="max"/>
        <color rgb="FF63BE7B"/>
        <color rgb="FFFFEB84"/>
        <color rgb="FFF8696B"/>
      </colorScale>
    </cfRule>
  </conditionalFormatting>
  <conditionalFormatting sqref="H196 H210 H208 H206 H204 H202 H200 H198">
    <cfRule type="colorScale" priority="297">
      <colorScale>
        <cfvo type="min"/>
        <cfvo type="percentile" val="50"/>
        <cfvo type="max"/>
        <color rgb="FF63BE7B"/>
        <color rgb="FFFFEB84"/>
        <color rgb="FFF8696B"/>
      </colorScale>
    </cfRule>
  </conditionalFormatting>
  <conditionalFormatting sqref="G197 G209 G207 G205 G203 G201 G199">
    <cfRule type="colorScale" priority="296">
      <colorScale>
        <cfvo type="min"/>
        <cfvo type="percentile" val="50"/>
        <cfvo type="max"/>
        <color rgb="FF63BE7B"/>
        <color rgb="FFFFEB84"/>
        <color rgb="FFF8696B"/>
      </colorScale>
    </cfRule>
  </conditionalFormatting>
  <conditionalFormatting sqref="F198 F208 F206 F204 F202 F200">
    <cfRule type="colorScale" priority="295">
      <colorScale>
        <cfvo type="min"/>
        <cfvo type="percentile" val="50"/>
        <cfvo type="max"/>
        <color rgb="FF63BE7B"/>
        <color rgb="FFFFEB84"/>
        <color rgb="FFF8696B"/>
      </colorScale>
    </cfRule>
  </conditionalFormatting>
  <conditionalFormatting sqref="E199 E207 E205 E203 E201">
    <cfRule type="colorScale" priority="294">
      <colorScale>
        <cfvo type="min"/>
        <cfvo type="percentile" val="50"/>
        <cfvo type="max"/>
        <color rgb="FF63BE7B"/>
        <color rgb="FFFFEB84"/>
        <color rgb="FFF8696B"/>
      </colorScale>
    </cfRule>
  </conditionalFormatting>
  <conditionalFormatting sqref="D200 D206 D204 D202">
    <cfRule type="colorScale" priority="293">
      <colorScale>
        <cfvo type="min"/>
        <cfvo type="percentile" val="50"/>
        <cfvo type="max"/>
        <color rgb="FF63BE7B"/>
        <color rgb="FFFFEB84"/>
        <color rgb="FFF8696B"/>
      </colorScale>
    </cfRule>
  </conditionalFormatting>
  <conditionalFormatting sqref="C201 C205 C203">
    <cfRule type="colorScale" priority="292">
      <colorScale>
        <cfvo type="min"/>
        <cfvo type="percentile" val="50"/>
        <cfvo type="max"/>
        <color rgb="FF63BE7B"/>
        <color rgb="FFFFEB84"/>
        <color rgb="FFF8696B"/>
      </colorScale>
    </cfRule>
  </conditionalFormatting>
  <conditionalFormatting sqref="B202 B204">
    <cfRule type="colorScale" priority="291">
      <colorScale>
        <cfvo type="min"/>
        <cfvo type="percentile" val="50"/>
        <cfvo type="max"/>
        <color rgb="FF63BE7B"/>
        <color rgb="FFFFEB84"/>
        <color rgb="FFF8696B"/>
      </colorScale>
    </cfRule>
  </conditionalFormatting>
  <conditionalFormatting sqref="A203">
    <cfRule type="colorScale" priority="290">
      <colorScale>
        <cfvo type="min"/>
        <cfvo type="percentile" val="50"/>
        <cfvo type="max"/>
        <color rgb="FF63BE7B"/>
        <color rgb="FFFFEB84"/>
        <color rgb="FFF8696B"/>
      </colorScale>
    </cfRule>
  </conditionalFormatting>
  <conditionalFormatting sqref="Q219 Q199">
    <cfRule type="colorScale" priority="289">
      <colorScale>
        <cfvo type="min"/>
        <cfvo type="percentile" val="50"/>
        <cfvo type="max"/>
        <color rgb="FF63BE7B"/>
        <color rgb="FFFFEB84"/>
        <color rgb="FFF8696B"/>
      </colorScale>
    </cfRule>
  </conditionalFormatting>
  <conditionalFormatting sqref="Q187 Q217 Q189 Q191 Q193 Q195 Q197 Q201 Q205 Q203 Q207 Q209 Q211 Q213 Q215">
    <cfRule type="colorScale" priority="288">
      <colorScale>
        <cfvo type="min"/>
        <cfvo type="percentile" val="50"/>
        <cfvo type="max"/>
        <color rgb="FF63BE7B"/>
        <color rgb="FFFFEB84"/>
        <color rgb="FFF8696B"/>
      </colorScale>
    </cfRule>
  </conditionalFormatting>
  <conditionalFormatting sqref="R186 R220 R218 R216 R214 R212 R210 R208 R204 R206 R202 R200 R198 R196 R194 R192 R190 R188">
    <cfRule type="colorScale" priority="287">
      <colorScale>
        <cfvo type="min"/>
        <cfvo type="percentile" val="50"/>
        <cfvo type="max"/>
        <color rgb="FF63BE7B"/>
        <color rgb="FFFFEB84"/>
        <color rgb="FFF8696B"/>
      </colorScale>
    </cfRule>
  </conditionalFormatting>
  <conditionalFormatting sqref="S221">
    <cfRule type="colorScale" priority="286">
      <colorScale>
        <cfvo type="min"/>
        <cfvo type="percentile" val="50"/>
        <cfvo type="max"/>
        <color rgb="FF63BE7B"/>
        <color rgb="FFFFEB84"/>
        <color rgb="FFF8696B"/>
      </colorScale>
    </cfRule>
  </conditionalFormatting>
  <conditionalFormatting sqref="S185 S219 S217 S215 S213 S211 S209 S207 S203 S205 S201 S199 S197 S195 S193 S191 S189 S187">
    <cfRule type="colorScale" priority="285">
      <colorScale>
        <cfvo type="min"/>
        <cfvo type="percentile" val="50"/>
        <cfvo type="max"/>
        <color rgb="FF63BE7B"/>
        <color rgb="FFFFEB84"/>
        <color rgb="FFF8696B"/>
      </colorScale>
    </cfRule>
  </conditionalFormatting>
  <conditionalFormatting sqref="A173:AC173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C175:AD175 A174:AB174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D176 Z178:AD178 X180:AD180 V182:AD182 T184:AD184 T186:AD186 T188:AD188 T190:AD190 T192:AD192 T194:AD194 T196:AD196 T198:AD198 T200:AD200 T202:AD202 T204:AD204 T206:AD206 T208:AD208 T210:AD210 T212:AD212 T214:AD214 T216:AD216 T218:AD218 T220:AD220 AD174 AA177:AD177 Y179:AD179 W181:AD181 U183:AD183 U185:AD185 U187:AD187 U189:AD189 U191:AD191 U193:AD193 U195:AD195 S197:AD197 S199:AD199 S201:AD201 S203:AD203 S205:AD205 S207:AD207 S209:AD209 S211:AD211 S213:AD213 S215:AD215 S217:AD217 S219:AD219 A221:AD233">
    <cfRule type="colorScale" priority="284">
      <colorScale>
        <cfvo type="min"/>
        <cfvo type="percentile" val="50"/>
        <cfvo type="max"/>
        <color rgb="FF63BE7B"/>
        <color rgb="FFFFEB84"/>
        <color rgb="FFF8696B"/>
      </colorScale>
    </cfRule>
  </conditionalFormatting>
  <conditionalFormatting sqref="P200">
    <cfRule type="colorScale" priority="283">
      <colorScale>
        <cfvo type="min"/>
        <cfvo type="percentile" val="50"/>
        <cfvo type="max"/>
        <color rgb="FF63BE7B"/>
        <color rgb="FFFFEB84"/>
        <color rgb="FFF8696B"/>
      </colorScale>
    </cfRule>
  </conditionalFormatting>
  <conditionalFormatting sqref="O203">
    <cfRule type="colorScale" priority="282">
      <colorScale>
        <cfvo type="min"/>
        <cfvo type="percentile" val="50"/>
        <cfvo type="max"/>
        <color rgb="FF63BE7B"/>
        <color rgb="FFFFEB84"/>
        <color rgb="FFF8696B"/>
      </colorScale>
    </cfRule>
  </conditionalFormatting>
  <conditionalFormatting sqref="N200">
    <cfRule type="colorScale" priority="281">
      <colorScale>
        <cfvo type="min"/>
        <cfvo type="percentile" val="50"/>
        <cfvo type="max"/>
        <color rgb="FF63BE7B"/>
        <color rgb="FFFFEB84"/>
        <color rgb="FFF8696B"/>
      </colorScale>
    </cfRule>
  </conditionalFormatting>
  <conditionalFormatting sqref="A173:AC173">
    <cfRule type="colorScale" priority="280">
      <colorScale>
        <cfvo type="min"/>
        <cfvo type="percentile" val="50"/>
        <cfvo type="max"/>
        <color rgb="FF63BE7B"/>
        <color rgb="FFFFEB84"/>
        <color rgb="FFF8696B"/>
      </colorScale>
    </cfRule>
  </conditionalFormatting>
  <conditionalFormatting sqref="W225">
    <cfRule type="colorScale" priority="279">
      <colorScale>
        <cfvo type="min"/>
        <cfvo type="percentile" val="50"/>
        <cfvo type="max"/>
        <color rgb="FF63BE7B"/>
        <color rgb="FFFFEB84"/>
        <color rgb="FFF8696B"/>
      </colorScale>
    </cfRule>
  </conditionalFormatting>
  <conditionalFormatting sqref="W225">
    <cfRule type="colorScale" priority="278">
      <colorScale>
        <cfvo type="min"/>
        <cfvo type="percentile" val="50"/>
        <cfvo type="max"/>
        <color rgb="FF63BE7B"/>
        <color rgb="FFFFEB84"/>
        <color rgb="FFF8696B"/>
      </colorScale>
    </cfRule>
  </conditionalFormatting>
  <conditionalFormatting sqref="W225">
    <cfRule type="colorScale" priority="277">
      <colorScale>
        <cfvo type="min"/>
        <cfvo type="percentile" val="50"/>
        <cfvo type="max"/>
        <color rgb="FF63BE7B"/>
        <color rgb="FFFFEB84"/>
        <color rgb="FFF8696B"/>
      </colorScale>
    </cfRule>
  </conditionalFormatting>
  <conditionalFormatting sqref="W225">
    <cfRule type="colorScale" priority="276">
      <colorScale>
        <cfvo type="min"/>
        <cfvo type="percentile" val="50"/>
        <cfvo type="max"/>
        <color rgb="FF63BE7B"/>
        <color rgb="FFFFEB84"/>
        <color rgb="FFF8696B"/>
      </colorScale>
    </cfRule>
  </conditionalFormatting>
  <conditionalFormatting sqref="W225">
    <cfRule type="colorScale" priority="275">
      <colorScale>
        <cfvo type="min"/>
        <cfvo type="percentile" val="50"/>
        <cfvo type="max"/>
        <color rgb="FFF8696B"/>
        <color rgb="FFFFEB84"/>
        <color rgb="FF63BE7B"/>
      </colorScale>
    </cfRule>
  </conditionalFormatting>
  <conditionalFormatting sqref="W225">
    <cfRule type="colorScale" priority="274">
      <colorScale>
        <cfvo type="min"/>
        <cfvo type="percentile" val="50"/>
        <cfvo type="max"/>
        <color rgb="FF63BE7B"/>
        <color rgb="FFFFEB84"/>
        <color rgb="FFF8696B"/>
      </colorScale>
    </cfRule>
  </conditionalFormatting>
  <conditionalFormatting sqref="A169:AE172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174:AB174 AD174:AE174 A173:AC173 AE173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E176 Z178:AE178 X180:AE180 V182:AE182 T184:AE184 T186:AE186 T188:AE188 T190:AE190 T192:AE192 T194:AE194 T196:AE196 T198:AE198 T200:AE200 T202:AE202 T204:AE204 T206:AE206 T208:AE208 T210:AE210 T212:AE212 T214:AE214 T216:AE216 T218:AE218 T220:AE220 AC175:AE175 AA177:AE177 Y179:AE179 W181:AE181 U183:AE183 U185:AE185 U187:AE187 U189:AE189 U191:AE191 U193:AE193 U195:AE195 S197:AE197 S199:AE199 S201:AE201 S203:AE203 S205:AE205 S207:AE207 S209:AE209 S211:AE211 S213:AE213 S215:AE215 S217:AE217 S219:AE219 A221:AE234">
    <cfRule type="colorScale" priority="272">
      <colorScale>
        <cfvo type="min"/>
        <cfvo type="max"/>
        <color rgb="FFFCFCFF"/>
        <color rgb="FF63BE7B"/>
      </colorScale>
    </cfRule>
    <cfRule type="colorScale" priority="273">
      <colorScale>
        <cfvo type="min"/>
        <cfvo type="percentile" val="50"/>
        <cfvo type="max"/>
        <color rgb="FFF8696B"/>
        <color rgb="FFFCFCFF"/>
        <color rgb="FF63BE7B"/>
      </colorScale>
    </cfRule>
  </conditionalFormatting>
  <conditionalFormatting sqref="A172:AE172 B202 C201 A200:B200 D200 A199:C199 E199 A198:D198 F198 A197:E197 G197 A196:F196 H196 A195:G195 I195 A194:H194 J194 A193:I193 K193 A192:J192 L192 A191:K191 M191 A190:L190 N190 A189:M189 O189 A188:N188 P188 A187:O187 Q187 A186:P186 R186 A185:Q185 S185 A184:R184 A183:S183 A182:T182 A181:U181 A180:V180 A179:W179 A178:X178 A177:Y177 A176:Z176 A175:AA175 A174:AB174 AD174:AE174 A173:AC173 AE173 A203 C203 D202 A204:B204 D204 E201 E203 A205:C205 E205 A206:D206 F206 F204 F202 F200 G199 G201 G203 G205 A207:E207 G207 H198 H200 H202 H204 H206 A208:F208 H208 I197 I199 I201 I203 I205 I207 A209:G209 I209 J196 J198 J200 J202 J204 J206 J208 A210:H210 J210 A211:I211 K211 K209 K207 K205 K203 K201 K199 K197 K195 L194 L196 L198 L200 L202 L204 L206 L208 L210 A212:J212 L212 M193 M195 M197 M199 M201 M203 M205 M207 M209 M211 A213:K213 M213 N192 N194 N196 N198 N200 N202 N204 N206 N208 N210 N212 A214:L214 N214 O191 O193 O195 O197 O199 O201 O203 O205 O207 O209 O211 O213 A215:M215 O215 P190 P192 P194 P196 P198 P200 P202 P204 P206 P208 P210 P212 P214 A216:N216 P216 Q189 Q191 Q193 Q195 Q197 Q199 Q201 Q203 Q205 Q207 Q209 Q211 Q213 Q215 A217:O217 Q217 R188 R190 R192 R194 R196 R198 R200 R202 R204 R206 R208 R210 R212 R214 R216 A218:P218 R218 S187 S189 S191 S193 S195 A219:Q219 A220:R220 AB176:AE176 Z178:AE178 X180:AE180 V182:AE182 T184:AE184 T186:AE186 T188:AE188 T190:AE190 T192:AE192 T194:AE194 T196:AE196 T198:AE198 T200:AE200 T202:AE202 T204:AE204 T206:AE206 T208:AE208 T210:AE210 T212:AE212 T214:AE214 T216:AE216 T218:AE218 T220:AE220 AC175:AE175 AA177:AE177 Y179:AE179 W181:AE181 U183:AE183 U185:AE185 U187:AE187 U189:AE189 U191:AE191 U193:AE193 U195:AE195 S197:AE197 S199:AE199 S201:AE201 S203:AE203 S205:AE205 S207:AE207 S209:AE209 S211:AE211 S213:AE213 S215:AE215 S217:AE217 S219:AE219 A221:AE234">
    <cfRule type="colorScale" priority="271">
      <colorScale>
        <cfvo type="min"/>
        <cfvo type="percentile" val="50"/>
        <cfvo type="max"/>
        <color rgb="FF63BE7B"/>
        <color rgb="FFFFEB84"/>
        <color rgb="FFF8696B"/>
      </colorScale>
    </cfRule>
  </conditionalFormatting>
  <conditionalFormatting sqref="AD102">
    <cfRule type="dataBar" priority="269">
      <dataBar>
        <cfvo type="min"/>
        <cfvo type="max"/>
        <color rgb="FF638EC6"/>
      </dataBar>
      <extLst>
        <ext xmlns:x14="http://schemas.microsoft.com/office/spreadsheetml/2009/9/main" uri="{B025F937-C7B1-47D3-B67F-A62EFF666E3E}">
          <x14:id>{72A8DE28-E096-A64F-A658-706BFB300496}</x14:id>
        </ext>
      </extLst>
    </cfRule>
    <cfRule type="colorScale" priority="270">
      <colorScale>
        <cfvo type="min"/>
        <cfvo type="percentile" val="50"/>
        <cfvo type="max"/>
        <color rgb="FF63BE7B"/>
        <color rgb="FFFFEB84"/>
        <color rgb="FFF8696B"/>
      </colorScale>
    </cfRule>
  </conditionalFormatting>
  <conditionalFormatting sqref="A201">
    <cfRule type="colorScale" priority="268">
      <colorScale>
        <cfvo type="min"/>
        <cfvo type="percentile" val="50"/>
        <cfvo type="max"/>
        <color rgb="FF63BE7B"/>
        <color rgb="FFFFEB84"/>
        <color rgb="FFF8696B"/>
      </colorScale>
    </cfRule>
  </conditionalFormatting>
  <conditionalFormatting sqref="A202">
    <cfRule type="dataBar" priority="266">
      <dataBar>
        <cfvo type="min"/>
        <cfvo type="max"/>
        <color rgb="FF638EC6"/>
      </dataBar>
      <extLst>
        <ext xmlns:x14="http://schemas.microsoft.com/office/spreadsheetml/2009/9/main" uri="{B025F937-C7B1-47D3-B67F-A62EFF666E3E}">
          <x14:id>{58BB95EF-5E85-A049-8886-52131EF165E2}</x14:id>
        </ext>
      </extLst>
    </cfRule>
    <cfRule type="colorScale" priority="267">
      <colorScale>
        <cfvo type="min"/>
        <cfvo type="percentile" val="50"/>
        <cfvo type="max"/>
        <color rgb="FF63BE7B"/>
        <color rgb="FFFFEB84"/>
        <color rgb="FFF8696B"/>
      </colorScale>
    </cfRule>
  </conditionalFormatting>
  <conditionalFormatting sqref="B201">
    <cfRule type="dataBar" priority="264">
      <dataBar>
        <cfvo type="min"/>
        <cfvo type="max"/>
        <color rgb="FF638EC6"/>
      </dataBar>
      <extLst>
        <ext xmlns:x14="http://schemas.microsoft.com/office/spreadsheetml/2009/9/main" uri="{B025F937-C7B1-47D3-B67F-A62EFF666E3E}">
          <x14:id>{52DD98B5-0DA7-1C43-BF72-235FE6F0947F}</x14:id>
        </ext>
      </extLst>
    </cfRule>
    <cfRule type="colorScale" priority="265">
      <colorScale>
        <cfvo type="min"/>
        <cfvo type="percentile" val="50"/>
        <cfvo type="max"/>
        <color rgb="FF63BE7B"/>
        <color rgb="FFFFEB84"/>
        <color rgb="FFF8696B"/>
      </colorScale>
    </cfRule>
  </conditionalFormatting>
  <conditionalFormatting sqref="C200">
    <cfRule type="dataBar" priority="262">
      <dataBar>
        <cfvo type="min"/>
        <cfvo type="max"/>
        <color rgb="FF638EC6"/>
      </dataBar>
      <extLst>
        <ext xmlns:x14="http://schemas.microsoft.com/office/spreadsheetml/2009/9/main" uri="{B025F937-C7B1-47D3-B67F-A62EFF666E3E}">
          <x14:id>{7C70FE73-B78C-7749-967E-4B7F3DFEB175}</x14:id>
        </ext>
      </extLst>
    </cfRule>
    <cfRule type="colorScale" priority="263">
      <colorScale>
        <cfvo type="min"/>
        <cfvo type="percentile" val="50"/>
        <cfvo type="max"/>
        <color rgb="FF63BE7B"/>
        <color rgb="FFFFEB84"/>
        <color rgb="FFF8696B"/>
      </colorScale>
    </cfRule>
  </conditionalFormatting>
  <conditionalFormatting sqref="D199">
    <cfRule type="dataBar" priority="260">
      <dataBar>
        <cfvo type="min"/>
        <cfvo type="max"/>
        <color rgb="FF638EC6"/>
      </dataBar>
      <extLst>
        <ext xmlns:x14="http://schemas.microsoft.com/office/spreadsheetml/2009/9/main" uri="{B025F937-C7B1-47D3-B67F-A62EFF666E3E}">
          <x14:id>{67448164-905F-2245-841A-3F48B8F7F42D}</x14:id>
        </ext>
      </extLst>
    </cfRule>
    <cfRule type="colorScale" priority="261">
      <colorScale>
        <cfvo type="min"/>
        <cfvo type="percentile" val="50"/>
        <cfvo type="max"/>
        <color rgb="FF63BE7B"/>
        <color rgb="FFFFEB84"/>
        <color rgb="FFF8696B"/>
      </colorScale>
    </cfRule>
  </conditionalFormatting>
  <conditionalFormatting sqref="E198">
    <cfRule type="dataBar" priority="258">
      <dataBar>
        <cfvo type="min"/>
        <cfvo type="max"/>
        <color rgb="FF638EC6"/>
      </dataBar>
      <extLst>
        <ext xmlns:x14="http://schemas.microsoft.com/office/spreadsheetml/2009/9/main" uri="{B025F937-C7B1-47D3-B67F-A62EFF666E3E}">
          <x14:id>{40BC7C3D-7D12-1047-B449-113D2F30433A}</x14:id>
        </ext>
      </extLst>
    </cfRule>
    <cfRule type="colorScale" priority="259">
      <colorScale>
        <cfvo type="min"/>
        <cfvo type="percentile" val="50"/>
        <cfvo type="max"/>
        <color rgb="FF63BE7B"/>
        <color rgb="FFFFEB84"/>
        <color rgb="FFF8696B"/>
      </colorScale>
    </cfRule>
  </conditionalFormatting>
  <conditionalFormatting sqref="F197">
    <cfRule type="dataBar" priority="256">
      <dataBar>
        <cfvo type="min"/>
        <cfvo type="max"/>
        <color rgb="FF638EC6"/>
      </dataBar>
      <extLst>
        <ext xmlns:x14="http://schemas.microsoft.com/office/spreadsheetml/2009/9/main" uri="{B025F937-C7B1-47D3-B67F-A62EFF666E3E}">
          <x14:id>{8FF36A15-AAFE-AE48-A309-6090154067EE}</x14:id>
        </ext>
      </extLst>
    </cfRule>
    <cfRule type="colorScale" priority="257">
      <colorScale>
        <cfvo type="min"/>
        <cfvo type="percentile" val="50"/>
        <cfvo type="max"/>
        <color rgb="FF63BE7B"/>
        <color rgb="FFFFEB84"/>
        <color rgb="FFF8696B"/>
      </colorScale>
    </cfRule>
  </conditionalFormatting>
  <conditionalFormatting sqref="G196">
    <cfRule type="dataBar" priority="254">
      <dataBar>
        <cfvo type="min"/>
        <cfvo type="max"/>
        <color rgb="FF638EC6"/>
      </dataBar>
      <extLst>
        <ext xmlns:x14="http://schemas.microsoft.com/office/spreadsheetml/2009/9/main" uri="{B025F937-C7B1-47D3-B67F-A62EFF666E3E}">
          <x14:id>{6E3F8FDD-8324-834B-924B-B2DDD2D3260E}</x14:id>
        </ext>
      </extLst>
    </cfRule>
    <cfRule type="colorScale" priority="255">
      <colorScale>
        <cfvo type="min"/>
        <cfvo type="percentile" val="50"/>
        <cfvo type="max"/>
        <color rgb="FF63BE7B"/>
        <color rgb="FFFFEB84"/>
        <color rgb="FFF8696B"/>
      </colorScale>
    </cfRule>
  </conditionalFormatting>
  <conditionalFormatting sqref="H195">
    <cfRule type="dataBar" priority="252">
      <dataBar>
        <cfvo type="min"/>
        <cfvo type="max"/>
        <color rgb="FF638EC6"/>
      </dataBar>
      <extLst>
        <ext xmlns:x14="http://schemas.microsoft.com/office/spreadsheetml/2009/9/main" uri="{B025F937-C7B1-47D3-B67F-A62EFF666E3E}">
          <x14:id>{7B059136-7879-6747-8187-17B1537F3A08}</x14:id>
        </ext>
      </extLst>
    </cfRule>
    <cfRule type="colorScale" priority="253">
      <colorScale>
        <cfvo type="min"/>
        <cfvo type="percentile" val="50"/>
        <cfvo type="max"/>
        <color rgb="FF63BE7B"/>
        <color rgb="FFFFEB84"/>
        <color rgb="FFF8696B"/>
      </colorScale>
    </cfRule>
  </conditionalFormatting>
  <conditionalFormatting sqref="I194">
    <cfRule type="dataBar" priority="250">
      <dataBar>
        <cfvo type="min"/>
        <cfvo type="max"/>
        <color rgb="FF638EC6"/>
      </dataBar>
      <extLst>
        <ext xmlns:x14="http://schemas.microsoft.com/office/spreadsheetml/2009/9/main" uri="{B025F937-C7B1-47D3-B67F-A62EFF666E3E}">
          <x14:id>{D5D652BF-DA03-074C-A3E9-5787F7ECE223}</x14:id>
        </ext>
      </extLst>
    </cfRule>
    <cfRule type="colorScale" priority="251">
      <colorScale>
        <cfvo type="min"/>
        <cfvo type="percentile" val="50"/>
        <cfvo type="max"/>
        <color rgb="FF63BE7B"/>
        <color rgb="FFFFEB84"/>
        <color rgb="FFF8696B"/>
      </colorScale>
    </cfRule>
  </conditionalFormatting>
  <conditionalFormatting sqref="J193">
    <cfRule type="dataBar" priority="248">
      <dataBar>
        <cfvo type="min"/>
        <cfvo type="max"/>
        <color rgb="FF638EC6"/>
      </dataBar>
      <extLst>
        <ext xmlns:x14="http://schemas.microsoft.com/office/spreadsheetml/2009/9/main" uri="{B025F937-C7B1-47D3-B67F-A62EFF666E3E}">
          <x14:id>{C172642F-E204-7E4C-AA04-C7618C4FC107}</x14:id>
        </ext>
      </extLst>
    </cfRule>
    <cfRule type="colorScale" priority="249">
      <colorScale>
        <cfvo type="min"/>
        <cfvo type="percentile" val="50"/>
        <cfvo type="max"/>
        <color rgb="FF63BE7B"/>
        <color rgb="FFFFEB84"/>
        <color rgb="FFF8696B"/>
      </colorScale>
    </cfRule>
  </conditionalFormatting>
  <conditionalFormatting sqref="K192">
    <cfRule type="dataBar" priority="246">
      <dataBar>
        <cfvo type="min"/>
        <cfvo type="max"/>
        <color rgb="FF638EC6"/>
      </dataBar>
      <extLst>
        <ext xmlns:x14="http://schemas.microsoft.com/office/spreadsheetml/2009/9/main" uri="{B025F937-C7B1-47D3-B67F-A62EFF666E3E}">
          <x14:id>{3EA109E5-BE96-4640-8384-E0CA411C005E}</x14:id>
        </ext>
      </extLst>
    </cfRule>
    <cfRule type="colorScale" priority="247">
      <colorScale>
        <cfvo type="min"/>
        <cfvo type="percentile" val="50"/>
        <cfvo type="max"/>
        <color rgb="FF63BE7B"/>
        <color rgb="FFFFEB84"/>
        <color rgb="FFF8696B"/>
      </colorScale>
    </cfRule>
  </conditionalFormatting>
  <conditionalFormatting sqref="L191">
    <cfRule type="dataBar" priority="244">
      <dataBar>
        <cfvo type="min"/>
        <cfvo type="max"/>
        <color rgb="FF638EC6"/>
      </dataBar>
      <extLst>
        <ext xmlns:x14="http://schemas.microsoft.com/office/spreadsheetml/2009/9/main" uri="{B025F937-C7B1-47D3-B67F-A62EFF666E3E}">
          <x14:id>{A65F1F96-544A-664A-983C-CEA4C5B5C89C}</x14:id>
        </ext>
      </extLst>
    </cfRule>
    <cfRule type="colorScale" priority="245">
      <colorScale>
        <cfvo type="min"/>
        <cfvo type="percentile" val="50"/>
        <cfvo type="max"/>
        <color rgb="FF63BE7B"/>
        <color rgb="FFFFEB84"/>
        <color rgb="FFF8696B"/>
      </colorScale>
    </cfRule>
  </conditionalFormatting>
  <conditionalFormatting sqref="M190">
    <cfRule type="dataBar" priority="242">
      <dataBar>
        <cfvo type="min"/>
        <cfvo type="max"/>
        <color rgb="FF638EC6"/>
      </dataBar>
      <extLst>
        <ext xmlns:x14="http://schemas.microsoft.com/office/spreadsheetml/2009/9/main" uri="{B025F937-C7B1-47D3-B67F-A62EFF666E3E}">
          <x14:id>{7B2838F5-733D-A646-876A-2A98D3AA6B61}</x14:id>
        </ext>
      </extLst>
    </cfRule>
    <cfRule type="colorScale" priority="243">
      <colorScale>
        <cfvo type="min"/>
        <cfvo type="percentile" val="50"/>
        <cfvo type="max"/>
        <color rgb="FF63BE7B"/>
        <color rgb="FFFFEB84"/>
        <color rgb="FFF8696B"/>
      </colorScale>
    </cfRule>
  </conditionalFormatting>
  <conditionalFormatting sqref="N189">
    <cfRule type="dataBar" priority="240">
      <dataBar>
        <cfvo type="min"/>
        <cfvo type="max"/>
        <color rgb="FF638EC6"/>
      </dataBar>
      <extLst>
        <ext xmlns:x14="http://schemas.microsoft.com/office/spreadsheetml/2009/9/main" uri="{B025F937-C7B1-47D3-B67F-A62EFF666E3E}">
          <x14:id>{24CA25D3-DDF7-6845-B4F6-5F26FDB8FDB0}</x14:id>
        </ext>
      </extLst>
    </cfRule>
    <cfRule type="colorScale" priority="241">
      <colorScale>
        <cfvo type="min"/>
        <cfvo type="percentile" val="50"/>
        <cfvo type="max"/>
        <color rgb="FF63BE7B"/>
        <color rgb="FFFFEB84"/>
        <color rgb="FFF8696B"/>
      </colorScale>
    </cfRule>
  </conditionalFormatting>
  <conditionalFormatting sqref="O188">
    <cfRule type="dataBar" priority="238">
      <dataBar>
        <cfvo type="min"/>
        <cfvo type="max"/>
        <color rgb="FF638EC6"/>
      </dataBar>
      <extLst>
        <ext xmlns:x14="http://schemas.microsoft.com/office/spreadsheetml/2009/9/main" uri="{B025F937-C7B1-47D3-B67F-A62EFF666E3E}">
          <x14:id>{A1844190-F40E-0F4F-A11D-700984E0B30B}</x14:id>
        </ext>
      </extLst>
    </cfRule>
    <cfRule type="colorScale" priority="239">
      <colorScale>
        <cfvo type="min"/>
        <cfvo type="percentile" val="50"/>
        <cfvo type="max"/>
        <color rgb="FF63BE7B"/>
        <color rgb="FFFFEB84"/>
        <color rgb="FFF8696B"/>
      </colorScale>
    </cfRule>
  </conditionalFormatting>
  <conditionalFormatting sqref="P187">
    <cfRule type="dataBar" priority="236">
      <dataBar>
        <cfvo type="min"/>
        <cfvo type="max"/>
        <color rgb="FF638EC6"/>
      </dataBar>
      <extLst>
        <ext xmlns:x14="http://schemas.microsoft.com/office/spreadsheetml/2009/9/main" uri="{B025F937-C7B1-47D3-B67F-A62EFF666E3E}">
          <x14:id>{FCFC597C-0F97-CF42-BB0F-9D648FA433A9}</x14:id>
        </ext>
      </extLst>
    </cfRule>
    <cfRule type="colorScale" priority="237">
      <colorScale>
        <cfvo type="min"/>
        <cfvo type="percentile" val="50"/>
        <cfvo type="max"/>
        <color rgb="FF63BE7B"/>
        <color rgb="FFFFEB84"/>
        <color rgb="FFF8696B"/>
      </colorScale>
    </cfRule>
  </conditionalFormatting>
  <conditionalFormatting sqref="R185">
    <cfRule type="dataBar" priority="234">
      <dataBar>
        <cfvo type="min"/>
        <cfvo type="max"/>
        <color rgb="FF638EC6"/>
      </dataBar>
      <extLst>
        <ext xmlns:x14="http://schemas.microsoft.com/office/spreadsheetml/2009/9/main" uri="{B025F937-C7B1-47D3-B67F-A62EFF666E3E}">
          <x14:id>{9D1955C8-C5AC-7848-97C4-7FADA148FAD5}</x14:id>
        </ext>
      </extLst>
    </cfRule>
    <cfRule type="colorScale" priority="235">
      <colorScale>
        <cfvo type="min"/>
        <cfvo type="percentile" val="50"/>
        <cfvo type="max"/>
        <color rgb="FF63BE7B"/>
        <color rgb="FFFFEB84"/>
        <color rgb="FFF8696B"/>
      </colorScale>
    </cfRule>
  </conditionalFormatting>
  <conditionalFormatting sqref="S184">
    <cfRule type="dataBar" priority="232">
      <dataBar>
        <cfvo type="min"/>
        <cfvo type="max"/>
        <color rgb="FF638EC6"/>
      </dataBar>
      <extLst>
        <ext xmlns:x14="http://schemas.microsoft.com/office/spreadsheetml/2009/9/main" uri="{B025F937-C7B1-47D3-B67F-A62EFF666E3E}">
          <x14:id>{CF521C0D-0271-5745-BDE9-F9117BFC2471}</x14:id>
        </ext>
      </extLst>
    </cfRule>
    <cfRule type="colorScale" priority="233">
      <colorScale>
        <cfvo type="min"/>
        <cfvo type="percentile" val="50"/>
        <cfvo type="max"/>
        <color rgb="FF63BE7B"/>
        <color rgb="FFFFEB84"/>
        <color rgb="FFF8696B"/>
      </colorScale>
    </cfRule>
  </conditionalFormatting>
  <conditionalFormatting sqref="T183">
    <cfRule type="dataBar" priority="230">
      <dataBar>
        <cfvo type="min"/>
        <cfvo type="max"/>
        <color rgb="FF638EC6"/>
      </dataBar>
      <extLst>
        <ext xmlns:x14="http://schemas.microsoft.com/office/spreadsheetml/2009/9/main" uri="{B025F937-C7B1-47D3-B67F-A62EFF666E3E}">
          <x14:id>{8DDBD7F7-780B-AF4D-8D48-FE6C86BB18F5}</x14:id>
        </ext>
      </extLst>
    </cfRule>
    <cfRule type="colorScale" priority="231">
      <colorScale>
        <cfvo type="min"/>
        <cfvo type="percentile" val="50"/>
        <cfvo type="max"/>
        <color rgb="FF63BE7B"/>
        <color rgb="FFFFEB84"/>
        <color rgb="FFF8696B"/>
      </colorScale>
    </cfRule>
  </conditionalFormatting>
  <conditionalFormatting sqref="U182">
    <cfRule type="dataBar" priority="228">
      <dataBar>
        <cfvo type="min"/>
        <cfvo type="max"/>
        <color rgb="FF638EC6"/>
      </dataBar>
      <extLst>
        <ext xmlns:x14="http://schemas.microsoft.com/office/spreadsheetml/2009/9/main" uri="{B025F937-C7B1-47D3-B67F-A62EFF666E3E}">
          <x14:id>{703F0BCF-EA72-4246-8E59-C6DE4BA8B4FE}</x14:id>
        </ext>
      </extLst>
    </cfRule>
    <cfRule type="colorScale" priority="229">
      <colorScale>
        <cfvo type="min"/>
        <cfvo type="percentile" val="50"/>
        <cfvo type="max"/>
        <color rgb="FF63BE7B"/>
        <color rgb="FFFFEB84"/>
        <color rgb="FFF8696B"/>
      </colorScale>
    </cfRule>
  </conditionalFormatting>
  <conditionalFormatting sqref="V181">
    <cfRule type="dataBar" priority="226">
      <dataBar>
        <cfvo type="min"/>
        <cfvo type="max"/>
        <color rgb="FF638EC6"/>
      </dataBar>
      <extLst>
        <ext xmlns:x14="http://schemas.microsoft.com/office/spreadsheetml/2009/9/main" uri="{B025F937-C7B1-47D3-B67F-A62EFF666E3E}">
          <x14:id>{4A3F947A-50E1-1047-A6B2-82BEB31DA403}</x14:id>
        </ext>
      </extLst>
    </cfRule>
    <cfRule type="colorScale" priority="227">
      <colorScale>
        <cfvo type="min"/>
        <cfvo type="percentile" val="50"/>
        <cfvo type="max"/>
        <color rgb="FF63BE7B"/>
        <color rgb="FFFFEB84"/>
        <color rgb="FFF8696B"/>
      </colorScale>
    </cfRule>
  </conditionalFormatting>
  <conditionalFormatting sqref="W180">
    <cfRule type="dataBar" priority="224">
      <dataBar>
        <cfvo type="min"/>
        <cfvo type="max"/>
        <color rgb="FF638EC6"/>
      </dataBar>
      <extLst>
        <ext xmlns:x14="http://schemas.microsoft.com/office/spreadsheetml/2009/9/main" uri="{B025F937-C7B1-47D3-B67F-A62EFF666E3E}">
          <x14:id>{AAA117FD-0F0F-5341-BFAC-B3D955EF3476}</x14:id>
        </ext>
      </extLst>
    </cfRule>
    <cfRule type="colorScale" priority="225">
      <colorScale>
        <cfvo type="min"/>
        <cfvo type="percentile" val="50"/>
        <cfvo type="max"/>
        <color rgb="FF63BE7B"/>
        <color rgb="FFFFEB84"/>
        <color rgb="FFF8696B"/>
      </colorScale>
    </cfRule>
  </conditionalFormatting>
  <conditionalFormatting sqref="X179">
    <cfRule type="dataBar" priority="222">
      <dataBar>
        <cfvo type="min"/>
        <cfvo type="max"/>
        <color rgb="FF638EC6"/>
      </dataBar>
      <extLst>
        <ext xmlns:x14="http://schemas.microsoft.com/office/spreadsheetml/2009/9/main" uri="{B025F937-C7B1-47D3-B67F-A62EFF666E3E}">
          <x14:id>{6786707B-AD26-564C-8C40-DB7EA515D41D}</x14:id>
        </ext>
      </extLst>
    </cfRule>
    <cfRule type="colorScale" priority="223">
      <colorScale>
        <cfvo type="min"/>
        <cfvo type="percentile" val="50"/>
        <cfvo type="max"/>
        <color rgb="FF63BE7B"/>
        <color rgb="FFFFEB84"/>
        <color rgb="FFF8696B"/>
      </colorScale>
    </cfRule>
  </conditionalFormatting>
  <conditionalFormatting sqref="Y178">
    <cfRule type="dataBar" priority="220">
      <dataBar>
        <cfvo type="min"/>
        <cfvo type="max"/>
        <color rgb="FF638EC6"/>
      </dataBar>
      <extLst>
        <ext xmlns:x14="http://schemas.microsoft.com/office/spreadsheetml/2009/9/main" uri="{B025F937-C7B1-47D3-B67F-A62EFF666E3E}">
          <x14:id>{C2BA1259-A634-E54B-B9DE-2BAB73D098A1}</x14:id>
        </ext>
      </extLst>
    </cfRule>
    <cfRule type="colorScale" priority="221">
      <colorScale>
        <cfvo type="min"/>
        <cfvo type="percentile" val="50"/>
        <cfvo type="max"/>
        <color rgb="FF63BE7B"/>
        <color rgb="FFFFEB84"/>
        <color rgb="FFF8696B"/>
      </colorScale>
    </cfRule>
  </conditionalFormatting>
  <conditionalFormatting sqref="Z177">
    <cfRule type="dataBar" priority="218">
      <dataBar>
        <cfvo type="min"/>
        <cfvo type="max"/>
        <color rgb="FF638EC6"/>
      </dataBar>
      <extLst>
        <ext xmlns:x14="http://schemas.microsoft.com/office/spreadsheetml/2009/9/main" uri="{B025F937-C7B1-47D3-B67F-A62EFF666E3E}">
          <x14:id>{B7AFF7CD-8A0A-C045-8CD0-B5588FE97F20}</x14:id>
        </ext>
      </extLst>
    </cfRule>
    <cfRule type="colorScale" priority="219">
      <colorScale>
        <cfvo type="min"/>
        <cfvo type="percentile" val="50"/>
        <cfvo type="max"/>
        <color rgb="FF63BE7B"/>
        <color rgb="FFFFEB84"/>
        <color rgb="FFF8696B"/>
      </colorScale>
    </cfRule>
  </conditionalFormatting>
  <conditionalFormatting sqref="AA176">
    <cfRule type="dataBar" priority="216">
      <dataBar>
        <cfvo type="min"/>
        <cfvo type="max"/>
        <color rgb="FF638EC6"/>
      </dataBar>
      <extLst>
        <ext xmlns:x14="http://schemas.microsoft.com/office/spreadsheetml/2009/9/main" uri="{B025F937-C7B1-47D3-B67F-A62EFF666E3E}">
          <x14:id>{19754490-6D71-104A-AB0B-4496F783FFB3}</x14:id>
        </ext>
      </extLst>
    </cfRule>
    <cfRule type="colorScale" priority="217">
      <colorScale>
        <cfvo type="min"/>
        <cfvo type="percentile" val="50"/>
        <cfvo type="max"/>
        <color rgb="FF63BE7B"/>
        <color rgb="FFFFEB84"/>
        <color rgb="FFF8696B"/>
      </colorScale>
    </cfRule>
  </conditionalFormatting>
  <conditionalFormatting sqref="AB175">
    <cfRule type="dataBar" priority="214">
      <dataBar>
        <cfvo type="min"/>
        <cfvo type="max"/>
        <color rgb="FF638EC6"/>
      </dataBar>
      <extLst>
        <ext xmlns:x14="http://schemas.microsoft.com/office/spreadsheetml/2009/9/main" uri="{B025F937-C7B1-47D3-B67F-A62EFF666E3E}">
          <x14:id>{FF9F869E-8E10-7B44-A186-59921D91A6C1}</x14:id>
        </ext>
      </extLst>
    </cfRule>
    <cfRule type="colorScale" priority="215">
      <colorScale>
        <cfvo type="min"/>
        <cfvo type="percentile" val="50"/>
        <cfvo type="max"/>
        <color rgb="FF63BE7B"/>
        <color rgb="FFFFEB84"/>
        <color rgb="FFF8696B"/>
      </colorScale>
    </cfRule>
  </conditionalFormatting>
  <conditionalFormatting sqref="AC174">
    <cfRule type="dataBar" priority="212">
      <dataBar>
        <cfvo type="min"/>
        <cfvo type="max"/>
        <color rgb="FF638EC6"/>
      </dataBar>
      <extLst>
        <ext xmlns:x14="http://schemas.microsoft.com/office/spreadsheetml/2009/9/main" uri="{B025F937-C7B1-47D3-B67F-A62EFF666E3E}">
          <x14:id>{65114AAB-8BA4-324C-AAF8-F593D1D4F3BB}</x14:id>
        </ext>
      </extLst>
    </cfRule>
    <cfRule type="colorScale" priority="213">
      <colorScale>
        <cfvo type="min"/>
        <cfvo type="percentile" val="50"/>
        <cfvo type="max"/>
        <color rgb="FF63BE7B"/>
        <color rgb="FFFFEB84"/>
        <color rgb="FFF8696B"/>
      </colorScale>
    </cfRule>
  </conditionalFormatting>
  <conditionalFormatting sqref="AD173">
    <cfRule type="dataBar" priority="210">
      <dataBar>
        <cfvo type="min"/>
        <cfvo type="max"/>
        <color rgb="FF638EC6"/>
      </dataBar>
      <extLst>
        <ext xmlns:x14="http://schemas.microsoft.com/office/spreadsheetml/2009/9/main" uri="{B025F937-C7B1-47D3-B67F-A62EFF666E3E}">
          <x14:id>{74F4D7B2-2706-0447-925E-41E73DA44A4B}</x14:id>
        </ext>
      </extLst>
    </cfRule>
    <cfRule type="colorScale" priority="211">
      <colorScale>
        <cfvo type="min"/>
        <cfvo type="percentile" val="50"/>
        <cfvo type="max"/>
        <color rgb="FF63BE7B"/>
        <color rgb="FFFFEB84"/>
        <color rgb="FFF8696B"/>
      </colorScale>
    </cfRule>
  </conditionalFormatting>
  <conditionalFormatting sqref="B203">
    <cfRule type="dataBar" priority="208">
      <dataBar>
        <cfvo type="min"/>
        <cfvo type="max"/>
        <color rgb="FF638EC6"/>
      </dataBar>
      <extLst>
        <ext xmlns:x14="http://schemas.microsoft.com/office/spreadsheetml/2009/9/main" uri="{B025F937-C7B1-47D3-B67F-A62EFF666E3E}">
          <x14:id>{A3A15E6B-8180-5F4F-9CFF-FE18A986C048}</x14:id>
        </ext>
      </extLst>
    </cfRule>
    <cfRule type="colorScale" priority="209">
      <colorScale>
        <cfvo type="min"/>
        <cfvo type="percentile" val="50"/>
        <cfvo type="max"/>
        <color rgb="FF63BE7B"/>
        <color rgb="FFFFEB84"/>
        <color rgb="FFF8696B"/>
      </colorScale>
    </cfRule>
  </conditionalFormatting>
  <conditionalFormatting sqref="C202">
    <cfRule type="dataBar" priority="206">
      <dataBar>
        <cfvo type="min"/>
        <cfvo type="max"/>
        <color rgb="FF638EC6"/>
      </dataBar>
      <extLst>
        <ext xmlns:x14="http://schemas.microsoft.com/office/spreadsheetml/2009/9/main" uri="{B025F937-C7B1-47D3-B67F-A62EFF666E3E}">
          <x14:id>{7DC528CA-B47D-D648-837B-DC30FFA3DFBB}</x14:id>
        </ext>
      </extLst>
    </cfRule>
    <cfRule type="colorScale" priority="207">
      <colorScale>
        <cfvo type="min"/>
        <cfvo type="percentile" val="50"/>
        <cfvo type="max"/>
        <color rgb="FF63BE7B"/>
        <color rgb="FFFFEB84"/>
        <color rgb="FFF8696B"/>
      </colorScale>
    </cfRule>
  </conditionalFormatting>
  <conditionalFormatting sqref="C204">
    <cfRule type="dataBar" priority="204">
      <dataBar>
        <cfvo type="min"/>
        <cfvo type="max"/>
        <color rgb="FF638EC6"/>
      </dataBar>
      <extLst>
        <ext xmlns:x14="http://schemas.microsoft.com/office/spreadsheetml/2009/9/main" uri="{B025F937-C7B1-47D3-B67F-A62EFF666E3E}">
          <x14:id>{FDD2A3F0-89AB-5047-AC60-2714B79A13A1}</x14:id>
        </ext>
      </extLst>
    </cfRule>
    <cfRule type="colorScale" priority="205">
      <colorScale>
        <cfvo type="min"/>
        <cfvo type="percentile" val="50"/>
        <cfvo type="max"/>
        <color rgb="FF63BE7B"/>
        <color rgb="FFFFEB84"/>
        <color rgb="FFF8696B"/>
      </colorScale>
    </cfRule>
  </conditionalFormatting>
  <conditionalFormatting sqref="D201">
    <cfRule type="dataBar" priority="202">
      <dataBar>
        <cfvo type="min"/>
        <cfvo type="max"/>
        <color rgb="FF638EC6"/>
      </dataBar>
      <extLst>
        <ext xmlns:x14="http://schemas.microsoft.com/office/spreadsheetml/2009/9/main" uri="{B025F937-C7B1-47D3-B67F-A62EFF666E3E}">
          <x14:id>{E0D6BA52-4298-9247-9BD0-0E63996138E3}</x14:id>
        </ext>
      </extLst>
    </cfRule>
    <cfRule type="colorScale" priority="203">
      <colorScale>
        <cfvo type="min"/>
        <cfvo type="percentile" val="50"/>
        <cfvo type="max"/>
        <color rgb="FF63BE7B"/>
        <color rgb="FFFFEB84"/>
        <color rgb="FFF8696B"/>
      </colorScale>
    </cfRule>
  </conditionalFormatting>
  <conditionalFormatting sqref="D203">
    <cfRule type="dataBar" priority="200">
      <dataBar>
        <cfvo type="min"/>
        <cfvo type="max"/>
        <color rgb="FF638EC6"/>
      </dataBar>
      <extLst>
        <ext xmlns:x14="http://schemas.microsoft.com/office/spreadsheetml/2009/9/main" uri="{B025F937-C7B1-47D3-B67F-A62EFF666E3E}">
          <x14:id>{BB9CFAB5-FACD-904C-9F5B-43D428E48517}</x14:id>
        </ext>
      </extLst>
    </cfRule>
    <cfRule type="colorScale" priority="201">
      <colorScale>
        <cfvo type="min"/>
        <cfvo type="percentile" val="50"/>
        <cfvo type="max"/>
        <color rgb="FF63BE7B"/>
        <color rgb="FFFFEB84"/>
        <color rgb="FFF8696B"/>
      </colorScale>
    </cfRule>
  </conditionalFormatting>
  <conditionalFormatting sqref="D205">
    <cfRule type="dataBar" priority="198">
      <dataBar>
        <cfvo type="min"/>
        <cfvo type="max"/>
        <color rgb="FF638EC6"/>
      </dataBar>
      <extLst>
        <ext xmlns:x14="http://schemas.microsoft.com/office/spreadsheetml/2009/9/main" uri="{B025F937-C7B1-47D3-B67F-A62EFF666E3E}">
          <x14:id>{3BC2583F-6FB1-FE46-B145-7C9E0EB73370}</x14:id>
        </ext>
      </extLst>
    </cfRule>
    <cfRule type="colorScale" priority="199">
      <colorScale>
        <cfvo type="min"/>
        <cfvo type="percentile" val="50"/>
        <cfvo type="max"/>
        <color rgb="FF63BE7B"/>
        <color rgb="FFFFEB84"/>
        <color rgb="FFF8696B"/>
      </colorScale>
    </cfRule>
  </conditionalFormatting>
  <conditionalFormatting sqref="E206">
    <cfRule type="dataBar" priority="196">
      <dataBar>
        <cfvo type="min"/>
        <cfvo type="max"/>
        <color rgb="FF638EC6"/>
      </dataBar>
      <extLst>
        <ext xmlns:x14="http://schemas.microsoft.com/office/spreadsheetml/2009/9/main" uri="{B025F937-C7B1-47D3-B67F-A62EFF666E3E}">
          <x14:id>{71DC394B-5E81-6649-9D8D-72C2221DAEDF}</x14:id>
        </ext>
      </extLst>
    </cfRule>
    <cfRule type="colorScale" priority="197">
      <colorScale>
        <cfvo type="min"/>
        <cfvo type="percentile" val="50"/>
        <cfvo type="max"/>
        <color rgb="FF63BE7B"/>
        <color rgb="FFFFEB84"/>
        <color rgb="FFF8696B"/>
      </colorScale>
    </cfRule>
  </conditionalFormatting>
  <conditionalFormatting sqref="E204">
    <cfRule type="dataBar" priority="194">
      <dataBar>
        <cfvo type="min"/>
        <cfvo type="max"/>
        <color rgb="FF638EC6"/>
      </dataBar>
      <extLst>
        <ext xmlns:x14="http://schemas.microsoft.com/office/spreadsheetml/2009/9/main" uri="{B025F937-C7B1-47D3-B67F-A62EFF666E3E}">
          <x14:id>{AB69E90A-BE5F-E144-98DC-A8D8938809AC}</x14:id>
        </ext>
      </extLst>
    </cfRule>
    <cfRule type="colorScale" priority="195">
      <colorScale>
        <cfvo type="min"/>
        <cfvo type="percentile" val="50"/>
        <cfvo type="max"/>
        <color rgb="FF63BE7B"/>
        <color rgb="FFFFEB84"/>
        <color rgb="FFF8696B"/>
      </colorScale>
    </cfRule>
  </conditionalFormatting>
  <conditionalFormatting sqref="E202">
    <cfRule type="dataBar" priority="192">
      <dataBar>
        <cfvo type="min"/>
        <cfvo type="max"/>
        <color rgb="FF638EC6"/>
      </dataBar>
      <extLst>
        <ext xmlns:x14="http://schemas.microsoft.com/office/spreadsheetml/2009/9/main" uri="{B025F937-C7B1-47D3-B67F-A62EFF666E3E}">
          <x14:id>{42D150EF-C446-3B42-8B3E-9E4C2506DDCB}</x14:id>
        </ext>
      </extLst>
    </cfRule>
    <cfRule type="colorScale" priority="193">
      <colorScale>
        <cfvo type="min"/>
        <cfvo type="percentile" val="50"/>
        <cfvo type="max"/>
        <color rgb="FF63BE7B"/>
        <color rgb="FFFFEB84"/>
        <color rgb="FFF8696B"/>
      </colorScale>
    </cfRule>
  </conditionalFormatting>
  <conditionalFormatting sqref="E200">
    <cfRule type="dataBar" priority="190">
      <dataBar>
        <cfvo type="min"/>
        <cfvo type="max"/>
        <color rgb="FF638EC6"/>
      </dataBar>
      <extLst>
        <ext xmlns:x14="http://schemas.microsoft.com/office/spreadsheetml/2009/9/main" uri="{B025F937-C7B1-47D3-B67F-A62EFF666E3E}">
          <x14:id>{D3EA9AAF-9133-D34B-AE6D-38D779E648F6}</x14:id>
        </ext>
      </extLst>
    </cfRule>
    <cfRule type="colorScale" priority="191">
      <colorScale>
        <cfvo type="min"/>
        <cfvo type="percentile" val="50"/>
        <cfvo type="max"/>
        <color rgb="FF63BE7B"/>
        <color rgb="FFFFEB84"/>
        <color rgb="FFF8696B"/>
      </colorScale>
    </cfRule>
  </conditionalFormatting>
  <conditionalFormatting sqref="F199">
    <cfRule type="dataBar" priority="188">
      <dataBar>
        <cfvo type="min"/>
        <cfvo type="max"/>
        <color rgb="FF638EC6"/>
      </dataBar>
      <extLst>
        <ext xmlns:x14="http://schemas.microsoft.com/office/spreadsheetml/2009/9/main" uri="{B025F937-C7B1-47D3-B67F-A62EFF666E3E}">
          <x14:id>{2009435F-E758-BF44-B74A-53477176E282}</x14:id>
        </ext>
      </extLst>
    </cfRule>
    <cfRule type="colorScale" priority="189">
      <colorScale>
        <cfvo type="min"/>
        <cfvo type="percentile" val="50"/>
        <cfvo type="max"/>
        <color rgb="FF63BE7B"/>
        <color rgb="FFFFEB84"/>
        <color rgb="FFF8696B"/>
      </colorScale>
    </cfRule>
  </conditionalFormatting>
  <conditionalFormatting sqref="F201">
    <cfRule type="dataBar" priority="186">
      <dataBar>
        <cfvo type="min"/>
        <cfvo type="max"/>
        <color rgb="FF638EC6"/>
      </dataBar>
      <extLst>
        <ext xmlns:x14="http://schemas.microsoft.com/office/spreadsheetml/2009/9/main" uri="{B025F937-C7B1-47D3-B67F-A62EFF666E3E}">
          <x14:id>{E4E1CAF7-1A3F-794E-9108-ADD56789033E}</x14:id>
        </ext>
      </extLst>
    </cfRule>
    <cfRule type="colorScale" priority="187">
      <colorScale>
        <cfvo type="min"/>
        <cfvo type="percentile" val="50"/>
        <cfvo type="max"/>
        <color rgb="FF63BE7B"/>
        <color rgb="FFFFEB84"/>
        <color rgb="FFF8696B"/>
      </colorScale>
    </cfRule>
  </conditionalFormatting>
  <conditionalFormatting sqref="F203">
    <cfRule type="dataBar" priority="184">
      <dataBar>
        <cfvo type="min"/>
        <cfvo type="max"/>
        <color rgb="FF638EC6"/>
      </dataBar>
      <extLst>
        <ext xmlns:x14="http://schemas.microsoft.com/office/spreadsheetml/2009/9/main" uri="{B025F937-C7B1-47D3-B67F-A62EFF666E3E}">
          <x14:id>{52C9F5EF-1103-0D47-B242-B5672E445C94}</x14:id>
        </ext>
      </extLst>
    </cfRule>
    <cfRule type="colorScale" priority="185">
      <colorScale>
        <cfvo type="min"/>
        <cfvo type="percentile" val="50"/>
        <cfvo type="max"/>
        <color rgb="FF63BE7B"/>
        <color rgb="FFFFEB84"/>
        <color rgb="FFF8696B"/>
      </colorScale>
    </cfRule>
  </conditionalFormatting>
  <conditionalFormatting sqref="F205">
    <cfRule type="dataBar" priority="182">
      <dataBar>
        <cfvo type="min"/>
        <cfvo type="max"/>
        <color rgb="FF638EC6"/>
      </dataBar>
      <extLst>
        <ext xmlns:x14="http://schemas.microsoft.com/office/spreadsheetml/2009/9/main" uri="{B025F937-C7B1-47D3-B67F-A62EFF666E3E}">
          <x14:id>{A2913484-3F3E-9046-B416-B411FADC3593}</x14:id>
        </ext>
      </extLst>
    </cfRule>
    <cfRule type="colorScale" priority="183">
      <colorScale>
        <cfvo type="min"/>
        <cfvo type="percentile" val="50"/>
        <cfvo type="max"/>
        <color rgb="FF63BE7B"/>
        <color rgb="FFFFEB84"/>
        <color rgb="FFF8696B"/>
      </colorScale>
    </cfRule>
  </conditionalFormatting>
  <conditionalFormatting sqref="F207">
    <cfRule type="dataBar" priority="180">
      <dataBar>
        <cfvo type="min"/>
        <cfvo type="max"/>
        <color rgb="FF638EC6"/>
      </dataBar>
      <extLst>
        <ext xmlns:x14="http://schemas.microsoft.com/office/spreadsheetml/2009/9/main" uri="{B025F937-C7B1-47D3-B67F-A62EFF666E3E}">
          <x14:id>{775682CB-C5FE-EF40-B231-0EC67EAF9B27}</x14:id>
        </ext>
      </extLst>
    </cfRule>
    <cfRule type="colorScale" priority="181">
      <colorScale>
        <cfvo type="min"/>
        <cfvo type="percentile" val="50"/>
        <cfvo type="max"/>
        <color rgb="FF63BE7B"/>
        <color rgb="FFFFEB84"/>
        <color rgb="FFF8696B"/>
      </colorScale>
    </cfRule>
  </conditionalFormatting>
  <conditionalFormatting sqref="G198">
    <cfRule type="dataBar" priority="178">
      <dataBar>
        <cfvo type="min"/>
        <cfvo type="max"/>
        <color rgb="FF638EC6"/>
      </dataBar>
      <extLst>
        <ext xmlns:x14="http://schemas.microsoft.com/office/spreadsheetml/2009/9/main" uri="{B025F937-C7B1-47D3-B67F-A62EFF666E3E}">
          <x14:id>{FEC52D04-F360-C546-AB98-5277046A4A3A}</x14:id>
        </ext>
      </extLst>
    </cfRule>
    <cfRule type="colorScale" priority="179">
      <colorScale>
        <cfvo type="min"/>
        <cfvo type="percentile" val="50"/>
        <cfvo type="max"/>
        <color rgb="FF63BE7B"/>
        <color rgb="FFFFEB84"/>
        <color rgb="FFF8696B"/>
      </colorScale>
    </cfRule>
  </conditionalFormatting>
  <conditionalFormatting sqref="G200">
    <cfRule type="dataBar" priority="176">
      <dataBar>
        <cfvo type="min"/>
        <cfvo type="max"/>
        <color rgb="FF638EC6"/>
      </dataBar>
      <extLst>
        <ext xmlns:x14="http://schemas.microsoft.com/office/spreadsheetml/2009/9/main" uri="{B025F937-C7B1-47D3-B67F-A62EFF666E3E}">
          <x14:id>{4DD0D0DD-B7C1-954B-A023-BE2F48F068BE}</x14:id>
        </ext>
      </extLst>
    </cfRule>
    <cfRule type="colorScale" priority="177">
      <colorScale>
        <cfvo type="min"/>
        <cfvo type="percentile" val="50"/>
        <cfvo type="max"/>
        <color rgb="FF63BE7B"/>
        <color rgb="FFFFEB84"/>
        <color rgb="FFF8696B"/>
      </colorScale>
    </cfRule>
  </conditionalFormatting>
  <conditionalFormatting sqref="G202">
    <cfRule type="dataBar" priority="174">
      <dataBar>
        <cfvo type="min"/>
        <cfvo type="max"/>
        <color rgb="FF638EC6"/>
      </dataBar>
      <extLst>
        <ext xmlns:x14="http://schemas.microsoft.com/office/spreadsheetml/2009/9/main" uri="{B025F937-C7B1-47D3-B67F-A62EFF666E3E}">
          <x14:id>{5A2276A9-1EA8-5D49-8D91-A6ADB12E4A22}</x14:id>
        </ext>
      </extLst>
    </cfRule>
    <cfRule type="colorScale" priority="175">
      <colorScale>
        <cfvo type="min"/>
        <cfvo type="percentile" val="50"/>
        <cfvo type="max"/>
        <color rgb="FF63BE7B"/>
        <color rgb="FFFFEB84"/>
        <color rgb="FFF8696B"/>
      </colorScale>
    </cfRule>
  </conditionalFormatting>
  <conditionalFormatting sqref="G204">
    <cfRule type="dataBar" priority="172">
      <dataBar>
        <cfvo type="min"/>
        <cfvo type="max"/>
        <color rgb="FF638EC6"/>
      </dataBar>
      <extLst>
        <ext xmlns:x14="http://schemas.microsoft.com/office/spreadsheetml/2009/9/main" uri="{B025F937-C7B1-47D3-B67F-A62EFF666E3E}">
          <x14:id>{4819F9A3-8DEE-4743-A7C2-4AAC21F73505}</x14:id>
        </ext>
      </extLst>
    </cfRule>
    <cfRule type="colorScale" priority="173">
      <colorScale>
        <cfvo type="min"/>
        <cfvo type="percentile" val="50"/>
        <cfvo type="max"/>
        <color rgb="FF63BE7B"/>
        <color rgb="FFFFEB84"/>
        <color rgb="FFF8696B"/>
      </colorScale>
    </cfRule>
  </conditionalFormatting>
  <conditionalFormatting sqref="G206">
    <cfRule type="dataBar" priority="170">
      <dataBar>
        <cfvo type="min"/>
        <cfvo type="max"/>
        <color rgb="FF638EC6"/>
      </dataBar>
      <extLst>
        <ext xmlns:x14="http://schemas.microsoft.com/office/spreadsheetml/2009/9/main" uri="{B025F937-C7B1-47D3-B67F-A62EFF666E3E}">
          <x14:id>{47088D37-3396-3848-BE4D-41DB7302B859}</x14:id>
        </ext>
      </extLst>
    </cfRule>
    <cfRule type="colorScale" priority="171">
      <colorScale>
        <cfvo type="min"/>
        <cfvo type="percentile" val="50"/>
        <cfvo type="max"/>
        <color rgb="FF63BE7B"/>
        <color rgb="FFFFEB84"/>
        <color rgb="FFF8696B"/>
      </colorScale>
    </cfRule>
  </conditionalFormatting>
  <conditionalFormatting sqref="G208">
    <cfRule type="dataBar" priority="168">
      <dataBar>
        <cfvo type="min"/>
        <cfvo type="max"/>
        <color rgb="FF638EC6"/>
      </dataBar>
      <extLst>
        <ext xmlns:x14="http://schemas.microsoft.com/office/spreadsheetml/2009/9/main" uri="{B025F937-C7B1-47D3-B67F-A62EFF666E3E}">
          <x14:id>{A7B4F01D-A4BC-F348-A1F2-9A5EB871CB5C}</x14:id>
        </ext>
      </extLst>
    </cfRule>
    <cfRule type="colorScale" priority="169">
      <colorScale>
        <cfvo type="min"/>
        <cfvo type="percentile" val="50"/>
        <cfvo type="max"/>
        <color rgb="FF63BE7B"/>
        <color rgb="FFFFEB84"/>
        <color rgb="FFF8696B"/>
      </colorScale>
    </cfRule>
  </conditionalFormatting>
  <conditionalFormatting sqref="H197">
    <cfRule type="dataBar" priority="166">
      <dataBar>
        <cfvo type="min"/>
        <cfvo type="max"/>
        <color rgb="FF638EC6"/>
      </dataBar>
      <extLst>
        <ext xmlns:x14="http://schemas.microsoft.com/office/spreadsheetml/2009/9/main" uri="{B025F937-C7B1-47D3-B67F-A62EFF666E3E}">
          <x14:id>{B75186EE-84F7-5E43-8AB9-740936DF4A41}</x14:id>
        </ext>
      </extLst>
    </cfRule>
    <cfRule type="colorScale" priority="167">
      <colorScale>
        <cfvo type="min"/>
        <cfvo type="percentile" val="50"/>
        <cfvo type="max"/>
        <color rgb="FF63BE7B"/>
        <color rgb="FFFFEB84"/>
        <color rgb="FFF8696B"/>
      </colorScale>
    </cfRule>
  </conditionalFormatting>
  <conditionalFormatting sqref="H199">
    <cfRule type="dataBar" priority="164">
      <dataBar>
        <cfvo type="min"/>
        <cfvo type="max"/>
        <color rgb="FF638EC6"/>
      </dataBar>
      <extLst>
        <ext xmlns:x14="http://schemas.microsoft.com/office/spreadsheetml/2009/9/main" uri="{B025F937-C7B1-47D3-B67F-A62EFF666E3E}">
          <x14:id>{3EE80636-95EE-DE4B-AD7E-344BAF2CC8AD}</x14:id>
        </ext>
      </extLst>
    </cfRule>
    <cfRule type="colorScale" priority="165">
      <colorScale>
        <cfvo type="min"/>
        <cfvo type="percentile" val="50"/>
        <cfvo type="max"/>
        <color rgb="FF63BE7B"/>
        <color rgb="FFFFEB84"/>
        <color rgb="FFF8696B"/>
      </colorScale>
    </cfRule>
  </conditionalFormatting>
  <conditionalFormatting sqref="H201">
    <cfRule type="dataBar" priority="162">
      <dataBar>
        <cfvo type="min"/>
        <cfvo type="max"/>
        <color rgb="FF638EC6"/>
      </dataBar>
      <extLst>
        <ext xmlns:x14="http://schemas.microsoft.com/office/spreadsheetml/2009/9/main" uri="{B025F937-C7B1-47D3-B67F-A62EFF666E3E}">
          <x14:id>{FB482323-7F82-1A49-A026-51808E78299C}</x14:id>
        </ext>
      </extLst>
    </cfRule>
    <cfRule type="colorScale" priority="163">
      <colorScale>
        <cfvo type="min"/>
        <cfvo type="percentile" val="50"/>
        <cfvo type="max"/>
        <color rgb="FF63BE7B"/>
        <color rgb="FFFFEB84"/>
        <color rgb="FFF8696B"/>
      </colorScale>
    </cfRule>
  </conditionalFormatting>
  <conditionalFormatting sqref="H203">
    <cfRule type="dataBar" priority="160">
      <dataBar>
        <cfvo type="min"/>
        <cfvo type="max"/>
        <color rgb="FF638EC6"/>
      </dataBar>
      <extLst>
        <ext xmlns:x14="http://schemas.microsoft.com/office/spreadsheetml/2009/9/main" uri="{B025F937-C7B1-47D3-B67F-A62EFF666E3E}">
          <x14:id>{08246B76-2608-CD41-95EE-3B517A6B5EF3}</x14:id>
        </ext>
      </extLst>
    </cfRule>
    <cfRule type="colorScale" priority="161">
      <colorScale>
        <cfvo type="min"/>
        <cfvo type="percentile" val="50"/>
        <cfvo type="max"/>
        <color rgb="FF63BE7B"/>
        <color rgb="FFFFEB84"/>
        <color rgb="FFF8696B"/>
      </colorScale>
    </cfRule>
  </conditionalFormatting>
  <conditionalFormatting sqref="H205">
    <cfRule type="dataBar" priority="158">
      <dataBar>
        <cfvo type="min"/>
        <cfvo type="max"/>
        <color rgb="FF638EC6"/>
      </dataBar>
      <extLst>
        <ext xmlns:x14="http://schemas.microsoft.com/office/spreadsheetml/2009/9/main" uri="{B025F937-C7B1-47D3-B67F-A62EFF666E3E}">
          <x14:id>{0D22C30B-20E9-8248-A13E-B40217C7F734}</x14:id>
        </ext>
      </extLst>
    </cfRule>
    <cfRule type="colorScale" priority="159">
      <colorScale>
        <cfvo type="min"/>
        <cfvo type="percentile" val="50"/>
        <cfvo type="max"/>
        <color rgb="FF63BE7B"/>
        <color rgb="FFFFEB84"/>
        <color rgb="FFF8696B"/>
      </colorScale>
    </cfRule>
  </conditionalFormatting>
  <conditionalFormatting sqref="H207">
    <cfRule type="dataBar" priority="156">
      <dataBar>
        <cfvo type="min"/>
        <cfvo type="max"/>
        <color rgb="FF638EC6"/>
      </dataBar>
      <extLst>
        <ext xmlns:x14="http://schemas.microsoft.com/office/spreadsheetml/2009/9/main" uri="{B025F937-C7B1-47D3-B67F-A62EFF666E3E}">
          <x14:id>{E1A7CB60-5ECB-5E4D-943E-A5D267593B3C}</x14:id>
        </ext>
      </extLst>
    </cfRule>
    <cfRule type="colorScale" priority="157">
      <colorScale>
        <cfvo type="min"/>
        <cfvo type="percentile" val="50"/>
        <cfvo type="max"/>
        <color rgb="FF63BE7B"/>
        <color rgb="FFFFEB84"/>
        <color rgb="FFF8696B"/>
      </colorScale>
    </cfRule>
  </conditionalFormatting>
  <conditionalFormatting sqref="H209">
    <cfRule type="dataBar" priority="154">
      <dataBar>
        <cfvo type="min"/>
        <cfvo type="max"/>
        <color rgb="FF638EC6"/>
      </dataBar>
      <extLst>
        <ext xmlns:x14="http://schemas.microsoft.com/office/spreadsheetml/2009/9/main" uri="{B025F937-C7B1-47D3-B67F-A62EFF666E3E}">
          <x14:id>{6C77E020-4688-5D46-940D-73F89CA9C666}</x14:id>
        </ext>
      </extLst>
    </cfRule>
    <cfRule type="colorScale" priority="155">
      <colorScale>
        <cfvo type="min"/>
        <cfvo type="percentile" val="50"/>
        <cfvo type="max"/>
        <color rgb="FF63BE7B"/>
        <color rgb="FFFFEB84"/>
        <color rgb="FFF8696B"/>
      </colorScale>
    </cfRule>
  </conditionalFormatting>
  <conditionalFormatting sqref="I196">
    <cfRule type="dataBar" priority="152">
      <dataBar>
        <cfvo type="min"/>
        <cfvo type="max"/>
        <color rgb="FF638EC6"/>
      </dataBar>
      <extLst>
        <ext xmlns:x14="http://schemas.microsoft.com/office/spreadsheetml/2009/9/main" uri="{B025F937-C7B1-47D3-B67F-A62EFF666E3E}">
          <x14:id>{B5BFFBC1-C5DD-0E47-9561-89CBB7B9971E}</x14:id>
        </ext>
      </extLst>
    </cfRule>
    <cfRule type="colorScale" priority="153">
      <colorScale>
        <cfvo type="min"/>
        <cfvo type="percentile" val="50"/>
        <cfvo type="max"/>
        <color rgb="FF63BE7B"/>
        <color rgb="FFFFEB84"/>
        <color rgb="FFF8696B"/>
      </colorScale>
    </cfRule>
  </conditionalFormatting>
  <conditionalFormatting sqref="I198">
    <cfRule type="dataBar" priority="150">
      <dataBar>
        <cfvo type="min"/>
        <cfvo type="max"/>
        <color rgb="FF638EC6"/>
      </dataBar>
      <extLst>
        <ext xmlns:x14="http://schemas.microsoft.com/office/spreadsheetml/2009/9/main" uri="{B025F937-C7B1-47D3-B67F-A62EFF666E3E}">
          <x14:id>{13F3BCB9-8DEC-4D45-A947-327629F6A337}</x14:id>
        </ext>
      </extLst>
    </cfRule>
    <cfRule type="colorScale" priority="151">
      <colorScale>
        <cfvo type="min"/>
        <cfvo type="percentile" val="50"/>
        <cfvo type="max"/>
        <color rgb="FF63BE7B"/>
        <color rgb="FFFFEB84"/>
        <color rgb="FFF8696B"/>
      </colorScale>
    </cfRule>
  </conditionalFormatting>
  <conditionalFormatting sqref="I200">
    <cfRule type="dataBar" priority="148">
      <dataBar>
        <cfvo type="min"/>
        <cfvo type="max"/>
        <color rgb="FF638EC6"/>
      </dataBar>
      <extLst>
        <ext xmlns:x14="http://schemas.microsoft.com/office/spreadsheetml/2009/9/main" uri="{B025F937-C7B1-47D3-B67F-A62EFF666E3E}">
          <x14:id>{E4326BDB-0CBB-0445-B031-A9EF8561EE74}</x14:id>
        </ext>
      </extLst>
    </cfRule>
    <cfRule type="colorScale" priority="149">
      <colorScale>
        <cfvo type="min"/>
        <cfvo type="percentile" val="50"/>
        <cfvo type="max"/>
        <color rgb="FF63BE7B"/>
        <color rgb="FFFFEB84"/>
        <color rgb="FFF8696B"/>
      </colorScale>
    </cfRule>
  </conditionalFormatting>
  <conditionalFormatting sqref="I202">
    <cfRule type="dataBar" priority="146">
      <dataBar>
        <cfvo type="min"/>
        <cfvo type="max"/>
        <color rgb="FF638EC6"/>
      </dataBar>
      <extLst>
        <ext xmlns:x14="http://schemas.microsoft.com/office/spreadsheetml/2009/9/main" uri="{B025F937-C7B1-47D3-B67F-A62EFF666E3E}">
          <x14:id>{9B0304BC-11F0-8345-A3E1-02E7E2532C47}</x14:id>
        </ext>
      </extLst>
    </cfRule>
    <cfRule type="colorScale" priority="147">
      <colorScale>
        <cfvo type="min"/>
        <cfvo type="percentile" val="50"/>
        <cfvo type="max"/>
        <color rgb="FF63BE7B"/>
        <color rgb="FFFFEB84"/>
        <color rgb="FFF8696B"/>
      </colorScale>
    </cfRule>
  </conditionalFormatting>
  <conditionalFormatting sqref="I204">
    <cfRule type="dataBar" priority="144">
      <dataBar>
        <cfvo type="min"/>
        <cfvo type="max"/>
        <color rgb="FF638EC6"/>
      </dataBar>
      <extLst>
        <ext xmlns:x14="http://schemas.microsoft.com/office/spreadsheetml/2009/9/main" uri="{B025F937-C7B1-47D3-B67F-A62EFF666E3E}">
          <x14:id>{C6B58C5F-77B8-A34A-B206-C9481864834E}</x14:id>
        </ext>
      </extLst>
    </cfRule>
    <cfRule type="colorScale" priority="145">
      <colorScale>
        <cfvo type="min"/>
        <cfvo type="percentile" val="50"/>
        <cfvo type="max"/>
        <color rgb="FF63BE7B"/>
        <color rgb="FFFFEB84"/>
        <color rgb="FFF8696B"/>
      </colorScale>
    </cfRule>
  </conditionalFormatting>
  <conditionalFormatting sqref="I206">
    <cfRule type="dataBar" priority="142">
      <dataBar>
        <cfvo type="min"/>
        <cfvo type="max"/>
        <color rgb="FF638EC6"/>
      </dataBar>
      <extLst>
        <ext xmlns:x14="http://schemas.microsoft.com/office/spreadsheetml/2009/9/main" uri="{B025F937-C7B1-47D3-B67F-A62EFF666E3E}">
          <x14:id>{A169FCFD-565C-FE4D-9D6A-930A8BDBDF07}</x14:id>
        </ext>
      </extLst>
    </cfRule>
    <cfRule type="colorScale" priority="143">
      <colorScale>
        <cfvo type="min"/>
        <cfvo type="percentile" val="50"/>
        <cfvo type="max"/>
        <color rgb="FF63BE7B"/>
        <color rgb="FFFFEB84"/>
        <color rgb="FFF8696B"/>
      </colorScale>
    </cfRule>
  </conditionalFormatting>
  <conditionalFormatting sqref="I208">
    <cfRule type="dataBar" priority="140">
      <dataBar>
        <cfvo type="min"/>
        <cfvo type="max"/>
        <color rgb="FF638EC6"/>
      </dataBar>
      <extLst>
        <ext xmlns:x14="http://schemas.microsoft.com/office/spreadsheetml/2009/9/main" uri="{B025F937-C7B1-47D3-B67F-A62EFF666E3E}">
          <x14:id>{27402FED-94E4-EA4D-AD27-11F4BDCD7E75}</x14:id>
        </ext>
      </extLst>
    </cfRule>
    <cfRule type="colorScale" priority="141">
      <colorScale>
        <cfvo type="min"/>
        <cfvo type="percentile" val="50"/>
        <cfvo type="max"/>
        <color rgb="FF63BE7B"/>
        <color rgb="FFFFEB84"/>
        <color rgb="FFF8696B"/>
      </colorScale>
    </cfRule>
  </conditionalFormatting>
  <conditionalFormatting sqref="I210">
    <cfRule type="dataBar" priority="138">
      <dataBar>
        <cfvo type="min"/>
        <cfvo type="max"/>
        <color rgb="FF638EC6"/>
      </dataBar>
      <extLst>
        <ext xmlns:x14="http://schemas.microsoft.com/office/spreadsheetml/2009/9/main" uri="{B025F937-C7B1-47D3-B67F-A62EFF666E3E}">
          <x14:id>{09C43DAB-57FB-034C-A608-88202A0DE1A3}</x14:id>
        </ext>
      </extLst>
    </cfRule>
    <cfRule type="colorScale" priority="139">
      <colorScale>
        <cfvo type="min"/>
        <cfvo type="percentile" val="50"/>
        <cfvo type="max"/>
        <color rgb="FF63BE7B"/>
        <color rgb="FFFFEB84"/>
        <color rgb="FFF8696B"/>
      </colorScale>
    </cfRule>
  </conditionalFormatting>
  <conditionalFormatting sqref="J211">
    <cfRule type="dataBar" priority="136">
      <dataBar>
        <cfvo type="min"/>
        <cfvo type="max"/>
        <color rgb="FF638EC6"/>
      </dataBar>
      <extLst>
        <ext xmlns:x14="http://schemas.microsoft.com/office/spreadsheetml/2009/9/main" uri="{B025F937-C7B1-47D3-B67F-A62EFF666E3E}">
          <x14:id>{7CEA69E9-3335-7B4B-BE45-12E09BC0D376}</x14:id>
        </ext>
      </extLst>
    </cfRule>
    <cfRule type="colorScale" priority="137">
      <colorScale>
        <cfvo type="min"/>
        <cfvo type="percentile" val="50"/>
        <cfvo type="max"/>
        <color rgb="FF63BE7B"/>
        <color rgb="FFFFEB84"/>
        <color rgb="FFF8696B"/>
      </colorScale>
    </cfRule>
  </conditionalFormatting>
  <conditionalFormatting sqref="J209">
    <cfRule type="dataBar" priority="134">
      <dataBar>
        <cfvo type="min"/>
        <cfvo type="max"/>
        <color rgb="FF638EC6"/>
      </dataBar>
      <extLst>
        <ext xmlns:x14="http://schemas.microsoft.com/office/spreadsheetml/2009/9/main" uri="{B025F937-C7B1-47D3-B67F-A62EFF666E3E}">
          <x14:id>{ED553A1F-1D5B-7043-A43F-FB254479C35C}</x14:id>
        </ext>
      </extLst>
    </cfRule>
    <cfRule type="colorScale" priority="135">
      <colorScale>
        <cfvo type="min"/>
        <cfvo type="percentile" val="50"/>
        <cfvo type="max"/>
        <color rgb="FF63BE7B"/>
        <color rgb="FFFFEB84"/>
        <color rgb="FFF8696B"/>
      </colorScale>
    </cfRule>
  </conditionalFormatting>
  <conditionalFormatting sqref="J207">
    <cfRule type="dataBar" priority="132">
      <dataBar>
        <cfvo type="min"/>
        <cfvo type="max"/>
        <color rgb="FF638EC6"/>
      </dataBar>
      <extLst>
        <ext xmlns:x14="http://schemas.microsoft.com/office/spreadsheetml/2009/9/main" uri="{B025F937-C7B1-47D3-B67F-A62EFF666E3E}">
          <x14:id>{E8C391DB-FB33-BE4C-BA85-27BCE10CC192}</x14:id>
        </ext>
      </extLst>
    </cfRule>
    <cfRule type="colorScale" priority="133">
      <colorScale>
        <cfvo type="min"/>
        <cfvo type="percentile" val="50"/>
        <cfvo type="max"/>
        <color rgb="FF63BE7B"/>
        <color rgb="FFFFEB84"/>
        <color rgb="FFF8696B"/>
      </colorScale>
    </cfRule>
  </conditionalFormatting>
  <conditionalFormatting sqref="J205">
    <cfRule type="dataBar" priority="130">
      <dataBar>
        <cfvo type="min"/>
        <cfvo type="max"/>
        <color rgb="FF638EC6"/>
      </dataBar>
      <extLst>
        <ext xmlns:x14="http://schemas.microsoft.com/office/spreadsheetml/2009/9/main" uri="{B025F937-C7B1-47D3-B67F-A62EFF666E3E}">
          <x14:id>{63880209-B98A-474D-8A1B-4A3BEA832E8A}</x14:id>
        </ext>
      </extLst>
    </cfRule>
    <cfRule type="colorScale" priority="131">
      <colorScale>
        <cfvo type="min"/>
        <cfvo type="percentile" val="50"/>
        <cfvo type="max"/>
        <color rgb="FF63BE7B"/>
        <color rgb="FFFFEB84"/>
        <color rgb="FFF8696B"/>
      </colorScale>
    </cfRule>
  </conditionalFormatting>
  <conditionalFormatting sqref="J203">
    <cfRule type="dataBar" priority="128">
      <dataBar>
        <cfvo type="min"/>
        <cfvo type="max"/>
        <color rgb="FF638EC6"/>
      </dataBar>
      <extLst>
        <ext xmlns:x14="http://schemas.microsoft.com/office/spreadsheetml/2009/9/main" uri="{B025F937-C7B1-47D3-B67F-A62EFF666E3E}">
          <x14:id>{810C2226-922E-5140-A2DD-B1E258D5F506}</x14:id>
        </ext>
      </extLst>
    </cfRule>
    <cfRule type="colorScale" priority="129">
      <colorScale>
        <cfvo type="min"/>
        <cfvo type="percentile" val="50"/>
        <cfvo type="max"/>
        <color rgb="FF63BE7B"/>
        <color rgb="FFFFEB84"/>
        <color rgb="FFF8696B"/>
      </colorScale>
    </cfRule>
  </conditionalFormatting>
  <conditionalFormatting sqref="J201">
    <cfRule type="dataBar" priority="126">
      <dataBar>
        <cfvo type="min"/>
        <cfvo type="max"/>
        <color rgb="FF638EC6"/>
      </dataBar>
      <extLst>
        <ext xmlns:x14="http://schemas.microsoft.com/office/spreadsheetml/2009/9/main" uri="{B025F937-C7B1-47D3-B67F-A62EFF666E3E}">
          <x14:id>{86D3D407-B71D-174A-B4A3-25D2DE6F016B}</x14:id>
        </ext>
      </extLst>
    </cfRule>
    <cfRule type="colorScale" priority="127">
      <colorScale>
        <cfvo type="min"/>
        <cfvo type="percentile" val="50"/>
        <cfvo type="max"/>
        <color rgb="FF63BE7B"/>
        <color rgb="FFFFEB84"/>
        <color rgb="FFF8696B"/>
      </colorScale>
    </cfRule>
  </conditionalFormatting>
  <conditionalFormatting sqref="J199">
    <cfRule type="dataBar" priority="124">
      <dataBar>
        <cfvo type="min"/>
        <cfvo type="max"/>
        <color rgb="FF638EC6"/>
      </dataBar>
      <extLst>
        <ext xmlns:x14="http://schemas.microsoft.com/office/spreadsheetml/2009/9/main" uri="{B025F937-C7B1-47D3-B67F-A62EFF666E3E}">
          <x14:id>{0C616630-0FF5-1F49-9C21-CB9FD6489908}</x14:id>
        </ext>
      </extLst>
    </cfRule>
    <cfRule type="colorScale" priority="125">
      <colorScale>
        <cfvo type="min"/>
        <cfvo type="percentile" val="50"/>
        <cfvo type="max"/>
        <color rgb="FF63BE7B"/>
        <color rgb="FFFFEB84"/>
        <color rgb="FFF8696B"/>
      </colorScale>
    </cfRule>
  </conditionalFormatting>
  <conditionalFormatting sqref="J197">
    <cfRule type="dataBar" priority="122">
      <dataBar>
        <cfvo type="min"/>
        <cfvo type="max"/>
        <color rgb="FF638EC6"/>
      </dataBar>
      <extLst>
        <ext xmlns:x14="http://schemas.microsoft.com/office/spreadsheetml/2009/9/main" uri="{B025F937-C7B1-47D3-B67F-A62EFF666E3E}">
          <x14:id>{B4568514-3AFB-F949-88DF-380FF4166340}</x14:id>
        </ext>
      </extLst>
    </cfRule>
    <cfRule type="colorScale" priority="123">
      <colorScale>
        <cfvo type="min"/>
        <cfvo type="percentile" val="50"/>
        <cfvo type="max"/>
        <color rgb="FF63BE7B"/>
        <color rgb="FFFFEB84"/>
        <color rgb="FFF8696B"/>
      </colorScale>
    </cfRule>
  </conditionalFormatting>
  <conditionalFormatting sqref="J195">
    <cfRule type="dataBar" priority="120">
      <dataBar>
        <cfvo type="min"/>
        <cfvo type="max"/>
        <color rgb="FF638EC6"/>
      </dataBar>
      <extLst>
        <ext xmlns:x14="http://schemas.microsoft.com/office/spreadsheetml/2009/9/main" uri="{B025F937-C7B1-47D3-B67F-A62EFF666E3E}">
          <x14:id>{4E8BF4BB-5F5F-E549-A59F-CA197FB08802}</x14:id>
        </ext>
      </extLst>
    </cfRule>
    <cfRule type="colorScale" priority="121">
      <colorScale>
        <cfvo type="min"/>
        <cfvo type="percentile" val="50"/>
        <cfvo type="max"/>
        <color rgb="FF63BE7B"/>
        <color rgb="FFFFEB84"/>
        <color rgb="FFF8696B"/>
      </colorScale>
    </cfRule>
  </conditionalFormatting>
  <conditionalFormatting sqref="K194">
    <cfRule type="dataBar" priority="118">
      <dataBar>
        <cfvo type="min"/>
        <cfvo type="max"/>
        <color rgb="FF638EC6"/>
      </dataBar>
      <extLst>
        <ext xmlns:x14="http://schemas.microsoft.com/office/spreadsheetml/2009/9/main" uri="{B025F937-C7B1-47D3-B67F-A62EFF666E3E}">
          <x14:id>{D2B4F9BD-92E2-FB4E-9903-69BE1C4D0DE8}</x14:id>
        </ext>
      </extLst>
    </cfRule>
    <cfRule type="colorScale" priority="119">
      <colorScale>
        <cfvo type="min"/>
        <cfvo type="percentile" val="50"/>
        <cfvo type="max"/>
        <color rgb="FF63BE7B"/>
        <color rgb="FFFFEB84"/>
        <color rgb="FFF8696B"/>
      </colorScale>
    </cfRule>
  </conditionalFormatting>
  <conditionalFormatting sqref="K196">
    <cfRule type="dataBar" priority="116">
      <dataBar>
        <cfvo type="min"/>
        <cfvo type="max"/>
        <color rgb="FF638EC6"/>
      </dataBar>
      <extLst>
        <ext xmlns:x14="http://schemas.microsoft.com/office/spreadsheetml/2009/9/main" uri="{B025F937-C7B1-47D3-B67F-A62EFF666E3E}">
          <x14:id>{D000DBC6-EA03-AA4D-BBA9-B862B11F4E2B}</x14:id>
        </ext>
      </extLst>
    </cfRule>
    <cfRule type="colorScale" priority="117">
      <colorScale>
        <cfvo type="min"/>
        <cfvo type="percentile" val="50"/>
        <cfvo type="max"/>
        <color rgb="FF63BE7B"/>
        <color rgb="FFFFEB84"/>
        <color rgb="FFF8696B"/>
      </colorScale>
    </cfRule>
  </conditionalFormatting>
  <conditionalFormatting sqref="K198">
    <cfRule type="dataBar" priority="114">
      <dataBar>
        <cfvo type="min"/>
        <cfvo type="max"/>
        <color rgb="FF638EC6"/>
      </dataBar>
      <extLst>
        <ext xmlns:x14="http://schemas.microsoft.com/office/spreadsheetml/2009/9/main" uri="{B025F937-C7B1-47D3-B67F-A62EFF666E3E}">
          <x14:id>{AF4F423A-CBB0-8343-A559-84D56F4A3DEE}</x14:id>
        </ext>
      </extLst>
    </cfRule>
    <cfRule type="colorScale" priority="115">
      <colorScale>
        <cfvo type="min"/>
        <cfvo type="percentile" val="50"/>
        <cfvo type="max"/>
        <color rgb="FF63BE7B"/>
        <color rgb="FFFFEB84"/>
        <color rgb="FFF8696B"/>
      </colorScale>
    </cfRule>
  </conditionalFormatting>
  <conditionalFormatting sqref="K200">
    <cfRule type="dataBar" priority="112">
      <dataBar>
        <cfvo type="min"/>
        <cfvo type="max"/>
        <color rgb="FF638EC6"/>
      </dataBar>
      <extLst>
        <ext xmlns:x14="http://schemas.microsoft.com/office/spreadsheetml/2009/9/main" uri="{B025F937-C7B1-47D3-B67F-A62EFF666E3E}">
          <x14:id>{D09E674D-6BB0-8245-9544-ABC152CFDC2A}</x14:id>
        </ext>
      </extLst>
    </cfRule>
    <cfRule type="colorScale" priority="113">
      <colorScale>
        <cfvo type="min"/>
        <cfvo type="percentile" val="50"/>
        <cfvo type="max"/>
        <color rgb="FF63BE7B"/>
        <color rgb="FFFFEB84"/>
        <color rgb="FFF8696B"/>
      </colorScale>
    </cfRule>
  </conditionalFormatting>
  <conditionalFormatting sqref="K202">
    <cfRule type="dataBar" priority="110">
      <dataBar>
        <cfvo type="min"/>
        <cfvo type="max"/>
        <color rgb="FF638EC6"/>
      </dataBar>
      <extLst>
        <ext xmlns:x14="http://schemas.microsoft.com/office/spreadsheetml/2009/9/main" uri="{B025F937-C7B1-47D3-B67F-A62EFF666E3E}">
          <x14:id>{45ED0A29-2521-A545-8DCC-00AFB508888F}</x14:id>
        </ext>
      </extLst>
    </cfRule>
    <cfRule type="colorScale" priority="111">
      <colorScale>
        <cfvo type="min"/>
        <cfvo type="percentile" val="50"/>
        <cfvo type="max"/>
        <color rgb="FF63BE7B"/>
        <color rgb="FFFFEB84"/>
        <color rgb="FFF8696B"/>
      </colorScale>
    </cfRule>
  </conditionalFormatting>
  <conditionalFormatting sqref="K204">
    <cfRule type="dataBar" priority="108">
      <dataBar>
        <cfvo type="min"/>
        <cfvo type="max"/>
        <color rgb="FF638EC6"/>
      </dataBar>
      <extLst>
        <ext xmlns:x14="http://schemas.microsoft.com/office/spreadsheetml/2009/9/main" uri="{B025F937-C7B1-47D3-B67F-A62EFF666E3E}">
          <x14:id>{E2DF6B8F-8981-994B-84C1-1F8DFEAD3279}</x14:id>
        </ext>
      </extLst>
    </cfRule>
    <cfRule type="colorScale" priority="109">
      <colorScale>
        <cfvo type="min"/>
        <cfvo type="percentile" val="50"/>
        <cfvo type="max"/>
        <color rgb="FF63BE7B"/>
        <color rgb="FFFFEB84"/>
        <color rgb="FFF8696B"/>
      </colorScale>
    </cfRule>
  </conditionalFormatting>
  <conditionalFormatting sqref="K206">
    <cfRule type="dataBar" priority="106">
      <dataBar>
        <cfvo type="min"/>
        <cfvo type="max"/>
        <color rgb="FF638EC6"/>
      </dataBar>
      <extLst>
        <ext xmlns:x14="http://schemas.microsoft.com/office/spreadsheetml/2009/9/main" uri="{B025F937-C7B1-47D3-B67F-A62EFF666E3E}">
          <x14:id>{22E6194E-2184-0949-AD18-A3718FA36577}</x14:id>
        </ext>
      </extLst>
    </cfRule>
    <cfRule type="colorScale" priority="107">
      <colorScale>
        <cfvo type="min"/>
        <cfvo type="percentile" val="50"/>
        <cfvo type="max"/>
        <color rgb="FF63BE7B"/>
        <color rgb="FFFFEB84"/>
        <color rgb="FFF8696B"/>
      </colorScale>
    </cfRule>
  </conditionalFormatting>
  <conditionalFormatting sqref="K208">
    <cfRule type="dataBar" priority="104">
      <dataBar>
        <cfvo type="min"/>
        <cfvo type="max"/>
        <color rgb="FF638EC6"/>
      </dataBar>
      <extLst>
        <ext xmlns:x14="http://schemas.microsoft.com/office/spreadsheetml/2009/9/main" uri="{B025F937-C7B1-47D3-B67F-A62EFF666E3E}">
          <x14:id>{D43D52FB-6F75-D641-B9DA-A093ACFC0D71}</x14:id>
        </ext>
      </extLst>
    </cfRule>
    <cfRule type="colorScale" priority="105">
      <colorScale>
        <cfvo type="min"/>
        <cfvo type="percentile" val="50"/>
        <cfvo type="max"/>
        <color rgb="FF63BE7B"/>
        <color rgb="FFFFEB84"/>
        <color rgb="FFF8696B"/>
      </colorScale>
    </cfRule>
  </conditionalFormatting>
  <conditionalFormatting sqref="K210">
    <cfRule type="dataBar" priority="102">
      <dataBar>
        <cfvo type="min"/>
        <cfvo type="max"/>
        <color rgb="FF638EC6"/>
      </dataBar>
      <extLst>
        <ext xmlns:x14="http://schemas.microsoft.com/office/spreadsheetml/2009/9/main" uri="{B025F937-C7B1-47D3-B67F-A62EFF666E3E}">
          <x14:id>{0A4B0F57-0130-E04E-B9C8-FFAB0CFF7606}</x14:id>
        </ext>
      </extLst>
    </cfRule>
    <cfRule type="colorScale" priority="103">
      <colorScale>
        <cfvo type="min"/>
        <cfvo type="percentile" val="50"/>
        <cfvo type="max"/>
        <color rgb="FF63BE7B"/>
        <color rgb="FFFFEB84"/>
        <color rgb="FFF8696B"/>
      </colorScale>
    </cfRule>
  </conditionalFormatting>
  <conditionalFormatting sqref="K212">
    <cfRule type="dataBar" priority="100">
      <dataBar>
        <cfvo type="min"/>
        <cfvo type="max"/>
        <color rgb="FF638EC6"/>
      </dataBar>
      <extLst>
        <ext xmlns:x14="http://schemas.microsoft.com/office/spreadsheetml/2009/9/main" uri="{B025F937-C7B1-47D3-B67F-A62EFF666E3E}">
          <x14:id>{B9015FDB-AAA2-CF4E-A59B-4B5DE29DD382}</x14:id>
        </ext>
      </extLst>
    </cfRule>
    <cfRule type="colorScale" priority="101">
      <colorScale>
        <cfvo type="min"/>
        <cfvo type="percentile" val="50"/>
        <cfvo type="max"/>
        <color rgb="FF63BE7B"/>
        <color rgb="FFFFEB84"/>
        <color rgb="FFF8696B"/>
      </colorScale>
    </cfRule>
  </conditionalFormatting>
  <conditionalFormatting sqref="E163">
    <cfRule type="colorScale" priority="99">
      <colorScale>
        <cfvo type="min"/>
        <cfvo type="percentile" val="50"/>
        <cfvo type="max"/>
        <color rgb="FF63BE7B"/>
        <color rgb="FFFFEB84"/>
        <color rgb="FFF8696B"/>
      </colorScale>
    </cfRule>
  </conditionalFormatting>
  <conditionalFormatting sqref="E163">
    <cfRule type="colorScale" priority="98">
      <colorScale>
        <cfvo type="min"/>
        <cfvo type="percentile" val="50"/>
        <cfvo type="max"/>
        <color rgb="FF63BE7B"/>
        <color rgb="FFFFEB84"/>
        <color rgb="FFF8696B"/>
      </colorScale>
    </cfRule>
  </conditionalFormatting>
  <conditionalFormatting sqref="E163">
    <cfRule type="colorScale" priority="97">
      <colorScale>
        <cfvo type="min"/>
        <cfvo type="percentile" val="50"/>
        <cfvo type="max"/>
        <color rgb="FF63BE7B"/>
        <color rgb="FFFFEB84"/>
        <color rgb="FFF8696B"/>
      </colorScale>
    </cfRule>
  </conditionalFormatting>
  <conditionalFormatting sqref="M214 M212 M210 M208 M206 M204 M202 M200 M198 M196 M194 M192">
    <cfRule type="dataBar" priority="95">
      <dataBar>
        <cfvo type="min"/>
        <cfvo type="max"/>
        <color rgb="FF638EC6"/>
      </dataBar>
      <extLst>
        <ext xmlns:x14="http://schemas.microsoft.com/office/spreadsheetml/2009/9/main" uri="{B025F937-C7B1-47D3-B67F-A62EFF666E3E}">
          <x14:id>{32551B22-D53C-C145-AF8F-18A7062CD991}</x14:id>
        </ext>
      </extLst>
    </cfRule>
    <cfRule type="colorScale" priority="96">
      <colorScale>
        <cfvo type="min"/>
        <cfvo type="percentile" val="50"/>
        <cfvo type="max"/>
        <color rgb="FF63BE7B"/>
        <color rgb="FFFFEB84"/>
        <color rgb="FFF8696B"/>
      </colorScale>
    </cfRule>
  </conditionalFormatting>
  <conditionalFormatting sqref="N215 N213 N211 N209 N207 N205 N203 N201 N199 N197 N195 N193 N191">
    <cfRule type="dataBar" priority="93">
      <dataBar>
        <cfvo type="min"/>
        <cfvo type="max"/>
        <color rgb="FF638EC6"/>
      </dataBar>
      <extLst>
        <ext xmlns:x14="http://schemas.microsoft.com/office/spreadsheetml/2009/9/main" uri="{B025F937-C7B1-47D3-B67F-A62EFF666E3E}">
          <x14:id>{E20A5625-8A5E-5E42-96D3-4DEF5C8ECEFB}</x14:id>
        </ext>
      </extLst>
    </cfRule>
    <cfRule type="colorScale" priority="94">
      <colorScale>
        <cfvo type="min"/>
        <cfvo type="percentile" val="50"/>
        <cfvo type="max"/>
        <color rgb="FF63BE7B"/>
        <color rgb="FFFFEB84"/>
        <color rgb="FFF8696B"/>
      </colorScale>
    </cfRule>
  </conditionalFormatting>
  <conditionalFormatting sqref="O216 O214 O212 O210 O208 O206 O204 O202 O200 O198 O196 O194 O192 O190">
    <cfRule type="dataBar" priority="91">
      <dataBar>
        <cfvo type="min"/>
        <cfvo type="max"/>
        <color rgb="FF638EC6"/>
      </dataBar>
      <extLst>
        <ext xmlns:x14="http://schemas.microsoft.com/office/spreadsheetml/2009/9/main" uri="{B025F937-C7B1-47D3-B67F-A62EFF666E3E}">
          <x14:id>{7DFAF82A-7F4A-D943-A5AC-3FE2DFB3E10B}</x14:id>
        </ext>
      </extLst>
    </cfRule>
    <cfRule type="colorScale" priority="92">
      <colorScale>
        <cfvo type="min"/>
        <cfvo type="percentile" val="50"/>
        <cfvo type="max"/>
        <color rgb="FF63BE7B"/>
        <color rgb="FFFFEB84"/>
        <color rgb="FFF8696B"/>
      </colorScale>
    </cfRule>
  </conditionalFormatting>
  <conditionalFormatting sqref="Q188">
    <cfRule type="dataBar" priority="89">
      <dataBar>
        <cfvo type="min"/>
        <cfvo type="max"/>
        <color rgb="FF638EC6"/>
      </dataBar>
      <extLst>
        <ext xmlns:x14="http://schemas.microsoft.com/office/spreadsheetml/2009/9/main" uri="{B025F937-C7B1-47D3-B67F-A62EFF666E3E}">
          <x14:id>{1BD595B7-E506-E14E-8B18-5745A7260804}</x14:id>
        </ext>
      </extLst>
    </cfRule>
    <cfRule type="colorScale" priority="90">
      <colorScale>
        <cfvo type="min"/>
        <cfvo type="percentile" val="50"/>
        <cfvo type="max"/>
        <color rgb="FF63BE7B"/>
        <color rgb="FFFFEB84"/>
        <color rgb="FFF8696B"/>
      </colorScale>
    </cfRule>
  </conditionalFormatting>
  <conditionalFormatting sqref="Q190">
    <cfRule type="dataBar" priority="87">
      <dataBar>
        <cfvo type="min"/>
        <cfvo type="max"/>
        <color rgb="FF638EC6"/>
      </dataBar>
      <extLst>
        <ext xmlns:x14="http://schemas.microsoft.com/office/spreadsheetml/2009/9/main" uri="{B025F937-C7B1-47D3-B67F-A62EFF666E3E}">
          <x14:id>{3DD9A5F3-218A-734E-B939-99E9D17B677F}</x14:id>
        </ext>
      </extLst>
    </cfRule>
    <cfRule type="colorScale" priority="88">
      <colorScale>
        <cfvo type="min"/>
        <cfvo type="percentile" val="50"/>
        <cfvo type="max"/>
        <color rgb="FF63BE7B"/>
        <color rgb="FFFFEB84"/>
        <color rgb="FFF8696B"/>
      </colorScale>
    </cfRule>
  </conditionalFormatting>
  <conditionalFormatting sqref="Q218 Q216 Q214 Q212 Q210 Q208">
    <cfRule type="dataBar" priority="85">
      <dataBar>
        <cfvo type="min"/>
        <cfvo type="max"/>
        <color rgb="FF638EC6"/>
      </dataBar>
      <extLst>
        <ext xmlns:x14="http://schemas.microsoft.com/office/spreadsheetml/2009/9/main" uri="{B025F937-C7B1-47D3-B67F-A62EFF666E3E}">
          <x14:id>{FC9C8447-D3A0-E043-A7ED-E483C0EA94EA}</x14:id>
        </ext>
      </extLst>
    </cfRule>
    <cfRule type="colorScale" priority="86">
      <colorScale>
        <cfvo type="min"/>
        <cfvo type="percentile" val="50"/>
        <cfvo type="max"/>
        <color rgb="FF63BE7B"/>
        <color rgb="FFFFEB84"/>
        <color rgb="FFF8696B"/>
      </colorScale>
    </cfRule>
  </conditionalFormatting>
  <conditionalFormatting sqref="Q192">
    <cfRule type="dataBar" priority="83">
      <dataBar>
        <cfvo type="min"/>
        <cfvo type="max"/>
        <color rgb="FF638EC6"/>
      </dataBar>
      <extLst>
        <ext xmlns:x14="http://schemas.microsoft.com/office/spreadsheetml/2009/9/main" uri="{B025F937-C7B1-47D3-B67F-A62EFF666E3E}">
          <x14:id>{F93A8B3C-2D1A-7445-B024-0A6E72238C25}</x14:id>
        </ext>
      </extLst>
    </cfRule>
    <cfRule type="colorScale" priority="84">
      <colorScale>
        <cfvo type="min"/>
        <cfvo type="percentile" val="50"/>
        <cfvo type="max"/>
        <color rgb="FF63BE7B"/>
        <color rgb="FFFFEB84"/>
        <color rgb="FFF8696B"/>
      </colorScale>
    </cfRule>
  </conditionalFormatting>
  <conditionalFormatting sqref="Q194">
    <cfRule type="dataBar" priority="81">
      <dataBar>
        <cfvo type="min"/>
        <cfvo type="max"/>
        <color rgb="FF638EC6"/>
      </dataBar>
      <extLst>
        <ext xmlns:x14="http://schemas.microsoft.com/office/spreadsheetml/2009/9/main" uri="{B025F937-C7B1-47D3-B67F-A62EFF666E3E}">
          <x14:id>{A375E19C-EEC1-D54A-BC76-862ABC2C7E72}</x14:id>
        </ext>
      </extLst>
    </cfRule>
    <cfRule type="colorScale" priority="82">
      <colorScale>
        <cfvo type="min"/>
        <cfvo type="percentile" val="50"/>
        <cfvo type="max"/>
        <color rgb="FF63BE7B"/>
        <color rgb="FFFFEB84"/>
        <color rgb="FFF8696B"/>
      </colorScale>
    </cfRule>
  </conditionalFormatting>
  <conditionalFormatting sqref="Q196">
    <cfRule type="dataBar" priority="79">
      <dataBar>
        <cfvo type="min"/>
        <cfvo type="max"/>
        <color rgb="FF638EC6"/>
      </dataBar>
      <extLst>
        <ext xmlns:x14="http://schemas.microsoft.com/office/spreadsheetml/2009/9/main" uri="{B025F937-C7B1-47D3-B67F-A62EFF666E3E}">
          <x14:id>{B8EA3246-297C-684D-AD76-8E51564C5B46}</x14:id>
        </ext>
      </extLst>
    </cfRule>
    <cfRule type="colorScale" priority="80">
      <colorScale>
        <cfvo type="min"/>
        <cfvo type="percentile" val="50"/>
        <cfvo type="max"/>
        <color rgb="FF63BE7B"/>
        <color rgb="FFFFEB84"/>
        <color rgb="FFF8696B"/>
      </colorScale>
    </cfRule>
  </conditionalFormatting>
  <conditionalFormatting sqref="Q198">
    <cfRule type="dataBar" priority="77">
      <dataBar>
        <cfvo type="min"/>
        <cfvo type="max"/>
        <color rgb="FF638EC6"/>
      </dataBar>
      <extLst>
        <ext xmlns:x14="http://schemas.microsoft.com/office/spreadsheetml/2009/9/main" uri="{B025F937-C7B1-47D3-B67F-A62EFF666E3E}">
          <x14:id>{5F90F178-2512-9744-AC27-D8B538A8E129}</x14:id>
        </ext>
      </extLst>
    </cfRule>
    <cfRule type="colorScale" priority="78">
      <colorScale>
        <cfvo type="min"/>
        <cfvo type="percentile" val="50"/>
        <cfvo type="max"/>
        <color rgb="FF63BE7B"/>
        <color rgb="FFFFEB84"/>
        <color rgb="FFF8696B"/>
      </colorScale>
    </cfRule>
  </conditionalFormatting>
  <conditionalFormatting sqref="Q200">
    <cfRule type="dataBar" priority="75">
      <dataBar>
        <cfvo type="min"/>
        <cfvo type="max"/>
        <color rgb="FF638EC6"/>
      </dataBar>
      <extLst>
        <ext xmlns:x14="http://schemas.microsoft.com/office/spreadsheetml/2009/9/main" uri="{B025F937-C7B1-47D3-B67F-A62EFF666E3E}">
          <x14:id>{E3C2F068-65AE-E147-8862-1B4E1E63E94F}</x14:id>
        </ext>
      </extLst>
    </cfRule>
    <cfRule type="colorScale" priority="76">
      <colorScale>
        <cfvo type="min"/>
        <cfvo type="percentile" val="50"/>
        <cfvo type="max"/>
        <color rgb="FF63BE7B"/>
        <color rgb="FFFFEB84"/>
        <color rgb="FFF8696B"/>
      </colorScale>
    </cfRule>
  </conditionalFormatting>
  <conditionalFormatting sqref="Q202">
    <cfRule type="dataBar" priority="73">
      <dataBar>
        <cfvo type="min"/>
        <cfvo type="max"/>
        <color rgb="FF638EC6"/>
      </dataBar>
      <extLst>
        <ext xmlns:x14="http://schemas.microsoft.com/office/spreadsheetml/2009/9/main" uri="{B025F937-C7B1-47D3-B67F-A62EFF666E3E}">
          <x14:id>{637B1313-DC58-C449-9428-40AAD6943DE8}</x14:id>
        </ext>
      </extLst>
    </cfRule>
    <cfRule type="colorScale" priority="74">
      <colorScale>
        <cfvo type="min"/>
        <cfvo type="percentile" val="50"/>
        <cfvo type="max"/>
        <color rgb="FF63BE7B"/>
        <color rgb="FFFFEB84"/>
        <color rgb="FFF8696B"/>
      </colorScale>
    </cfRule>
  </conditionalFormatting>
  <conditionalFormatting sqref="Q204">
    <cfRule type="dataBar" priority="71">
      <dataBar>
        <cfvo type="min"/>
        <cfvo type="max"/>
        <color rgb="FF638EC6"/>
      </dataBar>
      <extLst>
        <ext xmlns:x14="http://schemas.microsoft.com/office/spreadsheetml/2009/9/main" uri="{B025F937-C7B1-47D3-B67F-A62EFF666E3E}">
          <x14:id>{2F7BED77-CE1F-E243-9ED8-C3E862491B46}</x14:id>
        </ext>
      </extLst>
    </cfRule>
    <cfRule type="colorScale" priority="72">
      <colorScale>
        <cfvo type="min"/>
        <cfvo type="percentile" val="50"/>
        <cfvo type="max"/>
        <color rgb="FF63BE7B"/>
        <color rgb="FFFFEB84"/>
        <color rgb="FFF8696B"/>
      </colorScale>
    </cfRule>
  </conditionalFormatting>
  <conditionalFormatting sqref="Q206">
    <cfRule type="dataBar" priority="69">
      <dataBar>
        <cfvo type="min"/>
        <cfvo type="max"/>
        <color rgb="FF638EC6"/>
      </dataBar>
      <extLst>
        <ext xmlns:x14="http://schemas.microsoft.com/office/spreadsheetml/2009/9/main" uri="{B025F937-C7B1-47D3-B67F-A62EFF666E3E}">
          <x14:id>{B6E36FAC-90D8-6D4D-8D9A-066F3ABE9524}</x14:id>
        </ext>
      </extLst>
    </cfRule>
    <cfRule type="colorScale" priority="70">
      <colorScale>
        <cfvo type="min"/>
        <cfvo type="percentile" val="50"/>
        <cfvo type="max"/>
        <color rgb="FF63BE7B"/>
        <color rgb="FFFFEB84"/>
        <color rgb="FFF8696B"/>
      </colorScale>
    </cfRule>
  </conditionalFormatting>
  <conditionalFormatting sqref="L213 L211 L209 L207 L205 L203 L201 L199 L197 L195 L193">
    <cfRule type="dataBar" priority="67">
      <dataBar>
        <cfvo type="min"/>
        <cfvo type="max"/>
        <color rgb="FF638EC6"/>
      </dataBar>
      <extLst>
        <ext xmlns:x14="http://schemas.microsoft.com/office/spreadsheetml/2009/9/main" uri="{B025F937-C7B1-47D3-B67F-A62EFF666E3E}">
          <x14:id>{2490B675-FBBE-6B4E-9687-F8BCBECDBB23}</x14:id>
        </ext>
      </extLst>
    </cfRule>
    <cfRule type="colorScale" priority="68">
      <colorScale>
        <cfvo type="min"/>
        <cfvo type="percentile" val="50"/>
        <cfvo type="max"/>
        <color rgb="FF63BE7B"/>
        <color rgb="FFFFEB84"/>
        <color rgb="FFF8696B"/>
      </colorScale>
    </cfRule>
  </conditionalFormatting>
  <conditionalFormatting sqref="P217 P215 P213 P211 P209 P207 P205 P203 P201 P199 P197 P195 P193 P191 P189">
    <cfRule type="dataBar" priority="65">
      <dataBar>
        <cfvo type="min"/>
        <cfvo type="max"/>
        <color rgb="FF638EC6"/>
      </dataBar>
      <extLst>
        <ext xmlns:x14="http://schemas.microsoft.com/office/spreadsheetml/2009/9/main" uri="{B025F937-C7B1-47D3-B67F-A62EFF666E3E}">
          <x14:id>{4AE37A81-EFF8-BC41-977F-D029B00A6E24}</x14:id>
        </ext>
      </extLst>
    </cfRule>
    <cfRule type="colorScale" priority="66">
      <colorScale>
        <cfvo type="min"/>
        <cfvo type="percentile" val="50"/>
        <cfvo type="max"/>
        <color rgb="FF63BE7B"/>
        <color rgb="FFFFEB84"/>
        <color rgb="FFF8696B"/>
      </colorScale>
    </cfRule>
  </conditionalFormatting>
  <conditionalFormatting sqref="R189">
    <cfRule type="dataBar" priority="63">
      <dataBar>
        <cfvo type="min"/>
        <cfvo type="max"/>
        <color rgb="FF638EC6"/>
      </dataBar>
      <extLst>
        <ext xmlns:x14="http://schemas.microsoft.com/office/spreadsheetml/2009/9/main" uri="{B025F937-C7B1-47D3-B67F-A62EFF666E3E}">
          <x14:id>{78AE59A8-103D-8E4B-BCAB-B92E67910CB3}</x14:id>
        </ext>
      </extLst>
    </cfRule>
    <cfRule type="colorScale" priority="64">
      <colorScale>
        <cfvo type="min"/>
        <cfvo type="percentile" val="50"/>
        <cfvo type="max"/>
        <color rgb="FF63BE7B"/>
        <color rgb="FFFFEB84"/>
        <color rgb="FFF8696B"/>
      </colorScale>
    </cfRule>
  </conditionalFormatting>
  <conditionalFormatting sqref="R187">
    <cfRule type="dataBar" priority="61">
      <dataBar>
        <cfvo type="min"/>
        <cfvo type="max"/>
        <color rgb="FF638EC6"/>
      </dataBar>
      <extLst>
        <ext xmlns:x14="http://schemas.microsoft.com/office/spreadsheetml/2009/9/main" uri="{B025F937-C7B1-47D3-B67F-A62EFF666E3E}">
          <x14:id>{67566EDC-F63A-C044-9E0C-509D9744254A}</x14:id>
        </ext>
      </extLst>
    </cfRule>
    <cfRule type="colorScale" priority="62">
      <colorScale>
        <cfvo type="min"/>
        <cfvo type="percentile" val="50"/>
        <cfvo type="max"/>
        <color rgb="FF63BE7B"/>
        <color rgb="FFFFEB84"/>
        <color rgb="FFF8696B"/>
      </colorScale>
    </cfRule>
  </conditionalFormatting>
  <conditionalFormatting sqref="R219 R217 R215 R213 R211 R209 R207 R205 R203 R201 R199 R197 R195 R193 R191">
    <cfRule type="dataBar" priority="59">
      <dataBar>
        <cfvo type="min"/>
        <cfvo type="max"/>
        <color rgb="FF638EC6"/>
      </dataBar>
      <extLst>
        <ext xmlns:x14="http://schemas.microsoft.com/office/spreadsheetml/2009/9/main" uri="{B025F937-C7B1-47D3-B67F-A62EFF666E3E}">
          <x14:id>{D14F8540-027D-6B46-A548-E9DD5C0F5433}</x14:id>
        </ext>
      </extLst>
    </cfRule>
    <cfRule type="colorScale" priority="60">
      <colorScale>
        <cfvo type="min"/>
        <cfvo type="percentile" val="50"/>
        <cfvo type="max"/>
        <color rgb="FF63BE7B"/>
        <color rgb="FFFFEB84"/>
        <color rgb="FFF8696B"/>
      </colorScale>
    </cfRule>
  </conditionalFormatting>
  <conditionalFormatting sqref="S186">
    <cfRule type="dataBar" priority="57">
      <dataBar>
        <cfvo type="min"/>
        <cfvo type="max"/>
        <color rgb="FF638EC6"/>
      </dataBar>
      <extLst>
        <ext xmlns:x14="http://schemas.microsoft.com/office/spreadsheetml/2009/9/main" uri="{B025F937-C7B1-47D3-B67F-A62EFF666E3E}">
          <x14:id>{6A28CBD1-D3A4-3D45-B759-0D69DE8F058E}</x14:id>
        </ext>
      </extLst>
    </cfRule>
    <cfRule type="colorScale" priority="58">
      <colorScale>
        <cfvo type="min"/>
        <cfvo type="percentile" val="50"/>
        <cfvo type="max"/>
        <color rgb="FF63BE7B"/>
        <color rgb="FFFFEB84"/>
        <color rgb="FFF8696B"/>
      </colorScale>
    </cfRule>
  </conditionalFormatting>
  <conditionalFormatting sqref="Q186">
    <cfRule type="dataBar" priority="55">
      <dataBar>
        <cfvo type="min"/>
        <cfvo type="max"/>
        <color rgb="FF638EC6"/>
      </dataBar>
      <extLst>
        <ext xmlns:x14="http://schemas.microsoft.com/office/spreadsheetml/2009/9/main" uri="{B025F937-C7B1-47D3-B67F-A62EFF666E3E}">
          <x14:id>{A9F2FEAC-D361-494B-A504-4A20BB734653}</x14:id>
        </ext>
      </extLst>
    </cfRule>
    <cfRule type="colorScale" priority="56">
      <colorScale>
        <cfvo type="min"/>
        <cfvo type="percentile" val="50"/>
        <cfvo type="max"/>
        <color rgb="FF63BE7B"/>
        <color rgb="FFFFEB84"/>
        <color rgb="FFF8696B"/>
      </colorScale>
    </cfRule>
  </conditionalFormatting>
  <conditionalFormatting sqref="S188">
    <cfRule type="dataBar" priority="53">
      <dataBar>
        <cfvo type="min"/>
        <cfvo type="max"/>
        <color rgb="FF638EC6"/>
      </dataBar>
      <extLst>
        <ext xmlns:x14="http://schemas.microsoft.com/office/spreadsheetml/2009/9/main" uri="{B025F937-C7B1-47D3-B67F-A62EFF666E3E}">
          <x14:id>{CCD65C03-5067-4F4B-9D1D-331498B91B49}</x14:id>
        </ext>
      </extLst>
    </cfRule>
    <cfRule type="colorScale" priority="54">
      <colorScale>
        <cfvo type="min"/>
        <cfvo type="percentile" val="50"/>
        <cfvo type="max"/>
        <color rgb="FF63BE7B"/>
        <color rgb="FFFFEB84"/>
        <color rgb="FFF8696B"/>
      </colorScale>
    </cfRule>
  </conditionalFormatting>
  <conditionalFormatting sqref="S190">
    <cfRule type="dataBar" priority="51">
      <dataBar>
        <cfvo type="min"/>
        <cfvo type="max"/>
        <color rgb="FF638EC6"/>
      </dataBar>
      <extLst>
        <ext xmlns:x14="http://schemas.microsoft.com/office/spreadsheetml/2009/9/main" uri="{B025F937-C7B1-47D3-B67F-A62EFF666E3E}">
          <x14:id>{B12894E2-CE12-6641-AAC4-E1C037F007B2}</x14:id>
        </ext>
      </extLst>
    </cfRule>
    <cfRule type="colorScale" priority="52">
      <colorScale>
        <cfvo type="min"/>
        <cfvo type="percentile" val="50"/>
        <cfvo type="max"/>
        <color rgb="FF63BE7B"/>
        <color rgb="FFFFEB84"/>
        <color rgb="FFF8696B"/>
      </colorScale>
    </cfRule>
  </conditionalFormatting>
  <conditionalFormatting sqref="S192">
    <cfRule type="dataBar" priority="49">
      <dataBar>
        <cfvo type="min"/>
        <cfvo type="max"/>
        <color rgb="FF638EC6"/>
      </dataBar>
      <extLst>
        <ext xmlns:x14="http://schemas.microsoft.com/office/spreadsheetml/2009/9/main" uri="{B025F937-C7B1-47D3-B67F-A62EFF666E3E}">
          <x14:id>{10167DDE-F52A-B245-9DAC-09C7B8B3A9BC}</x14:id>
        </ext>
      </extLst>
    </cfRule>
    <cfRule type="colorScale" priority="50">
      <colorScale>
        <cfvo type="min"/>
        <cfvo type="percentile" val="50"/>
        <cfvo type="max"/>
        <color rgb="FF63BE7B"/>
        <color rgb="FFFFEB84"/>
        <color rgb="FFF8696B"/>
      </colorScale>
    </cfRule>
  </conditionalFormatting>
  <conditionalFormatting sqref="S194">
    <cfRule type="dataBar" priority="47">
      <dataBar>
        <cfvo type="min"/>
        <cfvo type="max"/>
        <color rgb="FF638EC6"/>
      </dataBar>
      <extLst>
        <ext xmlns:x14="http://schemas.microsoft.com/office/spreadsheetml/2009/9/main" uri="{B025F937-C7B1-47D3-B67F-A62EFF666E3E}">
          <x14:id>{2CC72267-0747-5645-874C-24FB068F5279}</x14:id>
        </ext>
      </extLst>
    </cfRule>
    <cfRule type="colorScale" priority="48">
      <colorScale>
        <cfvo type="min"/>
        <cfvo type="percentile" val="50"/>
        <cfvo type="max"/>
        <color rgb="FF63BE7B"/>
        <color rgb="FFFFEB84"/>
        <color rgb="FFF8696B"/>
      </colorScale>
    </cfRule>
  </conditionalFormatting>
  <conditionalFormatting sqref="S220 S218 S216 S214 S212 S210 S208 S206 S204 S202 S200 S198 S196">
    <cfRule type="dataBar" priority="45">
      <dataBar>
        <cfvo type="min"/>
        <cfvo type="max"/>
        <color rgb="FF638EC6"/>
      </dataBar>
      <extLst>
        <ext xmlns:x14="http://schemas.microsoft.com/office/spreadsheetml/2009/9/main" uri="{B025F937-C7B1-47D3-B67F-A62EFF666E3E}">
          <x14:id>{3ED694B0-E14C-2645-8231-8EE332F848F2}</x14:id>
        </ext>
      </extLst>
    </cfRule>
    <cfRule type="colorScale" priority="46">
      <colorScale>
        <cfvo type="min"/>
        <cfvo type="percentile" val="50"/>
        <cfvo type="max"/>
        <color rgb="FF63BE7B"/>
        <color rgb="FFFFEB84"/>
        <color rgb="FFF8696B"/>
      </colorScale>
    </cfRule>
  </conditionalFormatting>
  <conditionalFormatting sqref="T185">
    <cfRule type="dataBar" priority="43">
      <dataBar>
        <cfvo type="min"/>
        <cfvo type="max"/>
        <color rgb="FF638EC6"/>
      </dataBar>
      <extLst>
        <ext xmlns:x14="http://schemas.microsoft.com/office/spreadsheetml/2009/9/main" uri="{B025F937-C7B1-47D3-B67F-A62EFF666E3E}">
          <x14:id>{78F48E0C-AEFF-364F-9DDA-6B5ACA1F98BC}</x14:id>
        </ext>
      </extLst>
    </cfRule>
    <cfRule type="colorScale" priority="44">
      <colorScale>
        <cfvo type="min"/>
        <cfvo type="percentile" val="50"/>
        <cfvo type="max"/>
        <color rgb="FF63BE7B"/>
        <color rgb="FFFFEB84"/>
        <color rgb="FFF8696B"/>
      </colorScale>
    </cfRule>
  </conditionalFormatting>
  <conditionalFormatting sqref="T187">
    <cfRule type="dataBar" priority="41">
      <dataBar>
        <cfvo type="min"/>
        <cfvo type="max"/>
        <color rgb="FF638EC6"/>
      </dataBar>
      <extLst>
        <ext xmlns:x14="http://schemas.microsoft.com/office/spreadsheetml/2009/9/main" uri="{B025F937-C7B1-47D3-B67F-A62EFF666E3E}">
          <x14:id>{4D833FBF-531F-DA44-B432-535FF0A6469C}</x14:id>
        </ext>
      </extLst>
    </cfRule>
    <cfRule type="colorScale" priority="42">
      <colorScale>
        <cfvo type="min"/>
        <cfvo type="percentile" val="50"/>
        <cfvo type="max"/>
        <color rgb="FF63BE7B"/>
        <color rgb="FFFFEB84"/>
        <color rgb="FFF8696B"/>
      </colorScale>
    </cfRule>
  </conditionalFormatting>
  <conditionalFormatting sqref="T189">
    <cfRule type="dataBar" priority="39">
      <dataBar>
        <cfvo type="min"/>
        <cfvo type="max"/>
        <color rgb="FF638EC6"/>
      </dataBar>
      <extLst>
        <ext xmlns:x14="http://schemas.microsoft.com/office/spreadsheetml/2009/9/main" uri="{B025F937-C7B1-47D3-B67F-A62EFF666E3E}">
          <x14:id>{4D092CB0-EA98-B943-AAA0-181CEDB8F1D5}</x14:id>
        </ext>
      </extLst>
    </cfRule>
    <cfRule type="colorScale" priority="40">
      <colorScale>
        <cfvo type="min"/>
        <cfvo type="percentile" val="50"/>
        <cfvo type="max"/>
        <color rgb="FF63BE7B"/>
        <color rgb="FFFFEB84"/>
        <color rgb="FFF8696B"/>
      </colorScale>
    </cfRule>
  </conditionalFormatting>
  <conditionalFormatting sqref="T191">
    <cfRule type="dataBar" priority="37">
      <dataBar>
        <cfvo type="min"/>
        <cfvo type="max"/>
        <color rgb="FF638EC6"/>
      </dataBar>
      <extLst>
        <ext xmlns:x14="http://schemas.microsoft.com/office/spreadsheetml/2009/9/main" uri="{B025F937-C7B1-47D3-B67F-A62EFF666E3E}">
          <x14:id>{0BDE3227-C32E-E949-80DB-F284892D7853}</x14:id>
        </ext>
      </extLst>
    </cfRule>
    <cfRule type="colorScale" priority="38">
      <colorScale>
        <cfvo type="min"/>
        <cfvo type="percentile" val="50"/>
        <cfvo type="max"/>
        <color rgb="FF63BE7B"/>
        <color rgb="FFFFEB84"/>
        <color rgb="FFF8696B"/>
      </colorScale>
    </cfRule>
  </conditionalFormatting>
  <conditionalFormatting sqref="T193">
    <cfRule type="dataBar" priority="35">
      <dataBar>
        <cfvo type="min"/>
        <cfvo type="max"/>
        <color rgb="FF638EC6"/>
      </dataBar>
      <extLst>
        <ext xmlns:x14="http://schemas.microsoft.com/office/spreadsheetml/2009/9/main" uri="{B025F937-C7B1-47D3-B67F-A62EFF666E3E}">
          <x14:id>{F7F41027-A437-DD4B-A1C1-831D18B56889}</x14:id>
        </ext>
      </extLst>
    </cfRule>
    <cfRule type="colorScale" priority="36">
      <colorScale>
        <cfvo type="min"/>
        <cfvo type="percentile" val="50"/>
        <cfvo type="max"/>
        <color rgb="FF63BE7B"/>
        <color rgb="FFFFEB84"/>
        <color rgb="FFF8696B"/>
      </colorScale>
    </cfRule>
  </conditionalFormatting>
  <conditionalFormatting sqref="T195">
    <cfRule type="dataBar" priority="33">
      <dataBar>
        <cfvo type="min"/>
        <cfvo type="max"/>
        <color rgb="FF638EC6"/>
      </dataBar>
      <extLst>
        <ext xmlns:x14="http://schemas.microsoft.com/office/spreadsheetml/2009/9/main" uri="{B025F937-C7B1-47D3-B67F-A62EFF666E3E}">
          <x14:id>{E28B14E5-B470-5D47-B568-976435DD0128}</x14:id>
        </ext>
      </extLst>
    </cfRule>
    <cfRule type="colorScale" priority="34">
      <colorScale>
        <cfvo type="min"/>
        <cfvo type="percentile" val="50"/>
        <cfvo type="max"/>
        <color rgb="FF63BE7B"/>
        <color rgb="FFFFEB84"/>
        <color rgb="FFF8696B"/>
      </colorScale>
    </cfRule>
  </conditionalFormatting>
  <conditionalFormatting sqref="A132 B131 B133 C130 C132 C134 D129 D131 D133 D135 E128 E130 E132 E134 E136 F127 F129 F131 F133 F135 F137 G126 G128 G130 G132 G134 G136 G138 H125 H127 H129 H131 H133 H135 H137 H139 I124 I126 I128 I130 I132 I134 I136 I138 I140 J123 J125 J127 J129 J131 J133 J135 J137 J139 J141 K122 K124 K126 K128 K130 K132 K134 K136 K138 K140 K142 L121 L123 L125 L127 L129 L131 L133 L135 L137 L139 L141 L143 M120 M122 M124 M126 M128 M130 M132 M134 M136 M138 M140 M142 M144 N119 N121 N123 N125 N127 N129 N131 N133 N135 N137 N139 N141 N143 N145 O118 O120 O122 O124 O126 O128 O130 O132 O134 O136 O138 O140 O142 O144 O146 P117 P119 P121 P123 P125 P127 P129 P131 P133 P135 P137 P139 P141 P143 P145 P147 Q116 Q118 Q120 Q122 Q124 Q126 Q128 Q130 Q132 Q134 Q136 Q138 Q140 Q142 Q144 Q146 Q148 R115 R117 R119 R121 R123 R125 R127 R129 R131 R133 R135 R137 R139 R141 R143 R145 R147 R149 S114 S116 S118 S120 S122 S124 S126 S128 S130 S132 S134 S136 S138 S140 S142 S144 S146 S148 S150 T113 T115 T117 T119 T121 T123 T125 T127 T129 T131 T133 T135 T137 T139 T141 T143 T145 T147 T149 T151 U112 U114 U116 U118 U120 U122 U124 U126 U128 U130 U132 U134 U136 U138 U140 U142 U144 U146 U148 U150 U152 V111 V113 V115 V117 V119 V121 V123 V125 V127 V129 V131 V133 V135 V137 V139 V141 V143 V145 V147 V149 V151 V153 W110 W112 W114 W116 W118 W120 W122 W124 W126 W128 W130 W132 W134 W136 W138 W140 W142 W144 W146 W148 W150 W152 W154 X109 X111 X113 X115 X117 X119 X121 X123 X125 X127 X129 X131 X133 X135 X137 X139 X141 X143 X145 X147 X149 X151 X153 X155 Y108 Y110 Y112 Y114 Y116 Y118 Y120 Y122 Y124 Y126 Y128 Y130 Y132 Y134 Y136 Y138 Y140 Y142 Y144 Y146 Y148 Y150 Y152 Y154 Y156 Z107 Z109 Z111 Z113 Z115 Z117 Z119 Z121 Z123 Z125 Z127 Z129 Z131 Z133 Z135 Z137 Z139 Z141 Z143 Z145 Z147 Z149 Z151 Z153 Z155 Z157 AA106 AA108 AA110 AA112 AA114 AA116 AA118 AA120 AA122 AA124 AA126 AA128 AA130 AA132 AA134 AA136 AA138 AA140 AA142 AA144 AA146 AA148 AA150 AA152 AA154 AA156 AA158 AB105 AB107 AB109 AB111 AB113 AB115 AB117 AB119 AB121 AB123 AB125 AB127 AB129 AB131 AB133 AB135 AB137 AB139 AB141 AB143 AB145 AB147 AB149 AB151 AB153 AB155 AB157 AB159 AC104 AC106 AC108 AC110 AC112 AC114 AC116 AC118 AC120 AC122 AC124 AC126 AC128 AC130 AC132 AC134 AC136 AC138 AC140 AC142 AC144 AC146 AC148 AC150 AC152 AC154 AC156 AC158 AC160 AD103 AD105 AD107 AE104 AE106 AE108 AD109 AE110 AD111 AE112 AD113 AE114 AD115 AE116 AD117 AE118 AD119 AE120 AD121 AE122 AD123 AE124 AD125 AE126 AD127 AE128 AE130 AD129 AD131 AE132 AD133 AE134 AD135 AE136 AD137 AE138 AD139 AE140 AD141 AE142 AD143 AE144 AD145 AE146 AD147 AE148 AD149 AE150 AD151 AE152 AD153 AE154 AD155 AE156 AD157 AE158 AD159 AE160 AD161 AE162">
    <cfRule type="colorScale" priority="32">
      <colorScale>
        <cfvo type="min"/>
        <cfvo type="percentile" val="50"/>
        <cfvo type="max"/>
        <color rgb="FFF8696B"/>
        <color rgb="FFFCFCFF"/>
        <color rgb="FF63BE7B"/>
      </colorScale>
    </cfRule>
  </conditionalFormatting>
  <conditionalFormatting sqref="A132 B131 B133 C130 C132 C134 D129 D131 D133 D135 E128 E130 E132 E134 E136 F127 F129 F131 F133 F135 F137 G126 G128 G130 G132 G134 G136 G138 H125 H127 H129 H131 H133 H135 H137 H139 I124 I126 I128 I130 I132 I134 I136 I138 I140 J123 J125 J127 J129 J131 J133 J135 J137 J139 J141 K122 K124 K126 K128 K130 K132 K134 K136 K138 K140 K142 L121 L123 L125 L127 L129 L131 L133 L135 L137 L139 L141 L143 M120 M122 M124 M126 M128 M130 M132 M134 M136 M138 M140 M142 M144 N119 N121 N123 N125 N127 N129 N131 N133 N135 N137 N139 N141 N143 N145 O118 O120 O122 O124 O126 O128 O130 O132 O134 O136 O138 O140 O142 O144 O146 P117 P119 P121 P123 P125 P127 P129 P131 P133 P135 P137 P139 P141 P143 P145 P147 Q116 Q118 Q120 Q122 Q124 Q126 Q128 Q130 Q132 Q134 Q136 Q138 Q140 Q142 Q144 Q146 Q148 R115 R117 R119 R121 R123 R125 R127 R129 R131 R133 R135 R137 R139 R141 R143 R145 R147 R149 S114 S116 S118 S120 S122 S124 S126 S128 S130 S132 S134 S136 S138 S140 S142 S144 S146 S148 S150 T113 T115 T117 T119 T121 T123 T125 T127 T129 T131 T133 T135 T137 T139 T141 T143 T145 T147 T149 T151 U112 U114 U116 U118 U120 U122 U124 U126 U128 U130 U132 U134 U136 U138 U140 U142 U144 U146 U148 U150 U152 V111 V113 V115 V117 V119 V121 V123 V125 V127 V129 V131 V133 V135 V137 V139 V141 V143 V145 V147 V149 V151 V153 W110 W112 W114 W116 W118 W120 W122 W124 W126 W128 W130 W132 W134 W136 W138 W140 W142 W144 W146 W148 W150 W152 W154 X109 X111 X113 X115 X117 X119 X121 X123 X125 X127 X129 X131 X133 X135 X137 X139 X141 X143 X145 X147 X149 X151 X153 X155 Y108 Y110 Y112 Y114 Y116 Y118 Y120 Y122 Y124 Y126 Y128 Y130 Y132 Y134 Y136 Y138 Y140 Y142 Y144 Y146 Y148 Y150 Y152 Y154 Y156 Z107 Z109 Z111 Z113 Z115 Z117 Z119 Z121 Z123 Z125 Z127 Z129 Z131 Z133 Z135 Z137 Z139 Z141 Z143 Z145 Z147 Z149 Z151 Z153 Z155 Z157 AA106 AA108 AA110 AA112 AA114 AA116 AA118 AA120 AA122 AA124 AA126 AA128 AA130 AA132 AA134 AA136 AA138 AA140 AA142 AA144 AA146 AA148 AA150 AA152 AA154 AA156 AA158 AB105 AB107 AB109 AB111 AB113 AB115 AB117 AB119 AB121 AB123 AB125 AB127 AB129 AB131 AB133 AB135 AB137 AB139 AB141 AB143 AB145 AB147 AB149 AB151 AB153 AB155 AB157 AB159 AC104 AC106 AC108 AC110 AC112 AC114 AC116 AC118 AC120 AC122 AC124 AC126 AC128 AC130 AC132 AC134 AC136 AC138 AC140 AC142 AC144 AC146 AC148 AC150 AC152 AC154 AC156 AC158 AC160 AD103 AD105 AD107 AE104 AE106 AE108 AD109 AE110 AD111 AE112 AD113 AE114 AD115 AE116 AD117 AE118 AD119 AE120 AD121 AE122 AD123 AE124 AD125 AE126 AD127 AE128 AE130 AD129 AD131 AE132 AD133 AE134 AD135 AE136 AD137 AE138 AD139 AE140 AD141 AE142 AD143 AE144 AD145 AE146 AD147 AE148 AD149 AE150 AD151 AE152 AD153 AE154 AD155 AE156 AD157 AE158 AD159 AE160 AD161 AE162">
    <cfRule type="colorScale" priority="31">
      <colorScale>
        <cfvo type="min"/>
        <cfvo type="percentile" val="50"/>
        <cfvo type="max"/>
        <color rgb="FFF8696B"/>
        <color rgb="FFFFEB84"/>
        <color rgb="FF63BE7B"/>
      </colorScale>
    </cfRule>
  </conditionalFormatting>
  <conditionalFormatting sqref="A102:AE162">
    <cfRule type="colorScale" priority="30">
      <colorScale>
        <cfvo type="min"/>
        <cfvo type="percentile" val="50"/>
        <cfvo type="max"/>
        <color rgb="FF63BE7B"/>
        <color rgb="FFFFEB84"/>
        <color rgb="FFF8696B"/>
      </colorScale>
    </cfRule>
  </conditionalFormatting>
  <conditionalFormatting sqref="A173:AE233">
    <cfRule type="colorScale" priority="9">
      <colorScale>
        <cfvo type="min"/>
        <cfvo type="percentile" val="50"/>
        <cfvo type="max"/>
        <color rgb="FF63BE7B"/>
        <color rgb="FFFFEB84"/>
        <color rgb="FFF8696B"/>
      </colorScale>
    </cfRule>
  </conditionalFormatting>
  <conditionalFormatting sqref="T219 T221 T217 T215 T213 T211 T209 T207 T205 T203 T201 T199 T197">
    <cfRule type="dataBar" priority="28">
      <dataBar>
        <cfvo type="min"/>
        <cfvo type="max"/>
        <color rgb="FF638EC6"/>
      </dataBar>
      <extLst>
        <ext xmlns:x14="http://schemas.microsoft.com/office/spreadsheetml/2009/9/main" uri="{B025F937-C7B1-47D3-B67F-A62EFF666E3E}">
          <x14:id>{8E33FCB4-F6C7-6247-BB5C-8A013A4290C5}</x14:id>
        </ext>
      </extLst>
    </cfRule>
    <cfRule type="colorScale" priority="29">
      <colorScale>
        <cfvo type="min"/>
        <cfvo type="percentile" val="50"/>
        <cfvo type="max"/>
        <color rgb="FF63BE7B"/>
        <color rgb="FFFFEB84"/>
        <color rgb="FFF8696B"/>
      </colorScale>
    </cfRule>
  </conditionalFormatting>
  <conditionalFormatting sqref="U220 U222 U218 U216 U214 U212 U210 U208 U206 U204 U202 U200 U198 U196 U194 U192 U190 U188 U186 U184">
    <cfRule type="dataBar" priority="26">
      <dataBar>
        <cfvo type="min"/>
        <cfvo type="max"/>
        <color rgb="FF638EC6"/>
      </dataBar>
      <extLst>
        <ext xmlns:x14="http://schemas.microsoft.com/office/spreadsheetml/2009/9/main" uri="{B025F937-C7B1-47D3-B67F-A62EFF666E3E}">
          <x14:id>{2B73DAC0-E90B-A145-94B7-B7CB8CFC0122}</x14:id>
        </ext>
      </extLst>
    </cfRule>
    <cfRule type="colorScale" priority="27">
      <colorScale>
        <cfvo type="min"/>
        <cfvo type="percentile" val="50"/>
        <cfvo type="max"/>
        <color rgb="FF63BE7B"/>
        <color rgb="FFFFEB84"/>
        <color rgb="FFF8696B"/>
      </colorScale>
    </cfRule>
  </conditionalFormatting>
  <conditionalFormatting sqref="V183 V223 V221 V219 V217 V215 V213 V211 V209 V207 V205 V203 V201 V199 V197 V195 V193 V191 V189 V187 V185">
    <cfRule type="colorScale" priority="25">
      <colorScale>
        <cfvo type="min"/>
        <cfvo type="percentile" val="50"/>
        <cfvo type="max"/>
        <color rgb="FF63BE7B"/>
        <color rgb="FFFFEB84"/>
        <color rgb="FFF8696B"/>
      </colorScale>
    </cfRule>
  </conditionalFormatting>
  <conditionalFormatting sqref="W182 W224 W222 W220 W218 W216 W214 W212 W210 W208 W206 W204 W202 W200 W198 W196 W194 W192 W190 W188 W186 W184">
    <cfRule type="colorScale" priority="24">
      <colorScale>
        <cfvo type="min"/>
        <cfvo type="percentile" val="50"/>
        <cfvo type="max"/>
        <color rgb="FF63BE7B"/>
        <color rgb="FFFFEB84"/>
        <color rgb="FFF8696B"/>
      </colorScale>
    </cfRule>
  </conditionalFormatting>
  <conditionalFormatting sqref="X181 X225 X223 X221 X219 X217 X215 X213 X211 X209 X207 X205 X203 X201 X199 X197 X195 X193 X191 X189 X187 X185 X183">
    <cfRule type="colorScale" priority="23">
      <colorScale>
        <cfvo type="min"/>
        <cfvo type="percentile" val="50"/>
        <cfvo type="max"/>
        <color rgb="FF63BE7B"/>
        <color rgb="FFFFEB84"/>
        <color rgb="FFF8696B"/>
      </colorScale>
    </cfRule>
  </conditionalFormatting>
  <conditionalFormatting sqref="X225">
    <cfRule type="colorScale" priority="22">
      <colorScale>
        <cfvo type="min"/>
        <cfvo type="percentile" val="50"/>
        <cfvo type="max"/>
        <color rgb="FF63BE7B"/>
        <color rgb="FFFFEB84"/>
        <color rgb="FFF8696B"/>
      </colorScale>
    </cfRule>
  </conditionalFormatting>
  <conditionalFormatting sqref="Y180 Y226 Y224 Y222 Y220 Y218 Y216 Y214 Y212 Y210 Y208 Y206 Y204 Y202 Y200 Y198 Y196 Y194 Y192 Y190 Y188 Y186 Y184 Y182">
    <cfRule type="colorScale" priority="21">
      <colorScale>
        <cfvo type="min"/>
        <cfvo type="percentile" val="50"/>
        <cfvo type="max"/>
        <color rgb="FF63BE7B"/>
        <color rgb="FFFFEB84"/>
        <color rgb="FFF8696B"/>
      </colorScale>
    </cfRule>
  </conditionalFormatting>
  <conditionalFormatting sqref="Y226">
    <cfRule type="colorScale" priority="20">
      <colorScale>
        <cfvo type="min"/>
        <cfvo type="percentile" val="50"/>
        <cfvo type="max"/>
        <color rgb="FF63BE7B"/>
        <color rgb="FFFFEB84"/>
        <color rgb="FFF8696B"/>
      </colorScale>
    </cfRule>
  </conditionalFormatting>
  <conditionalFormatting sqref="Z179 Z227 Z225 Z223 Z221 Z219 Z217 Z215 Z213 Z211 Z209 Z207 Z205 Z203 Z201 Z199 Z197 Z195 Z193 Z191 Z189 Z187 Z185 Z183 Z181">
    <cfRule type="colorScale" priority="19">
      <colorScale>
        <cfvo type="min"/>
        <cfvo type="percentile" val="50"/>
        <cfvo type="max"/>
        <color rgb="FF63BE7B"/>
        <color rgb="FFFFEB84"/>
        <color rgb="FFF8696B"/>
      </colorScale>
    </cfRule>
  </conditionalFormatting>
  <conditionalFormatting sqref="Z225 Z227">
    <cfRule type="colorScale" priority="18">
      <colorScale>
        <cfvo type="min"/>
        <cfvo type="percentile" val="50"/>
        <cfvo type="max"/>
        <color rgb="FF63BE7B"/>
        <color rgb="FFFFEB84"/>
        <color rgb="FFF8696B"/>
      </colorScale>
    </cfRule>
  </conditionalFormatting>
  <conditionalFormatting sqref="AA228 AA178 AA226 AA224 AA222 AA220 AA218 AA216 AA214 AA212 AA210 AA208 AA206 AA204 AA202 AA200 AA198 AA196 AA194 AA192 AA190 AA188 AA186 AA184 AA182 AA180">
    <cfRule type="colorScale" priority="17">
      <colorScale>
        <cfvo type="min"/>
        <cfvo type="percentile" val="50"/>
        <cfvo type="max"/>
        <color rgb="FF63BE7B"/>
        <color rgb="FFFFEB84"/>
        <color rgb="FFF8696B"/>
      </colorScale>
    </cfRule>
  </conditionalFormatting>
  <conditionalFormatting sqref="AA226 AA228">
    <cfRule type="colorScale" priority="16">
      <colorScale>
        <cfvo type="min"/>
        <cfvo type="percentile" val="50"/>
        <cfvo type="max"/>
        <color rgb="FF63BE7B"/>
        <color rgb="FFFFEB84"/>
        <color rgb="FFF8696B"/>
      </colorScale>
    </cfRule>
  </conditionalFormatting>
  <conditionalFormatting sqref="AB229 AB177 AB227 AB225 AB223 AB221 AB219 AB217 AB215 AB213 AB211 AB209 AB207 AB205 AB203 AB201 AB199 AB197 AB195 AB193 AB191 AB189 AB187 AB185 AB183 AB181 AB179">
    <cfRule type="colorScale" priority="15">
      <colorScale>
        <cfvo type="min"/>
        <cfvo type="percentile" val="50"/>
        <cfvo type="max"/>
        <color rgb="FF63BE7B"/>
        <color rgb="FFFFEB84"/>
        <color rgb="FFF8696B"/>
      </colorScale>
    </cfRule>
  </conditionalFormatting>
  <conditionalFormatting sqref="AB229 AB225 AB227">
    <cfRule type="colorScale" priority="14">
      <colorScale>
        <cfvo type="min"/>
        <cfvo type="percentile" val="50"/>
        <cfvo type="max"/>
        <color rgb="FF63BE7B"/>
        <color rgb="FFFFEB84"/>
        <color rgb="FFF8696B"/>
      </colorScale>
    </cfRule>
  </conditionalFormatting>
  <conditionalFormatting sqref="AC230 AC176 AC228 AC226 AC224 AC222 AC220 AC218 AC216 AC214 AC212 AC210 AC208 AC206 AC204 AC202 AC200 AC198 AC196 AC194 AC192 AC190 AC188 AC186 AC184 AC182 AC180 AC178">
    <cfRule type="colorScale" priority="13">
      <colorScale>
        <cfvo type="min"/>
        <cfvo type="percentile" val="50"/>
        <cfvo type="max"/>
        <color rgb="FF63BE7B"/>
        <color rgb="FFFFEB84"/>
        <color rgb="FFF8696B"/>
      </colorScale>
    </cfRule>
  </conditionalFormatting>
  <conditionalFormatting sqref="AC226 AC230 AC228">
    <cfRule type="colorScale" priority="12">
      <colorScale>
        <cfvo type="min"/>
        <cfvo type="percentile" val="50"/>
        <cfvo type="max"/>
        <color rgb="FF63BE7B"/>
        <color rgb="FFFFEB84"/>
        <color rgb="FFF8696B"/>
      </colorScale>
    </cfRule>
  </conditionalFormatting>
  <conditionalFormatting sqref="AD231 AD175 AD229 AD227 AD225 AD223 AD221 AD219 AD217 AD215 AD213 AD211 AD209 AD207 AD205 AD203 AD201 AD199 AD197 AD195 AD193 AD191 AD189 AD187 AD185 AD183 AD181 AD179 AD177">
    <cfRule type="colorScale" priority="11">
      <colorScale>
        <cfvo type="min"/>
        <cfvo type="percentile" val="50"/>
        <cfvo type="max"/>
        <color rgb="FF63BE7B"/>
        <color rgb="FFFFEB84"/>
        <color rgb="FFF8696B"/>
      </colorScale>
    </cfRule>
  </conditionalFormatting>
  <conditionalFormatting sqref="AD175">
    <cfRule type="colorScale" priority="10">
      <colorScale>
        <cfvo type="min"/>
        <cfvo type="percentile" val="50"/>
        <cfvo type="max"/>
        <color rgb="FF63BE7B"/>
        <color rgb="FFFFEB84"/>
        <color rgb="FFF8696B"/>
      </colorScale>
    </cfRule>
  </conditionalFormatting>
  <conditionalFormatting sqref="A82:AE82 A83:AD83">
    <cfRule type="colorScale" priority="8">
      <colorScale>
        <cfvo type="min"/>
        <cfvo type="percentile" val="50"/>
        <cfvo type="max"/>
        <color rgb="FF63BE7B"/>
        <color rgb="FFFFEB84"/>
        <color rgb="FFF8696B"/>
      </colorScale>
    </cfRule>
  </conditionalFormatting>
  <conditionalFormatting sqref="A85:AE85">
    <cfRule type="colorScale" priority="7">
      <colorScale>
        <cfvo type="min"/>
        <cfvo type="percentile" val="50"/>
        <cfvo type="max"/>
        <color rgb="FF63BE7B"/>
        <color rgb="FFFFEB84"/>
        <color rgb="FFF8696B"/>
      </colorScale>
    </cfRule>
  </conditionalFormatting>
  <conditionalFormatting sqref="AE83">
    <cfRule type="colorScale" priority="4">
      <colorScale>
        <cfvo type="min"/>
        <cfvo type="percentile" val="50"/>
        <cfvo type="max"/>
        <color rgb="FF63BE7B"/>
        <color rgb="FFFFEB84"/>
        <color rgb="FFF8696B"/>
      </colorScale>
    </cfRule>
  </conditionalFormatting>
  <conditionalFormatting sqref="A82:AE85">
    <cfRule type="colorScale" priority="3">
      <colorScale>
        <cfvo type="min"/>
        <cfvo type="percentile" val="50"/>
        <cfvo type="max"/>
        <color rgb="FF63BE7B"/>
        <color rgb="FFFFEB84"/>
        <color rgb="FFF8696B"/>
      </colorScale>
    </cfRule>
  </conditionalFormatting>
  <conditionalFormatting sqref="A82:AE82">
    <cfRule type="colorScale" priority="2">
      <colorScale>
        <cfvo type="min"/>
        <cfvo type="percentile" val="50"/>
        <cfvo type="max"/>
        <color rgb="FF63BE7B"/>
        <color rgb="FFFFEB84"/>
        <color rgb="FFF8696B"/>
      </colorScale>
    </cfRule>
  </conditionalFormatting>
  <conditionalFormatting sqref="A76">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adMeSheet">
                <anchor moveWithCells="1" sizeWithCells="1">
                  <from>
                    <xdr:col>6</xdr:col>
                    <xdr:colOff>861060</xdr:colOff>
                    <xdr:row>6</xdr:row>
                    <xdr:rowOff>175260</xdr:rowOff>
                  </from>
                  <to>
                    <xdr:col>8</xdr:col>
                    <xdr:colOff>441960</xdr:colOff>
                    <xdr:row>8</xdr:row>
                    <xdr:rowOff>175260</xdr:rowOff>
                  </to>
                </anchor>
              </controlPr>
            </control>
          </mc:Choice>
        </mc:AlternateContent>
        <mc:AlternateContent xmlns:mc="http://schemas.openxmlformats.org/markup-compatibility/2006">
          <mc:Choice Requires="x14">
            <control shapeId="17410" r:id="rId5" name="Button 2">
              <controlPr defaultSize="0" print="0" autoFill="0" autoPict="0" macro="[0]!InputsSheet">
                <anchor moveWithCells="1" sizeWithCells="1">
                  <from>
                    <xdr:col>9</xdr:col>
                    <xdr:colOff>289560</xdr:colOff>
                    <xdr:row>6</xdr:row>
                    <xdr:rowOff>152400</xdr:rowOff>
                  </from>
                  <to>
                    <xdr:col>11</xdr:col>
                    <xdr:colOff>60960</xdr:colOff>
                    <xdr:row>8</xdr:row>
                    <xdr:rowOff>175260</xdr:rowOff>
                  </to>
                </anchor>
              </controlPr>
            </control>
          </mc:Choice>
        </mc:AlternateContent>
        <mc:AlternateContent xmlns:mc="http://schemas.openxmlformats.org/markup-compatibility/2006">
          <mc:Choice Requires="x14">
            <control shapeId="17411" r:id="rId6" name="Button 3">
              <controlPr defaultSize="0" print="0" autoFill="0" autoPict="0" macro="[0]!HedgeRatio">
                <anchor moveWithCells="1" sizeWithCells="1">
                  <from>
                    <xdr:col>8</xdr:col>
                    <xdr:colOff>822960</xdr:colOff>
                    <xdr:row>1</xdr:row>
                    <xdr:rowOff>457200</xdr:rowOff>
                  </from>
                  <to>
                    <xdr:col>11</xdr:col>
                    <xdr:colOff>0</xdr:colOff>
                    <xdr:row>3</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75635C5-81DC-3C45-9E77-04FD02390C86}">
            <x14:dataBar minLength="0" maxLength="100" border="1" negativeBarBorderColorSameAsPositive="0">
              <x14:cfvo type="autoMin"/>
              <x14:cfvo type="autoMax"/>
              <x14:borderColor rgb="FF638EC6"/>
              <x14:negativeFillColor rgb="FFFF0000"/>
              <x14:negativeBorderColor rgb="FFFF0000"/>
              <x14:axisColor rgb="FF000000"/>
            </x14:dataBar>
          </x14:cfRule>
          <xm:sqref>A48</xm:sqref>
        </x14:conditionalFormatting>
        <x14:conditionalFormatting xmlns:xm="http://schemas.microsoft.com/office/excel/2006/main">
          <x14:cfRule type="dataBar" id="{77052FC0-79DF-FD4B-897F-8F997C61CCDC}">
            <x14:dataBar minLength="0" maxLength="100" border="1" negativeBarBorderColorSameAsPositive="0">
              <x14:cfvo type="autoMin"/>
              <x14:cfvo type="autoMax"/>
              <x14:borderColor rgb="FF638EC6"/>
              <x14:negativeFillColor rgb="FFFF0000"/>
              <x14:negativeBorderColor rgb="FFFF0000"/>
              <x14:axisColor rgb="FF000000"/>
            </x14:dataBar>
          </x14:cfRule>
          <xm:sqref>B49 B47 C46 C48 C50 D45 E44 D47 E46 D49 E48 D51 E50 E52</xm:sqref>
        </x14:conditionalFormatting>
        <x14:conditionalFormatting xmlns:xm="http://schemas.microsoft.com/office/excel/2006/main">
          <x14:cfRule type="dataBar" id="{D19355BC-6ABB-604F-8B65-64765493A0B5}">
            <x14:dataBar minLength="0" maxLength="100" border="1" negativeBarBorderColorSameAsPositive="0">
              <x14:cfvo type="autoMin"/>
              <x14:cfvo type="autoMax"/>
              <x14:borderColor rgb="FF638EC6"/>
              <x14:negativeFillColor rgb="FFFF0000"/>
              <x14:negativeBorderColor rgb="FFFF0000"/>
              <x14:axisColor rgb="FF000000"/>
            </x14:dataBar>
          </x14:cfRule>
          <xm:sqref>I38 F43 G42 H41 I40 J39 K38 L37</xm:sqref>
        </x14:conditionalFormatting>
        <x14:conditionalFormatting xmlns:xm="http://schemas.microsoft.com/office/excel/2006/main">
          <x14:cfRule type="dataBar" id="{A13BA47E-6973-994A-9A5B-027A06D154DC}">
            <x14:dataBar minLength="0" maxLength="100" border="1" negativeBarBorderColorSameAsPositive="0">
              <x14:cfvo type="autoMin"/>
              <x14:cfvo type="autoMax"/>
              <x14:borderColor rgb="FF638EC6"/>
              <x14:negativeFillColor rgb="FFFF0000"/>
              <x14:negativeBorderColor rgb="FFFF0000"/>
              <x14:axisColor rgb="FF000000"/>
            </x14:dataBar>
          </x14:cfRule>
          <xm:sqref>F40 F45 F47 F49 F51 F53 G54 G50 G52 G48 G46 G44 H43 I42 J41 K40 L39 L41 K42 J43 I44 H45 H47 I46 J45 K44 L43 L45 K46 J47 I48 H49 H51 J49 K48 L47 L49 K50 J51 I50 I52 H53 I54 H55 I56 J57 K58 L59 L57 K56 J55 K54 J53 K52 L51 L53 L55</xm:sqref>
        </x14:conditionalFormatting>
        <x14:conditionalFormatting xmlns:xm="http://schemas.microsoft.com/office/excel/2006/main">
          <x14:cfRule type="dataBar" id="{5990B4A8-9EC6-8848-AF90-8326B4C77D13}">
            <x14:dataBar minLength="0" maxLength="100" border="1" negativeBarBorderColorSameAsPositive="0">
              <x14:cfvo type="autoMin"/>
              <x14:cfvo type="autoMax"/>
              <x14:borderColor rgb="FF638EC6"/>
              <x14:negativeFillColor rgb="FFFF0000"/>
              <x14:negativeBorderColor rgb="FFFF0000"/>
              <x14:axisColor rgb="FF000000"/>
            </x14:dataBar>
          </x14:cfRule>
          <xm:sqref>M36</xm:sqref>
        </x14:conditionalFormatting>
        <x14:conditionalFormatting xmlns:xm="http://schemas.microsoft.com/office/excel/2006/main">
          <x14:cfRule type="dataBar" id="{FDF32129-DF04-984A-87D3-742B0B672EB7}">
            <x14:dataBar minLength="0" maxLength="100" border="1" negativeBarBorderColorSameAsPositive="0">
              <x14:cfvo type="autoMin"/>
              <x14:cfvo type="autoMax"/>
              <x14:borderColor rgb="FF638EC6"/>
              <x14:negativeFillColor rgb="FFFF0000"/>
              <x14:negativeBorderColor rgb="FFFF0000"/>
              <x14:axisColor rgb="FF000000"/>
            </x14:dataBar>
          </x14:cfRule>
          <xm:sqref>N35</xm:sqref>
        </x14:conditionalFormatting>
        <x14:conditionalFormatting xmlns:xm="http://schemas.microsoft.com/office/excel/2006/main">
          <x14:cfRule type="dataBar" id="{23E4C0DE-C0D0-9446-8580-C350F7668D96}">
            <x14:dataBar minLength="0" maxLength="100" border="1" negativeBarBorderColorSameAsPositive="0">
              <x14:cfvo type="autoMin"/>
              <x14:cfvo type="autoMax"/>
              <x14:borderColor rgb="FF638EC6"/>
              <x14:negativeFillColor rgb="FFFF0000"/>
              <x14:negativeBorderColor rgb="FFFF0000"/>
              <x14:axisColor rgb="FF000000"/>
            </x14:dataBar>
          </x14:cfRule>
          <xm:sqref>O34</xm:sqref>
        </x14:conditionalFormatting>
        <x14:conditionalFormatting xmlns:xm="http://schemas.microsoft.com/office/excel/2006/main">
          <x14:cfRule type="dataBar" id="{8A59DCE9-A9A2-0F4A-9445-2F4E3E267EA9}">
            <x14:dataBar minLength="0" maxLength="100" border="1" negativeBarBorderColorSameAsPositive="0">
              <x14:cfvo type="autoMin"/>
              <x14:cfvo type="autoMax"/>
              <x14:borderColor rgb="FF638EC6"/>
              <x14:negativeFillColor rgb="FFFF0000"/>
              <x14:negativeBorderColor rgb="FFFF0000"/>
              <x14:axisColor rgb="FF000000"/>
            </x14:dataBar>
          </x14:cfRule>
          <xm:sqref>L37</xm:sqref>
        </x14:conditionalFormatting>
        <x14:conditionalFormatting xmlns:xm="http://schemas.microsoft.com/office/excel/2006/main">
          <x14:cfRule type="dataBar" id="{9D6E7E0E-4D1B-0B47-A217-1C34ECDB3586}">
            <x14:dataBar minLength="0" maxLength="100" border="1" negativeBarBorderColorSameAsPositive="0">
              <x14:cfvo type="autoMin"/>
              <x14:cfvo type="autoMax"/>
              <x14:borderColor rgb="FF638EC6"/>
              <x14:negativeFillColor rgb="FFFF0000"/>
              <x14:negativeBorderColor rgb="FFFF0000"/>
              <x14:axisColor rgb="FF000000"/>
            </x14:dataBar>
          </x14:cfRule>
          <xm:sqref>P33</xm:sqref>
        </x14:conditionalFormatting>
        <x14:conditionalFormatting xmlns:xm="http://schemas.microsoft.com/office/excel/2006/main">
          <x14:cfRule type="dataBar" id="{9A3973B2-4729-C34E-B53B-7975BC781D5F}">
            <x14:dataBar minLength="0" maxLength="100" border="1" negativeBarBorderColorSameAsPositive="0">
              <x14:cfvo type="autoMin"/>
              <x14:cfvo type="autoMax"/>
              <x14:borderColor rgb="FF638EC6"/>
              <x14:negativeFillColor rgb="FFFF0000"/>
              <x14:negativeBorderColor rgb="FFFF0000"/>
              <x14:axisColor rgb="FF000000"/>
            </x14:dataBar>
          </x14:cfRule>
          <xm:sqref>Q32</xm:sqref>
        </x14:conditionalFormatting>
        <x14:conditionalFormatting xmlns:xm="http://schemas.microsoft.com/office/excel/2006/main">
          <x14:cfRule type="dataBar" id="{DB6886B8-0BCC-6645-9622-003F31AB1A19}">
            <x14:dataBar minLength="0" maxLength="100" border="1" negativeBarBorderColorSameAsPositive="0">
              <x14:cfvo type="autoMin"/>
              <x14:cfvo type="autoMax"/>
              <x14:borderColor rgb="FF638EC6"/>
              <x14:negativeFillColor rgb="FFFF0000"/>
              <x14:negativeBorderColor rgb="FFFF0000"/>
              <x14:axisColor rgb="FF000000"/>
            </x14:dataBar>
          </x14:cfRule>
          <xm:sqref>R31</xm:sqref>
        </x14:conditionalFormatting>
        <x14:conditionalFormatting xmlns:xm="http://schemas.microsoft.com/office/excel/2006/main">
          <x14:cfRule type="dataBar" id="{97D76725-E406-4C4D-A4B7-9FF8D6D03725}">
            <x14:dataBar minLength="0" maxLength="100" border="1" negativeBarBorderColorSameAsPositive="0">
              <x14:cfvo type="autoMin"/>
              <x14:cfvo type="autoMax"/>
              <x14:borderColor rgb="FF638EC6"/>
              <x14:negativeFillColor rgb="FFFF0000"/>
              <x14:negativeBorderColor rgb="FFFF0000"/>
              <x14:axisColor rgb="FF000000"/>
            </x14:dataBar>
          </x14:cfRule>
          <xm:sqref>S30</xm:sqref>
        </x14:conditionalFormatting>
        <x14:conditionalFormatting xmlns:xm="http://schemas.microsoft.com/office/excel/2006/main">
          <x14:cfRule type="dataBar" id="{D354B614-CF89-8749-9F41-140021F01BAC}">
            <x14:dataBar minLength="0" maxLength="100" border="1" negativeBarBorderColorSameAsPositive="0">
              <x14:cfvo type="autoMin"/>
              <x14:cfvo type="autoMax"/>
              <x14:borderColor rgb="FF638EC6"/>
              <x14:negativeFillColor rgb="FFFF0000"/>
              <x14:negativeBorderColor rgb="FFFF0000"/>
              <x14:axisColor rgb="FF000000"/>
            </x14:dataBar>
          </x14:cfRule>
          <xm:sqref>T29</xm:sqref>
        </x14:conditionalFormatting>
        <x14:conditionalFormatting xmlns:xm="http://schemas.microsoft.com/office/excel/2006/main">
          <x14:cfRule type="dataBar" id="{34832AC1-3F03-5948-978F-79F4D33FAEC6}">
            <x14:dataBar minLength="0" maxLength="100" border="1" negativeBarBorderColorSameAsPositive="0">
              <x14:cfvo type="autoMin"/>
              <x14:cfvo type="autoMax"/>
              <x14:borderColor rgb="FF638EC6"/>
              <x14:negativeFillColor rgb="FFFF0000"/>
              <x14:negativeBorderColor rgb="FFFF0000"/>
              <x14:axisColor rgb="FF000000"/>
            </x14:dataBar>
          </x14:cfRule>
          <xm:sqref>U28</xm:sqref>
        </x14:conditionalFormatting>
        <x14:conditionalFormatting xmlns:xm="http://schemas.microsoft.com/office/excel/2006/main">
          <x14:cfRule type="dataBar" id="{68DDED7A-E54A-6240-A810-A462CC8CAD29}">
            <x14:dataBar minLength="0" maxLength="100" border="1" negativeBarBorderColorSameAsPositive="0">
              <x14:cfvo type="autoMin"/>
              <x14:cfvo type="autoMax"/>
              <x14:borderColor rgb="FF638EC6"/>
              <x14:negativeFillColor rgb="FFFF0000"/>
              <x14:negativeBorderColor rgb="FFFF0000"/>
              <x14:axisColor rgb="FF000000"/>
            </x14:dataBar>
          </x14:cfRule>
          <xm:sqref>V27</xm:sqref>
        </x14:conditionalFormatting>
        <x14:conditionalFormatting xmlns:xm="http://schemas.microsoft.com/office/excel/2006/main">
          <x14:cfRule type="dataBar" id="{A9BA5E8A-0EE3-AA44-A697-E9A0B1F8C701}">
            <x14:dataBar minLength="0" maxLength="100" border="1" negativeBarBorderColorSameAsPositive="0">
              <x14:cfvo type="autoMin"/>
              <x14:cfvo type="autoMax"/>
              <x14:borderColor rgb="FF638EC6"/>
              <x14:negativeFillColor rgb="FFFF0000"/>
              <x14:negativeBorderColor rgb="FFFF0000"/>
              <x14:axisColor rgb="FF000000"/>
            </x14:dataBar>
          </x14:cfRule>
          <xm:sqref>W26</xm:sqref>
        </x14:conditionalFormatting>
        <x14:conditionalFormatting xmlns:xm="http://schemas.microsoft.com/office/excel/2006/main">
          <x14:cfRule type="dataBar" id="{E00128AF-5252-634B-AB14-CA186AA16766}">
            <x14:dataBar minLength="0" maxLength="100" border="1" negativeBarBorderColorSameAsPositive="0">
              <x14:cfvo type="autoMin"/>
              <x14:cfvo type="autoMax"/>
              <x14:borderColor rgb="FF638EC6"/>
              <x14:negativeFillColor rgb="FFFF0000"/>
              <x14:negativeBorderColor rgb="FFFF0000"/>
              <x14:axisColor rgb="FF000000"/>
            </x14:dataBar>
          </x14:cfRule>
          <xm:sqref>X25</xm:sqref>
        </x14:conditionalFormatting>
        <x14:conditionalFormatting xmlns:xm="http://schemas.microsoft.com/office/excel/2006/main">
          <x14:cfRule type="dataBar" id="{0F2C21AE-8CBB-BA4F-AC04-FAAB212E3BEC}">
            <x14:dataBar minLength="0" maxLength="100" border="1" negativeBarBorderColorSameAsPositive="0">
              <x14:cfvo type="autoMin"/>
              <x14:cfvo type="autoMax"/>
              <x14:borderColor rgb="FF638EC6"/>
              <x14:negativeFillColor rgb="FFFF0000"/>
              <x14:negativeBorderColor rgb="FFFF0000"/>
              <x14:axisColor rgb="FF000000"/>
            </x14:dataBar>
          </x14:cfRule>
          <xm:sqref>Y24</xm:sqref>
        </x14:conditionalFormatting>
        <x14:conditionalFormatting xmlns:xm="http://schemas.microsoft.com/office/excel/2006/main">
          <x14:cfRule type="dataBar" id="{3380069C-A311-4E4B-AC8C-AB8D3669D6DB}">
            <x14:dataBar minLength="0" maxLength="100" border="1" negativeBarBorderColorSameAsPositive="0">
              <x14:cfvo type="autoMin"/>
              <x14:cfvo type="autoMax"/>
              <x14:borderColor rgb="FF638EC6"/>
              <x14:negativeFillColor rgb="FFFF0000"/>
              <x14:negativeBorderColor rgb="FFFF0000"/>
              <x14:axisColor rgb="FF000000"/>
            </x14:dataBar>
          </x14:cfRule>
          <xm:sqref>Z23</xm:sqref>
        </x14:conditionalFormatting>
        <x14:conditionalFormatting xmlns:xm="http://schemas.microsoft.com/office/excel/2006/main">
          <x14:cfRule type="dataBar" id="{412266D8-C2D1-7443-8CEF-9830A56ACB82}">
            <x14:dataBar minLength="0" maxLength="100" border="1" negativeBarBorderColorSameAsPositive="0">
              <x14:cfvo type="autoMin"/>
              <x14:cfvo type="autoMax"/>
              <x14:borderColor rgb="FF638EC6"/>
              <x14:negativeFillColor rgb="FFFF0000"/>
              <x14:negativeBorderColor rgb="FFFF0000"/>
              <x14:axisColor rgb="FF000000"/>
            </x14:dataBar>
          </x14:cfRule>
          <xm:sqref>AA22</xm:sqref>
        </x14:conditionalFormatting>
        <x14:conditionalFormatting xmlns:xm="http://schemas.microsoft.com/office/excel/2006/main">
          <x14:cfRule type="dataBar" id="{676A1F89-7D4E-DB4B-A5DD-C2C97B53F940}">
            <x14:dataBar minLength="0" maxLength="100" border="1" negativeBarBorderColorSameAsPositive="0">
              <x14:cfvo type="autoMin"/>
              <x14:cfvo type="autoMax"/>
              <x14:borderColor rgb="FF638EC6"/>
              <x14:negativeFillColor rgb="FFFF0000"/>
              <x14:negativeBorderColor rgb="FFFF0000"/>
              <x14:axisColor rgb="FF000000"/>
            </x14:dataBar>
          </x14:cfRule>
          <xm:sqref>AB21</xm:sqref>
        </x14:conditionalFormatting>
        <x14:conditionalFormatting xmlns:xm="http://schemas.microsoft.com/office/excel/2006/main">
          <x14:cfRule type="dataBar" id="{925BAE59-AC8A-D945-8243-898F9A2FF70D}">
            <x14:dataBar minLength="0" maxLength="100" border="1" negativeBarBorderColorSameAsPositive="0">
              <x14:cfvo type="autoMin"/>
              <x14:cfvo type="autoMax"/>
              <x14:borderColor rgb="FF638EC6"/>
              <x14:negativeFillColor rgb="FFFF0000"/>
              <x14:negativeBorderColor rgb="FFFF0000"/>
              <x14:axisColor rgb="FF000000"/>
            </x14:dataBar>
          </x14:cfRule>
          <xm:sqref>AC20</xm:sqref>
        </x14:conditionalFormatting>
        <x14:conditionalFormatting xmlns:xm="http://schemas.microsoft.com/office/excel/2006/main">
          <x14:cfRule type="dataBar" id="{AD9D6048-020C-4345-93A6-7549F998D845}">
            <x14:dataBar minLength="0" maxLength="100" border="1" negativeBarBorderColorSameAsPositive="0">
              <x14:cfvo type="autoMin"/>
              <x14:cfvo type="autoMax"/>
              <x14:borderColor rgb="FF638EC6"/>
              <x14:negativeFillColor rgb="FFFF0000"/>
              <x14:negativeBorderColor rgb="FFFF0000"/>
              <x14:axisColor rgb="FF000000"/>
            </x14:dataBar>
          </x14:cfRule>
          <xm:sqref>AD19</xm:sqref>
        </x14:conditionalFormatting>
        <x14:conditionalFormatting xmlns:xm="http://schemas.microsoft.com/office/excel/2006/main">
          <x14:cfRule type="dataBar" id="{5E252290-55CE-0145-BFAE-59DB904A194D}">
            <x14:dataBar minLength="0" maxLength="100" border="1" negativeBarBorderColorSameAsPositive="0">
              <x14:cfvo type="autoMin"/>
              <x14:cfvo type="autoMax"/>
              <x14:borderColor rgb="FF638EC6"/>
              <x14:negativeFillColor rgb="FFFF0000"/>
              <x14:negativeBorderColor rgb="FFFF0000"/>
              <x14:axisColor rgb="FF000000"/>
            </x14:dataBar>
          </x14:cfRule>
          <xm:sqref>AE18</xm:sqref>
        </x14:conditionalFormatting>
        <x14:conditionalFormatting xmlns:xm="http://schemas.microsoft.com/office/excel/2006/main">
          <x14:cfRule type="dataBar" id="{3BA9102A-F783-914A-AB8F-91AE07273876}">
            <x14:dataBar minLength="0" maxLength="100" border="1" negativeBarBorderColorSameAsPositive="0">
              <x14:cfvo type="autoMin"/>
              <x14:cfvo type="autoMax"/>
              <x14:borderColor rgb="FF638EC6"/>
              <x14:negativeFillColor rgb="FFFF0000"/>
              <x14:negativeBorderColor rgb="FFFF0000"/>
              <x14:axisColor rgb="FF000000"/>
            </x14:dataBar>
          </x14:cfRule>
          <xm:sqref>M38</xm:sqref>
        </x14:conditionalFormatting>
        <x14:conditionalFormatting xmlns:xm="http://schemas.microsoft.com/office/excel/2006/main">
          <x14:cfRule type="dataBar" id="{17BC8317-D4DC-504D-BC78-7DEB82B5EDCF}">
            <x14:dataBar minLength="0" maxLength="100" border="1" negativeBarBorderColorSameAsPositive="0">
              <x14:cfvo type="autoMin"/>
              <x14:cfvo type="autoMax"/>
              <x14:borderColor rgb="FF638EC6"/>
              <x14:negativeFillColor rgb="FFFF0000"/>
              <x14:negativeBorderColor rgb="FFFF0000"/>
              <x14:axisColor rgb="FF000000"/>
            </x14:dataBar>
          </x14:cfRule>
          <xm:sqref>O36</xm:sqref>
        </x14:conditionalFormatting>
        <x14:conditionalFormatting xmlns:xm="http://schemas.microsoft.com/office/excel/2006/main">
          <x14:cfRule type="dataBar" id="{100230D9-657A-954E-A3FE-855561581426}">
            <x14:dataBar minLength="0" maxLength="100" border="1" negativeBarBorderColorSameAsPositive="0">
              <x14:cfvo type="autoMin"/>
              <x14:cfvo type="autoMax"/>
              <x14:borderColor rgb="FF638EC6"/>
              <x14:negativeFillColor rgb="FFFF0000"/>
              <x14:negativeBorderColor rgb="FFFF0000"/>
              <x14:axisColor rgb="FF000000"/>
            </x14:dataBar>
          </x14:cfRule>
          <xm:sqref>P35</xm:sqref>
        </x14:conditionalFormatting>
        <x14:conditionalFormatting xmlns:xm="http://schemas.microsoft.com/office/excel/2006/main">
          <x14:cfRule type="dataBar" id="{1BBA7B0E-340A-6C49-B9A5-B33BDDE27879}">
            <x14:dataBar minLength="0" maxLength="100" border="1" negativeBarBorderColorSameAsPositive="0">
              <x14:cfvo type="autoMin"/>
              <x14:cfvo type="autoMax"/>
              <x14:borderColor rgb="FF638EC6"/>
              <x14:negativeFillColor rgb="FFFF0000"/>
              <x14:negativeBorderColor rgb="FFFF0000"/>
              <x14:axisColor rgb="FF000000"/>
            </x14:dataBar>
          </x14:cfRule>
          <xm:sqref>Q34</xm:sqref>
        </x14:conditionalFormatting>
        <x14:conditionalFormatting xmlns:xm="http://schemas.microsoft.com/office/excel/2006/main">
          <x14:cfRule type="dataBar" id="{9C91098D-A598-5649-B7F5-4121E209A64B}">
            <x14:dataBar minLength="0" maxLength="100" border="1" negativeBarBorderColorSameAsPositive="0">
              <x14:cfvo type="autoMin"/>
              <x14:cfvo type="autoMax"/>
              <x14:borderColor rgb="FF638EC6"/>
              <x14:negativeFillColor rgb="FFFF0000"/>
              <x14:negativeBorderColor rgb="FFFF0000"/>
              <x14:axisColor rgb="FF000000"/>
            </x14:dataBar>
          </x14:cfRule>
          <xm:sqref>R33</xm:sqref>
        </x14:conditionalFormatting>
        <x14:conditionalFormatting xmlns:xm="http://schemas.microsoft.com/office/excel/2006/main">
          <x14:cfRule type="dataBar" id="{A46FC038-F965-6446-A068-E48AB24A96D0}">
            <x14:dataBar minLength="0" maxLength="100" border="1" negativeBarBorderColorSameAsPositive="0">
              <x14:cfvo type="autoMin"/>
              <x14:cfvo type="autoMax"/>
              <x14:borderColor rgb="FF638EC6"/>
              <x14:negativeFillColor rgb="FFFF0000"/>
              <x14:negativeBorderColor rgb="FFFF0000"/>
              <x14:axisColor rgb="FF000000"/>
            </x14:dataBar>
          </x14:cfRule>
          <xm:sqref>S32</xm:sqref>
        </x14:conditionalFormatting>
        <x14:conditionalFormatting xmlns:xm="http://schemas.microsoft.com/office/excel/2006/main">
          <x14:cfRule type="dataBar" id="{8D8BA1DD-C4F5-B146-AAFB-3DFE3BACFA80}">
            <x14:dataBar minLength="0" maxLength="100" border="1" negativeBarBorderColorSameAsPositive="0">
              <x14:cfvo type="autoMin"/>
              <x14:cfvo type="autoMax"/>
              <x14:borderColor rgb="FF638EC6"/>
              <x14:negativeFillColor rgb="FFFF0000"/>
              <x14:negativeBorderColor rgb="FFFF0000"/>
              <x14:axisColor rgb="FF000000"/>
            </x14:dataBar>
          </x14:cfRule>
          <xm:sqref>T31</xm:sqref>
        </x14:conditionalFormatting>
        <x14:conditionalFormatting xmlns:xm="http://schemas.microsoft.com/office/excel/2006/main">
          <x14:cfRule type="dataBar" id="{D3EA0A16-82F6-254D-8242-FF0D6442B04B}">
            <x14:dataBar minLength="0" maxLength="100" border="1" negativeBarBorderColorSameAsPositive="0">
              <x14:cfvo type="autoMin"/>
              <x14:cfvo type="autoMax"/>
              <x14:borderColor rgb="FF638EC6"/>
              <x14:negativeFillColor rgb="FFFF0000"/>
              <x14:negativeBorderColor rgb="FFFF0000"/>
              <x14:axisColor rgb="FF000000"/>
            </x14:dataBar>
          </x14:cfRule>
          <xm:sqref>U30</xm:sqref>
        </x14:conditionalFormatting>
        <x14:conditionalFormatting xmlns:xm="http://schemas.microsoft.com/office/excel/2006/main">
          <x14:cfRule type="dataBar" id="{3C0876E5-BA9F-D144-89D1-F1163E34475B}">
            <x14:dataBar minLength="0" maxLength="100" border="1" negativeBarBorderColorSameAsPositive="0">
              <x14:cfvo type="autoMin"/>
              <x14:cfvo type="autoMax"/>
              <x14:borderColor rgb="FF638EC6"/>
              <x14:negativeFillColor rgb="FFFF0000"/>
              <x14:negativeBorderColor rgb="FFFF0000"/>
              <x14:axisColor rgb="FF000000"/>
            </x14:dataBar>
          </x14:cfRule>
          <xm:sqref>V29</xm:sqref>
        </x14:conditionalFormatting>
        <x14:conditionalFormatting xmlns:xm="http://schemas.microsoft.com/office/excel/2006/main">
          <x14:cfRule type="dataBar" id="{79571811-730F-8949-AE05-BD716CC7E842}">
            <x14:dataBar minLength="0" maxLength="100" border="1" negativeBarBorderColorSameAsPositive="0">
              <x14:cfvo type="autoMin"/>
              <x14:cfvo type="autoMax"/>
              <x14:borderColor rgb="FF638EC6"/>
              <x14:negativeFillColor rgb="FFFF0000"/>
              <x14:negativeBorderColor rgb="FFFF0000"/>
              <x14:axisColor rgb="FF000000"/>
            </x14:dataBar>
          </x14:cfRule>
          <xm:sqref>W28</xm:sqref>
        </x14:conditionalFormatting>
        <x14:conditionalFormatting xmlns:xm="http://schemas.microsoft.com/office/excel/2006/main">
          <x14:cfRule type="dataBar" id="{E540B8E4-80D7-FA47-9487-14C4370D0E16}">
            <x14:dataBar minLength="0" maxLength="100" border="1" negativeBarBorderColorSameAsPositive="0">
              <x14:cfvo type="autoMin"/>
              <x14:cfvo type="autoMax"/>
              <x14:borderColor rgb="FF638EC6"/>
              <x14:negativeFillColor rgb="FFFF0000"/>
              <x14:negativeBorderColor rgb="FFFF0000"/>
              <x14:axisColor rgb="FF000000"/>
            </x14:dataBar>
          </x14:cfRule>
          <xm:sqref>X27</xm:sqref>
        </x14:conditionalFormatting>
        <x14:conditionalFormatting xmlns:xm="http://schemas.microsoft.com/office/excel/2006/main">
          <x14:cfRule type="dataBar" id="{BC556086-9F8D-AE4B-837A-EAD4C449B532}">
            <x14:dataBar minLength="0" maxLength="100" border="1" negativeBarBorderColorSameAsPositive="0">
              <x14:cfvo type="autoMin"/>
              <x14:cfvo type="autoMax"/>
              <x14:borderColor rgb="FF638EC6"/>
              <x14:negativeFillColor rgb="FFFF0000"/>
              <x14:negativeBorderColor rgb="FFFF0000"/>
              <x14:axisColor rgb="FF000000"/>
            </x14:dataBar>
          </x14:cfRule>
          <xm:sqref>Y26</xm:sqref>
        </x14:conditionalFormatting>
        <x14:conditionalFormatting xmlns:xm="http://schemas.microsoft.com/office/excel/2006/main">
          <x14:cfRule type="dataBar" id="{A911920D-9659-2C40-A659-4F698EE8A339}">
            <x14:dataBar minLength="0" maxLength="100" border="1" negativeBarBorderColorSameAsPositive="0">
              <x14:cfvo type="autoMin"/>
              <x14:cfvo type="autoMax"/>
              <x14:borderColor rgb="FF638EC6"/>
              <x14:negativeFillColor rgb="FFFF0000"/>
              <x14:negativeBorderColor rgb="FFFF0000"/>
              <x14:axisColor rgb="FF000000"/>
            </x14:dataBar>
          </x14:cfRule>
          <xm:sqref>Z25</xm:sqref>
        </x14:conditionalFormatting>
        <x14:conditionalFormatting xmlns:xm="http://schemas.microsoft.com/office/excel/2006/main">
          <x14:cfRule type="dataBar" id="{B2FAFB05-7C15-1F46-A01E-82A628F09235}">
            <x14:dataBar minLength="0" maxLength="100" border="1" negativeBarBorderColorSameAsPositive="0">
              <x14:cfvo type="autoMin"/>
              <x14:cfvo type="autoMax"/>
              <x14:borderColor rgb="FF638EC6"/>
              <x14:negativeFillColor rgb="FFFF0000"/>
              <x14:negativeBorderColor rgb="FFFF0000"/>
              <x14:axisColor rgb="FF000000"/>
            </x14:dataBar>
          </x14:cfRule>
          <xm:sqref>AA24</xm:sqref>
        </x14:conditionalFormatting>
        <x14:conditionalFormatting xmlns:xm="http://schemas.microsoft.com/office/excel/2006/main">
          <x14:cfRule type="dataBar" id="{BB02F907-6350-1746-9753-35F6AC7A73DF}">
            <x14:dataBar minLength="0" maxLength="100" border="1" negativeBarBorderColorSameAsPositive="0">
              <x14:cfvo type="autoMin"/>
              <x14:cfvo type="autoMax"/>
              <x14:borderColor rgb="FF638EC6"/>
              <x14:negativeFillColor rgb="FFFF0000"/>
              <x14:negativeBorderColor rgb="FFFF0000"/>
              <x14:axisColor rgb="FF000000"/>
            </x14:dataBar>
          </x14:cfRule>
          <xm:sqref>AB23</xm:sqref>
        </x14:conditionalFormatting>
        <x14:conditionalFormatting xmlns:xm="http://schemas.microsoft.com/office/excel/2006/main">
          <x14:cfRule type="dataBar" id="{761DC358-0F20-1741-AD6A-21116B8353D3}">
            <x14:dataBar minLength="0" maxLength="100" border="1" negativeBarBorderColorSameAsPositive="0">
              <x14:cfvo type="autoMin"/>
              <x14:cfvo type="autoMax"/>
              <x14:borderColor rgb="FF638EC6"/>
              <x14:negativeFillColor rgb="FFFF0000"/>
              <x14:negativeBorderColor rgb="FFFF0000"/>
              <x14:axisColor rgb="FF000000"/>
            </x14:dataBar>
          </x14:cfRule>
          <xm:sqref>AC22</xm:sqref>
        </x14:conditionalFormatting>
        <x14:conditionalFormatting xmlns:xm="http://schemas.microsoft.com/office/excel/2006/main">
          <x14:cfRule type="dataBar" id="{D64797A3-2E8D-5D41-9A2E-207FC3CDC2DB}">
            <x14:dataBar minLength="0" maxLength="100" border="1" negativeBarBorderColorSameAsPositive="0">
              <x14:cfvo type="autoMin"/>
              <x14:cfvo type="autoMax"/>
              <x14:borderColor rgb="FF638EC6"/>
              <x14:negativeFillColor rgb="FFFF0000"/>
              <x14:negativeBorderColor rgb="FFFF0000"/>
              <x14:axisColor rgb="FF000000"/>
            </x14:dataBar>
          </x14:cfRule>
          <xm:sqref>AD21</xm:sqref>
        </x14:conditionalFormatting>
        <x14:conditionalFormatting xmlns:xm="http://schemas.microsoft.com/office/excel/2006/main">
          <x14:cfRule type="dataBar" id="{88540EE1-4662-FF46-9B5B-B2AEDE8E2CC0}">
            <x14:dataBar minLength="0" maxLength="100" border="1" negativeBarBorderColorSameAsPositive="0">
              <x14:cfvo type="autoMin"/>
              <x14:cfvo type="autoMax"/>
              <x14:borderColor rgb="FF638EC6"/>
              <x14:negativeFillColor rgb="FFFF0000"/>
              <x14:negativeBorderColor rgb="FFFF0000"/>
              <x14:axisColor rgb="FF000000"/>
            </x14:dataBar>
          </x14:cfRule>
          <xm:sqref>M40</xm:sqref>
        </x14:conditionalFormatting>
        <x14:conditionalFormatting xmlns:xm="http://schemas.microsoft.com/office/excel/2006/main">
          <x14:cfRule type="dataBar" id="{659AEC30-6EB9-1243-9A8E-74D50871F22C}">
            <x14:dataBar minLength="0" maxLength="100" border="1" negativeBarBorderColorSameAsPositive="0">
              <x14:cfvo type="autoMin"/>
              <x14:cfvo type="autoMax"/>
              <x14:borderColor rgb="FF638EC6"/>
              <x14:negativeFillColor rgb="FFFF0000"/>
              <x14:negativeBorderColor rgb="FFFF0000"/>
              <x14:axisColor rgb="FF000000"/>
            </x14:dataBar>
          </x14:cfRule>
          <xm:sqref>N39</xm:sqref>
        </x14:conditionalFormatting>
        <x14:conditionalFormatting xmlns:xm="http://schemas.microsoft.com/office/excel/2006/main">
          <x14:cfRule type="dataBar" id="{922F1927-FC02-C244-817A-EFE9FCB4AACD}">
            <x14:dataBar minLength="0" maxLength="100" border="1" negativeBarBorderColorSameAsPositive="0">
              <x14:cfvo type="autoMin"/>
              <x14:cfvo type="autoMax"/>
              <x14:borderColor rgb="FF638EC6"/>
              <x14:negativeFillColor rgb="FFFF0000"/>
              <x14:negativeBorderColor rgb="FFFF0000"/>
              <x14:axisColor rgb="FF000000"/>
            </x14:dataBar>
          </x14:cfRule>
          <xm:sqref>O38</xm:sqref>
        </x14:conditionalFormatting>
        <x14:conditionalFormatting xmlns:xm="http://schemas.microsoft.com/office/excel/2006/main">
          <x14:cfRule type="dataBar" id="{46068ACD-E615-7045-9B7D-101C32EA799D}">
            <x14:dataBar minLength="0" maxLength="100" border="1" negativeBarBorderColorSameAsPositive="0">
              <x14:cfvo type="autoMin"/>
              <x14:cfvo type="autoMax"/>
              <x14:borderColor rgb="FF638EC6"/>
              <x14:negativeFillColor rgb="FFFF0000"/>
              <x14:negativeBorderColor rgb="FFFF0000"/>
              <x14:axisColor rgb="FF000000"/>
            </x14:dataBar>
          </x14:cfRule>
          <xm:sqref>P37</xm:sqref>
        </x14:conditionalFormatting>
        <x14:conditionalFormatting xmlns:xm="http://schemas.microsoft.com/office/excel/2006/main">
          <x14:cfRule type="dataBar" id="{69B73CE2-C600-A94D-B556-4E3D73477702}">
            <x14:dataBar minLength="0" maxLength="100" border="1" negativeBarBorderColorSameAsPositive="0">
              <x14:cfvo type="autoMin"/>
              <x14:cfvo type="autoMax"/>
              <x14:borderColor rgb="FF638EC6"/>
              <x14:negativeFillColor rgb="FFFF0000"/>
              <x14:negativeBorderColor rgb="FFFF0000"/>
              <x14:axisColor rgb="FF000000"/>
            </x14:dataBar>
          </x14:cfRule>
          <xm:sqref>Q36</xm:sqref>
        </x14:conditionalFormatting>
        <x14:conditionalFormatting xmlns:xm="http://schemas.microsoft.com/office/excel/2006/main">
          <x14:cfRule type="dataBar" id="{29D4340D-FE7F-EB41-92B7-E59AFC6CC099}">
            <x14:dataBar minLength="0" maxLength="100" border="1" negativeBarBorderColorSameAsPositive="0">
              <x14:cfvo type="autoMin"/>
              <x14:cfvo type="autoMax"/>
              <x14:borderColor rgb="FF638EC6"/>
              <x14:negativeFillColor rgb="FFFF0000"/>
              <x14:negativeBorderColor rgb="FFFF0000"/>
              <x14:axisColor rgb="FF000000"/>
            </x14:dataBar>
          </x14:cfRule>
          <xm:sqref>R35</xm:sqref>
        </x14:conditionalFormatting>
        <x14:conditionalFormatting xmlns:xm="http://schemas.microsoft.com/office/excel/2006/main">
          <x14:cfRule type="dataBar" id="{434D2F7C-0C29-8943-ADD2-CB640E9D4442}">
            <x14:dataBar minLength="0" maxLength="100" border="1" negativeBarBorderColorSameAsPositive="0">
              <x14:cfvo type="autoMin"/>
              <x14:cfvo type="autoMax"/>
              <x14:borderColor rgb="FF638EC6"/>
              <x14:negativeFillColor rgb="FFFF0000"/>
              <x14:negativeBorderColor rgb="FFFF0000"/>
              <x14:axisColor rgb="FF000000"/>
            </x14:dataBar>
          </x14:cfRule>
          <xm:sqref>S34</xm:sqref>
        </x14:conditionalFormatting>
        <x14:conditionalFormatting xmlns:xm="http://schemas.microsoft.com/office/excel/2006/main">
          <x14:cfRule type="dataBar" id="{F5F02A3D-D1C6-454D-91BE-BF5A168BDF3A}">
            <x14:dataBar minLength="0" maxLength="100" border="1" negativeBarBorderColorSameAsPositive="0">
              <x14:cfvo type="autoMin"/>
              <x14:cfvo type="autoMax"/>
              <x14:borderColor rgb="FF638EC6"/>
              <x14:negativeFillColor rgb="FFFF0000"/>
              <x14:negativeBorderColor rgb="FFFF0000"/>
              <x14:axisColor rgb="FF000000"/>
            </x14:dataBar>
          </x14:cfRule>
          <xm:sqref>T33</xm:sqref>
        </x14:conditionalFormatting>
        <x14:conditionalFormatting xmlns:xm="http://schemas.microsoft.com/office/excel/2006/main">
          <x14:cfRule type="dataBar" id="{5BB94854-F07F-A24E-8DD1-B9DD0977D325}">
            <x14:dataBar minLength="0" maxLength="100" border="1" negativeBarBorderColorSameAsPositive="0">
              <x14:cfvo type="autoMin"/>
              <x14:cfvo type="autoMax"/>
              <x14:borderColor rgb="FF638EC6"/>
              <x14:negativeFillColor rgb="FFFF0000"/>
              <x14:negativeBorderColor rgb="FFFF0000"/>
              <x14:axisColor rgb="FF000000"/>
            </x14:dataBar>
          </x14:cfRule>
          <xm:sqref>U32</xm:sqref>
        </x14:conditionalFormatting>
        <x14:conditionalFormatting xmlns:xm="http://schemas.microsoft.com/office/excel/2006/main">
          <x14:cfRule type="dataBar" id="{2320FECD-CDA1-3E47-949C-CE60AA7E5791}">
            <x14:dataBar minLength="0" maxLength="100" border="1" negativeBarBorderColorSameAsPositive="0">
              <x14:cfvo type="autoMin"/>
              <x14:cfvo type="autoMax"/>
              <x14:borderColor rgb="FF638EC6"/>
              <x14:negativeFillColor rgb="FFFF0000"/>
              <x14:negativeBorderColor rgb="FFFF0000"/>
              <x14:axisColor rgb="FF000000"/>
            </x14:dataBar>
          </x14:cfRule>
          <xm:sqref>V31</xm:sqref>
        </x14:conditionalFormatting>
        <x14:conditionalFormatting xmlns:xm="http://schemas.microsoft.com/office/excel/2006/main">
          <x14:cfRule type="dataBar" id="{BE729654-0AF0-4B44-995B-CB57186B20A2}">
            <x14:dataBar minLength="0" maxLength="100" border="1" negativeBarBorderColorSameAsPositive="0">
              <x14:cfvo type="autoMin"/>
              <x14:cfvo type="autoMax"/>
              <x14:borderColor rgb="FF638EC6"/>
              <x14:negativeFillColor rgb="FFFF0000"/>
              <x14:negativeBorderColor rgb="FFFF0000"/>
              <x14:axisColor rgb="FF000000"/>
            </x14:dataBar>
          </x14:cfRule>
          <xm:sqref>W30</xm:sqref>
        </x14:conditionalFormatting>
        <x14:conditionalFormatting xmlns:xm="http://schemas.microsoft.com/office/excel/2006/main">
          <x14:cfRule type="dataBar" id="{F04CE091-7122-AD47-AD13-A8BE31498660}">
            <x14:dataBar minLength="0" maxLength="100" border="1" negativeBarBorderColorSameAsPositive="0">
              <x14:cfvo type="autoMin"/>
              <x14:cfvo type="autoMax"/>
              <x14:borderColor rgb="FF638EC6"/>
              <x14:negativeFillColor rgb="FFFF0000"/>
              <x14:negativeBorderColor rgb="FFFF0000"/>
              <x14:axisColor rgb="FF000000"/>
            </x14:dataBar>
          </x14:cfRule>
          <xm:sqref>X29</xm:sqref>
        </x14:conditionalFormatting>
        <x14:conditionalFormatting xmlns:xm="http://schemas.microsoft.com/office/excel/2006/main">
          <x14:cfRule type="dataBar" id="{C07052B1-C37B-7140-939E-CEFE5F5AE38D}">
            <x14:dataBar minLength="0" maxLength="100" border="1" negativeBarBorderColorSameAsPositive="0">
              <x14:cfvo type="autoMin"/>
              <x14:cfvo type="autoMax"/>
              <x14:borderColor rgb="FF638EC6"/>
              <x14:negativeFillColor rgb="FFFF0000"/>
              <x14:negativeBorderColor rgb="FFFF0000"/>
              <x14:axisColor rgb="FF000000"/>
            </x14:dataBar>
          </x14:cfRule>
          <xm:sqref>Y28</xm:sqref>
        </x14:conditionalFormatting>
        <x14:conditionalFormatting xmlns:xm="http://schemas.microsoft.com/office/excel/2006/main">
          <x14:cfRule type="dataBar" id="{C6DF382D-10CF-894B-8AFA-7D82303FEE8C}">
            <x14:dataBar minLength="0" maxLength="100" border="1" negativeBarBorderColorSameAsPositive="0">
              <x14:cfvo type="autoMin"/>
              <x14:cfvo type="autoMax"/>
              <x14:borderColor rgb="FF638EC6"/>
              <x14:negativeFillColor rgb="FFFF0000"/>
              <x14:negativeBorderColor rgb="FFFF0000"/>
              <x14:axisColor rgb="FF000000"/>
            </x14:dataBar>
          </x14:cfRule>
          <xm:sqref>Z27</xm:sqref>
        </x14:conditionalFormatting>
        <x14:conditionalFormatting xmlns:xm="http://schemas.microsoft.com/office/excel/2006/main">
          <x14:cfRule type="dataBar" id="{99EBF4CB-D8B5-1D46-AF01-1830F51B8459}">
            <x14:dataBar minLength="0" maxLength="100" border="1" negativeBarBorderColorSameAsPositive="0">
              <x14:cfvo type="autoMin"/>
              <x14:cfvo type="autoMax"/>
              <x14:borderColor rgb="FF638EC6"/>
              <x14:negativeFillColor rgb="FFFF0000"/>
              <x14:negativeBorderColor rgb="FFFF0000"/>
              <x14:axisColor rgb="FF000000"/>
            </x14:dataBar>
          </x14:cfRule>
          <xm:sqref>AA26</xm:sqref>
        </x14:conditionalFormatting>
        <x14:conditionalFormatting xmlns:xm="http://schemas.microsoft.com/office/excel/2006/main">
          <x14:cfRule type="dataBar" id="{307EBE1F-C047-5F4D-9583-955A47227097}">
            <x14:dataBar minLength="0" maxLength="100" border="1" negativeBarBorderColorSameAsPositive="0">
              <x14:cfvo type="autoMin"/>
              <x14:cfvo type="autoMax"/>
              <x14:borderColor rgb="FF638EC6"/>
              <x14:negativeFillColor rgb="FFFF0000"/>
              <x14:negativeBorderColor rgb="FFFF0000"/>
              <x14:axisColor rgb="FF000000"/>
            </x14:dataBar>
          </x14:cfRule>
          <xm:sqref>AB25</xm:sqref>
        </x14:conditionalFormatting>
        <x14:conditionalFormatting xmlns:xm="http://schemas.microsoft.com/office/excel/2006/main">
          <x14:cfRule type="dataBar" id="{9F20E712-FB66-D54D-98B8-A94EF0A49A29}">
            <x14:dataBar minLength="0" maxLength="100" border="1" negativeBarBorderColorSameAsPositive="0">
              <x14:cfvo type="autoMin"/>
              <x14:cfvo type="autoMax"/>
              <x14:borderColor rgb="FF638EC6"/>
              <x14:negativeFillColor rgb="FFFF0000"/>
              <x14:negativeBorderColor rgb="FFFF0000"/>
              <x14:axisColor rgb="FF000000"/>
            </x14:dataBar>
          </x14:cfRule>
          <xm:sqref>AC24</xm:sqref>
        </x14:conditionalFormatting>
        <x14:conditionalFormatting xmlns:xm="http://schemas.microsoft.com/office/excel/2006/main">
          <x14:cfRule type="dataBar" id="{524C5FA2-7EDD-8249-8D6D-3E879E4D5011}">
            <x14:dataBar minLength="0" maxLength="100" border="1" negativeBarBorderColorSameAsPositive="0">
              <x14:cfvo type="autoMin"/>
              <x14:cfvo type="autoMax"/>
              <x14:borderColor rgb="FF638EC6"/>
              <x14:negativeFillColor rgb="FFFF0000"/>
              <x14:negativeBorderColor rgb="FFFF0000"/>
              <x14:axisColor rgb="FF000000"/>
            </x14:dataBar>
          </x14:cfRule>
          <xm:sqref>AD23</xm:sqref>
        </x14:conditionalFormatting>
        <x14:conditionalFormatting xmlns:xm="http://schemas.microsoft.com/office/excel/2006/main">
          <x14:cfRule type="dataBar" id="{E932AA6F-185C-944F-B41D-578F2FDC9242}">
            <x14:dataBar minLength="0" maxLength="100" border="1" negativeBarBorderColorSameAsPositive="0">
              <x14:cfvo type="autoMin"/>
              <x14:cfvo type="autoMax"/>
              <x14:borderColor rgb="FF638EC6"/>
              <x14:negativeFillColor rgb="FFFF0000"/>
              <x14:negativeBorderColor rgb="FFFF0000"/>
              <x14:axisColor rgb="FF000000"/>
            </x14:dataBar>
          </x14:cfRule>
          <xm:sqref>M42</xm:sqref>
        </x14:conditionalFormatting>
        <x14:conditionalFormatting xmlns:xm="http://schemas.microsoft.com/office/excel/2006/main">
          <x14:cfRule type="dataBar" id="{A5169BCD-B7E6-5C4D-A9B5-4EE58950A3F3}">
            <x14:dataBar minLength="0" maxLength="100" border="1" negativeBarBorderColorSameAsPositive="0">
              <x14:cfvo type="autoMin"/>
              <x14:cfvo type="autoMax"/>
              <x14:borderColor rgb="FF638EC6"/>
              <x14:negativeFillColor rgb="FFFF0000"/>
              <x14:negativeBorderColor rgb="FFFF0000"/>
              <x14:axisColor rgb="FF000000"/>
            </x14:dataBar>
          </x14:cfRule>
          <xm:sqref>N41</xm:sqref>
        </x14:conditionalFormatting>
        <x14:conditionalFormatting xmlns:xm="http://schemas.microsoft.com/office/excel/2006/main">
          <x14:cfRule type="dataBar" id="{5FFCEBC9-0157-4747-A8AA-DA94F614EFC4}">
            <x14:dataBar minLength="0" maxLength="100" border="1" negativeBarBorderColorSameAsPositive="0">
              <x14:cfvo type="autoMin"/>
              <x14:cfvo type="autoMax"/>
              <x14:borderColor rgb="FF638EC6"/>
              <x14:negativeFillColor rgb="FFFF0000"/>
              <x14:negativeBorderColor rgb="FFFF0000"/>
              <x14:axisColor rgb="FF000000"/>
            </x14:dataBar>
          </x14:cfRule>
          <xm:sqref>O40</xm:sqref>
        </x14:conditionalFormatting>
        <x14:conditionalFormatting xmlns:xm="http://schemas.microsoft.com/office/excel/2006/main">
          <x14:cfRule type="dataBar" id="{4022198C-693A-FA45-9D42-AA0B8CE00E73}">
            <x14:dataBar minLength="0" maxLength="100" border="1" negativeBarBorderColorSameAsPositive="0">
              <x14:cfvo type="autoMin"/>
              <x14:cfvo type="autoMax"/>
              <x14:borderColor rgb="FF638EC6"/>
              <x14:negativeFillColor rgb="FFFF0000"/>
              <x14:negativeBorderColor rgb="FFFF0000"/>
              <x14:axisColor rgb="FF000000"/>
            </x14:dataBar>
          </x14:cfRule>
          <xm:sqref>P39</xm:sqref>
        </x14:conditionalFormatting>
        <x14:conditionalFormatting xmlns:xm="http://schemas.microsoft.com/office/excel/2006/main">
          <x14:cfRule type="dataBar" id="{F6D3B90D-5E8C-7846-B79D-8BD2EE7E1A15}">
            <x14:dataBar minLength="0" maxLength="100" border="1" negativeBarBorderColorSameAsPositive="0">
              <x14:cfvo type="autoMin"/>
              <x14:cfvo type="autoMax"/>
              <x14:borderColor rgb="FF638EC6"/>
              <x14:negativeFillColor rgb="FFFF0000"/>
              <x14:negativeBorderColor rgb="FFFF0000"/>
              <x14:axisColor rgb="FF000000"/>
            </x14:dataBar>
          </x14:cfRule>
          <xm:sqref>Q38</xm:sqref>
        </x14:conditionalFormatting>
        <x14:conditionalFormatting xmlns:xm="http://schemas.microsoft.com/office/excel/2006/main">
          <x14:cfRule type="dataBar" id="{4FA1A476-6DE3-5F47-8AD7-FC47F78509D7}">
            <x14:dataBar minLength="0" maxLength="100" border="1" negativeBarBorderColorSameAsPositive="0">
              <x14:cfvo type="autoMin"/>
              <x14:cfvo type="autoMax"/>
              <x14:borderColor rgb="FF638EC6"/>
              <x14:negativeFillColor rgb="FFFF0000"/>
              <x14:negativeBorderColor rgb="FFFF0000"/>
              <x14:axisColor rgb="FF000000"/>
            </x14:dataBar>
          </x14:cfRule>
          <xm:sqref>R37</xm:sqref>
        </x14:conditionalFormatting>
        <x14:conditionalFormatting xmlns:xm="http://schemas.microsoft.com/office/excel/2006/main">
          <x14:cfRule type="dataBar" id="{3105413A-F6C1-7145-AC99-E3A73392AA7C}">
            <x14:dataBar minLength="0" maxLength="100" border="1" negativeBarBorderColorSameAsPositive="0">
              <x14:cfvo type="autoMin"/>
              <x14:cfvo type="autoMax"/>
              <x14:borderColor rgb="FF638EC6"/>
              <x14:negativeFillColor rgb="FFFF0000"/>
              <x14:negativeBorderColor rgb="FFFF0000"/>
              <x14:axisColor rgb="FF000000"/>
            </x14:dataBar>
          </x14:cfRule>
          <xm:sqref>S36</xm:sqref>
        </x14:conditionalFormatting>
        <x14:conditionalFormatting xmlns:xm="http://schemas.microsoft.com/office/excel/2006/main">
          <x14:cfRule type="dataBar" id="{286FB47E-ED0E-8D49-A05C-7515331DDE36}">
            <x14:dataBar minLength="0" maxLength="100" border="1" negativeBarBorderColorSameAsPositive="0">
              <x14:cfvo type="autoMin"/>
              <x14:cfvo type="autoMax"/>
              <x14:borderColor rgb="FF638EC6"/>
              <x14:negativeFillColor rgb="FFFF0000"/>
              <x14:negativeBorderColor rgb="FFFF0000"/>
              <x14:axisColor rgb="FF000000"/>
            </x14:dataBar>
          </x14:cfRule>
          <xm:sqref>T35</xm:sqref>
        </x14:conditionalFormatting>
        <x14:conditionalFormatting xmlns:xm="http://schemas.microsoft.com/office/excel/2006/main">
          <x14:cfRule type="dataBar" id="{8CAAA747-22FD-0B46-8DD9-8CCCFBF1B533}">
            <x14:dataBar minLength="0" maxLength="100" border="1" negativeBarBorderColorSameAsPositive="0">
              <x14:cfvo type="autoMin"/>
              <x14:cfvo type="autoMax"/>
              <x14:borderColor rgb="FF638EC6"/>
              <x14:negativeFillColor rgb="FFFF0000"/>
              <x14:negativeBorderColor rgb="FFFF0000"/>
              <x14:axisColor rgb="FF000000"/>
            </x14:dataBar>
          </x14:cfRule>
          <xm:sqref>U34</xm:sqref>
        </x14:conditionalFormatting>
        <x14:conditionalFormatting xmlns:xm="http://schemas.microsoft.com/office/excel/2006/main">
          <x14:cfRule type="dataBar" id="{9D6E55C9-8F78-5D4A-97AB-AAF21F601B4D}">
            <x14:dataBar minLength="0" maxLength="100" border="1" negativeBarBorderColorSameAsPositive="0">
              <x14:cfvo type="autoMin"/>
              <x14:cfvo type="autoMax"/>
              <x14:borderColor rgb="FF638EC6"/>
              <x14:negativeFillColor rgb="FFFF0000"/>
              <x14:negativeBorderColor rgb="FFFF0000"/>
              <x14:axisColor rgb="FF000000"/>
            </x14:dataBar>
          </x14:cfRule>
          <xm:sqref>V33</xm:sqref>
        </x14:conditionalFormatting>
        <x14:conditionalFormatting xmlns:xm="http://schemas.microsoft.com/office/excel/2006/main">
          <x14:cfRule type="dataBar" id="{B55B5400-1058-D842-B038-335F4BAAF8F2}">
            <x14:dataBar minLength="0" maxLength="100" border="1" negativeBarBorderColorSameAsPositive="0">
              <x14:cfvo type="autoMin"/>
              <x14:cfvo type="autoMax"/>
              <x14:borderColor rgb="FF638EC6"/>
              <x14:negativeFillColor rgb="FFFF0000"/>
              <x14:negativeBorderColor rgb="FFFF0000"/>
              <x14:axisColor rgb="FF000000"/>
            </x14:dataBar>
          </x14:cfRule>
          <xm:sqref>W32</xm:sqref>
        </x14:conditionalFormatting>
        <x14:conditionalFormatting xmlns:xm="http://schemas.microsoft.com/office/excel/2006/main">
          <x14:cfRule type="dataBar" id="{E243BA84-AC1F-7848-9A35-77F99C9E29B5}">
            <x14:dataBar minLength="0" maxLength="100" border="1" negativeBarBorderColorSameAsPositive="0">
              <x14:cfvo type="autoMin"/>
              <x14:cfvo type="autoMax"/>
              <x14:borderColor rgb="FF638EC6"/>
              <x14:negativeFillColor rgb="FFFF0000"/>
              <x14:negativeBorderColor rgb="FFFF0000"/>
              <x14:axisColor rgb="FF000000"/>
            </x14:dataBar>
          </x14:cfRule>
          <xm:sqref>X31</xm:sqref>
        </x14:conditionalFormatting>
        <x14:conditionalFormatting xmlns:xm="http://schemas.microsoft.com/office/excel/2006/main">
          <x14:cfRule type="dataBar" id="{930B3F24-3D4F-4043-9195-CF318DF21D27}">
            <x14:dataBar minLength="0" maxLength="100" border="1" negativeBarBorderColorSameAsPositive="0">
              <x14:cfvo type="autoMin"/>
              <x14:cfvo type="autoMax"/>
              <x14:borderColor rgb="FF638EC6"/>
              <x14:negativeFillColor rgb="FFFF0000"/>
              <x14:negativeBorderColor rgb="FFFF0000"/>
              <x14:axisColor rgb="FF000000"/>
            </x14:dataBar>
          </x14:cfRule>
          <xm:sqref>Y30</xm:sqref>
        </x14:conditionalFormatting>
        <x14:conditionalFormatting xmlns:xm="http://schemas.microsoft.com/office/excel/2006/main">
          <x14:cfRule type="dataBar" id="{540FFCB0-825D-C54A-BD20-107EDF53B15F}">
            <x14:dataBar minLength="0" maxLength="100" border="1" negativeBarBorderColorSameAsPositive="0">
              <x14:cfvo type="autoMin"/>
              <x14:cfvo type="autoMax"/>
              <x14:borderColor rgb="FF638EC6"/>
              <x14:negativeFillColor rgb="FFFF0000"/>
              <x14:negativeBorderColor rgb="FFFF0000"/>
              <x14:axisColor rgb="FF000000"/>
            </x14:dataBar>
          </x14:cfRule>
          <xm:sqref>Z29</xm:sqref>
        </x14:conditionalFormatting>
        <x14:conditionalFormatting xmlns:xm="http://schemas.microsoft.com/office/excel/2006/main">
          <x14:cfRule type="dataBar" id="{090A23E6-1677-1D47-889E-AF108E0D538B}">
            <x14:dataBar minLength="0" maxLength="100" border="1" negativeBarBorderColorSameAsPositive="0">
              <x14:cfvo type="autoMin"/>
              <x14:cfvo type="autoMax"/>
              <x14:borderColor rgb="FF638EC6"/>
              <x14:negativeFillColor rgb="FFFF0000"/>
              <x14:negativeBorderColor rgb="FFFF0000"/>
              <x14:axisColor rgb="FF000000"/>
            </x14:dataBar>
          </x14:cfRule>
          <xm:sqref>AA28</xm:sqref>
        </x14:conditionalFormatting>
        <x14:conditionalFormatting xmlns:xm="http://schemas.microsoft.com/office/excel/2006/main">
          <x14:cfRule type="dataBar" id="{6897E50C-8EE8-1E40-A84A-024EE32199D3}">
            <x14:dataBar minLength="0" maxLength="100" border="1" negativeBarBorderColorSameAsPositive="0">
              <x14:cfvo type="autoMin"/>
              <x14:cfvo type="autoMax"/>
              <x14:borderColor rgb="FF638EC6"/>
              <x14:negativeFillColor rgb="FFFF0000"/>
              <x14:negativeBorderColor rgb="FFFF0000"/>
              <x14:axisColor rgb="FF000000"/>
            </x14:dataBar>
          </x14:cfRule>
          <xm:sqref>AB27</xm:sqref>
        </x14:conditionalFormatting>
        <x14:conditionalFormatting xmlns:xm="http://schemas.microsoft.com/office/excel/2006/main">
          <x14:cfRule type="dataBar" id="{B8B5B67F-89B0-BC48-8994-AC422C34EDC9}">
            <x14:dataBar minLength="0" maxLength="100" border="1" negativeBarBorderColorSameAsPositive="0">
              <x14:cfvo type="autoMin"/>
              <x14:cfvo type="autoMax"/>
              <x14:borderColor rgb="FF638EC6"/>
              <x14:negativeFillColor rgb="FFFF0000"/>
              <x14:negativeBorderColor rgb="FFFF0000"/>
              <x14:axisColor rgb="FF000000"/>
            </x14:dataBar>
          </x14:cfRule>
          <xm:sqref>AC26</xm:sqref>
        </x14:conditionalFormatting>
        <x14:conditionalFormatting xmlns:xm="http://schemas.microsoft.com/office/excel/2006/main">
          <x14:cfRule type="dataBar" id="{023958AD-C496-7341-9FA1-1B681FE2166E}">
            <x14:dataBar minLength="0" maxLength="100" border="1" negativeBarBorderColorSameAsPositive="0">
              <x14:cfvo type="autoMin"/>
              <x14:cfvo type="autoMax"/>
              <x14:borderColor rgb="FF638EC6"/>
              <x14:negativeFillColor rgb="FFFF0000"/>
              <x14:negativeBorderColor rgb="FFFF0000"/>
              <x14:axisColor rgb="FF000000"/>
            </x14:dataBar>
          </x14:cfRule>
          <xm:sqref>AD25</xm:sqref>
        </x14:conditionalFormatting>
        <x14:conditionalFormatting xmlns:xm="http://schemas.microsoft.com/office/excel/2006/main">
          <x14:cfRule type="dataBar" id="{1C932EF5-8C96-DB44-BA95-1E9F72524912}">
            <x14:dataBar minLength="0" maxLength="100" border="1" negativeBarBorderColorSameAsPositive="0">
              <x14:cfvo type="autoMin"/>
              <x14:cfvo type="autoMax"/>
              <x14:borderColor rgb="FF638EC6"/>
              <x14:negativeFillColor rgb="FFFF0000"/>
              <x14:negativeBorderColor rgb="FFFF0000"/>
              <x14:axisColor rgb="FF000000"/>
            </x14:dataBar>
          </x14:cfRule>
          <xm:sqref>M44</xm:sqref>
        </x14:conditionalFormatting>
        <x14:conditionalFormatting xmlns:xm="http://schemas.microsoft.com/office/excel/2006/main">
          <x14:cfRule type="dataBar" id="{A604C388-FC89-6945-BF4E-C07F75400E77}">
            <x14:dataBar minLength="0" maxLength="100" border="1" negativeBarBorderColorSameAsPositive="0">
              <x14:cfvo type="autoMin"/>
              <x14:cfvo type="autoMax"/>
              <x14:borderColor rgb="FF638EC6"/>
              <x14:negativeFillColor rgb="FFFF0000"/>
              <x14:negativeBorderColor rgb="FFFF0000"/>
              <x14:axisColor rgb="FF000000"/>
            </x14:dataBar>
          </x14:cfRule>
          <xm:sqref>N43</xm:sqref>
        </x14:conditionalFormatting>
        <x14:conditionalFormatting xmlns:xm="http://schemas.microsoft.com/office/excel/2006/main">
          <x14:cfRule type="dataBar" id="{0C186F10-A5B5-854C-91FB-5A72BBF8670B}">
            <x14:dataBar minLength="0" maxLength="100" border="1" negativeBarBorderColorSameAsPositive="0">
              <x14:cfvo type="autoMin"/>
              <x14:cfvo type="autoMax"/>
              <x14:borderColor rgb="FF638EC6"/>
              <x14:negativeFillColor rgb="FFFF0000"/>
              <x14:negativeBorderColor rgb="FFFF0000"/>
              <x14:axisColor rgb="FF000000"/>
            </x14:dataBar>
          </x14:cfRule>
          <xm:sqref>O42</xm:sqref>
        </x14:conditionalFormatting>
        <x14:conditionalFormatting xmlns:xm="http://schemas.microsoft.com/office/excel/2006/main">
          <x14:cfRule type="dataBar" id="{0E7A954C-1580-484F-A26D-18A44FF945EE}">
            <x14:dataBar minLength="0" maxLength="100" border="1" negativeBarBorderColorSameAsPositive="0">
              <x14:cfvo type="autoMin"/>
              <x14:cfvo type="autoMax"/>
              <x14:borderColor rgb="FF638EC6"/>
              <x14:negativeFillColor rgb="FFFF0000"/>
              <x14:negativeBorderColor rgb="FFFF0000"/>
              <x14:axisColor rgb="FF000000"/>
            </x14:dataBar>
          </x14:cfRule>
          <xm:sqref>P41</xm:sqref>
        </x14:conditionalFormatting>
        <x14:conditionalFormatting xmlns:xm="http://schemas.microsoft.com/office/excel/2006/main">
          <x14:cfRule type="dataBar" id="{C2117914-FADF-7348-89F5-64B167404850}">
            <x14:dataBar minLength="0" maxLength="100" border="1" negativeBarBorderColorSameAsPositive="0">
              <x14:cfvo type="autoMin"/>
              <x14:cfvo type="autoMax"/>
              <x14:borderColor rgb="FF638EC6"/>
              <x14:negativeFillColor rgb="FFFF0000"/>
              <x14:negativeBorderColor rgb="FFFF0000"/>
              <x14:axisColor rgb="FF000000"/>
            </x14:dataBar>
          </x14:cfRule>
          <xm:sqref>Q40</xm:sqref>
        </x14:conditionalFormatting>
        <x14:conditionalFormatting xmlns:xm="http://schemas.microsoft.com/office/excel/2006/main">
          <x14:cfRule type="dataBar" id="{5C261951-AFB2-D445-BF27-DB36580308BF}">
            <x14:dataBar minLength="0" maxLength="100" border="1" negativeBarBorderColorSameAsPositive="0">
              <x14:cfvo type="autoMin"/>
              <x14:cfvo type="autoMax"/>
              <x14:borderColor rgb="FF638EC6"/>
              <x14:negativeFillColor rgb="FFFF0000"/>
              <x14:negativeBorderColor rgb="FFFF0000"/>
              <x14:axisColor rgb="FF000000"/>
            </x14:dataBar>
          </x14:cfRule>
          <xm:sqref>R39</xm:sqref>
        </x14:conditionalFormatting>
        <x14:conditionalFormatting xmlns:xm="http://schemas.microsoft.com/office/excel/2006/main">
          <x14:cfRule type="dataBar" id="{74829E08-7E39-6747-9B45-332876F70551}">
            <x14:dataBar minLength="0" maxLength="100" border="1" negativeBarBorderColorSameAsPositive="0">
              <x14:cfvo type="autoMin"/>
              <x14:cfvo type="autoMax"/>
              <x14:borderColor rgb="FF638EC6"/>
              <x14:negativeFillColor rgb="FFFF0000"/>
              <x14:negativeBorderColor rgb="FFFF0000"/>
              <x14:axisColor rgb="FF000000"/>
            </x14:dataBar>
          </x14:cfRule>
          <xm:sqref>S38</xm:sqref>
        </x14:conditionalFormatting>
        <x14:conditionalFormatting xmlns:xm="http://schemas.microsoft.com/office/excel/2006/main">
          <x14:cfRule type="dataBar" id="{A2B01208-99E5-E44A-B868-11BEF90084FA}">
            <x14:dataBar minLength="0" maxLength="100" border="1" negativeBarBorderColorSameAsPositive="0">
              <x14:cfvo type="autoMin"/>
              <x14:cfvo type="autoMax"/>
              <x14:borderColor rgb="FF638EC6"/>
              <x14:negativeFillColor rgb="FFFF0000"/>
              <x14:negativeBorderColor rgb="FFFF0000"/>
              <x14:axisColor rgb="FF000000"/>
            </x14:dataBar>
          </x14:cfRule>
          <xm:sqref>T37</xm:sqref>
        </x14:conditionalFormatting>
        <x14:conditionalFormatting xmlns:xm="http://schemas.microsoft.com/office/excel/2006/main">
          <x14:cfRule type="dataBar" id="{162D6368-802B-F34F-9C8B-9AC886ED176C}">
            <x14:dataBar minLength="0" maxLength="100" border="1" negativeBarBorderColorSameAsPositive="0">
              <x14:cfvo type="autoMin"/>
              <x14:cfvo type="autoMax"/>
              <x14:borderColor rgb="FF638EC6"/>
              <x14:negativeFillColor rgb="FFFF0000"/>
              <x14:negativeBorderColor rgb="FFFF0000"/>
              <x14:axisColor rgb="FF000000"/>
            </x14:dataBar>
          </x14:cfRule>
          <xm:sqref>U36</xm:sqref>
        </x14:conditionalFormatting>
        <x14:conditionalFormatting xmlns:xm="http://schemas.microsoft.com/office/excel/2006/main">
          <x14:cfRule type="dataBar" id="{91F03EC0-71CD-654C-9B05-861B396DCC90}">
            <x14:dataBar minLength="0" maxLength="100" border="1" negativeBarBorderColorSameAsPositive="0">
              <x14:cfvo type="autoMin"/>
              <x14:cfvo type="autoMax"/>
              <x14:borderColor rgb="FF638EC6"/>
              <x14:negativeFillColor rgb="FFFF0000"/>
              <x14:negativeBorderColor rgb="FFFF0000"/>
              <x14:axisColor rgb="FF000000"/>
            </x14:dataBar>
          </x14:cfRule>
          <xm:sqref>V35</xm:sqref>
        </x14:conditionalFormatting>
        <x14:conditionalFormatting xmlns:xm="http://schemas.microsoft.com/office/excel/2006/main">
          <x14:cfRule type="dataBar" id="{3D7368FD-075B-FC4B-82D8-0A261D69167D}">
            <x14:dataBar minLength="0" maxLength="100" border="1" negativeBarBorderColorSameAsPositive="0">
              <x14:cfvo type="autoMin"/>
              <x14:cfvo type="autoMax"/>
              <x14:borderColor rgb="FF638EC6"/>
              <x14:negativeFillColor rgb="FFFF0000"/>
              <x14:negativeBorderColor rgb="FFFF0000"/>
              <x14:axisColor rgb="FF000000"/>
            </x14:dataBar>
          </x14:cfRule>
          <xm:sqref>W34</xm:sqref>
        </x14:conditionalFormatting>
        <x14:conditionalFormatting xmlns:xm="http://schemas.microsoft.com/office/excel/2006/main">
          <x14:cfRule type="dataBar" id="{73B8467E-C4A4-2B49-836F-103AFD52C856}">
            <x14:dataBar minLength="0" maxLength="100" border="1" negativeBarBorderColorSameAsPositive="0">
              <x14:cfvo type="autoMin"/>
              <x14:cfvo type="autoMax"/>
              <x14:borderColor rgb="FF638EC6"/>
              <x14:negativeFillColor rgb="FFFF0000"/>
              <x14:negativeBorderColor rgb="FFFF0000"/>
              <x14:axisColor rgb="FF000000"/>
            </x14:dataBar>
          </x14:cfRule>
          <xm:sqref>X33</xm:sqref>
        </x14:conditionalFormatting>
        <x14:conditionalFormatting xmlns:xm="http://schemas.microsoft.com/office/excel/2006/main">
          <x14:cfRule type="dataBar" id="{60465D59-189E-974A-BF9D-F551C5531BD5}">
            <x14:dataBar minLength="0" maxLength="100" border="1" negativeBarBorderColorSameAsPositive="0">
              <x14:cfvo type="autoMin"/>
              <x14:cfvo type="autoMax"/>
              <x14:borderColor rgb="FF638EC6"/>
              <x14:negativeFillColor rgb="FFFF0000"/>
              <x14:negativeBorderColor rgb="FFFF0000"/>
              <x14:axisColor rgb="FF000000"/>
            </x14:dataBar>
          </x14:cfRule>
          <xm:sqref>Y32</xm:sqref>
        </x14:conditionalFormatting>
        <x14:conditionalFormatting xmlns:xm="http://schemas.microsoft.com/office/excel/2006/main">
          <x14:cfRule type="dataBar" id="{71705431-F1A3-444A-B63F-81B4C535A36B}">
            <x14:dataBar minLength="0" maxLength="100" border="1" negativeBarBorderColorSameAsPositive="0">
              <x14:cfvo type="autoMin"/>
              <x14:cfvo type="autoMax"/>
              <x14:borderColor rgb="FF638EC6"/>
              <x14:negativeFillColor rgb="FFFF0000"/>
              <x14:negativeBorderColor rgb="FFFF0000"/>
              <x14:axisColor rgb="FF000000"/>
            </x14:dataBar>
          </x14:cfRule>
          <xm:sqref>Z31</xm:sqref>
        </x14:conditionalFormatting>
        <x14:conditionalFormatting xmlns:xm="http://schemas.microsoft.com/office/excel/2006/main">
          <x14:cfRule type="dataBar" id="{FBE6E63F-50F8-574C-B23F-3F3AE25B84FA}">
            <x14:dataBar minLength="0" maxLength="100" border="1" negativeBarBorderColorSameAsPositive="0">
              <x14:cfvo type="autoMin"/>
              <x14:cfvo type="autoMax"/>
              <x14:borderColor rgb="FF638EC6"/>
              <x14:negativeFillColor rgb="FFFF0000"/>
              <x14:negativeBorderColor rgb="FFFF0000"/>
              <x14:axisColor rgb="FF000000"/>
            </x14:dataBar>
          </x14:cfRule>
          <xm:sqref>AA30</xm:sqref>
        </x14:conditionalFormatting>
        <x14:conditionalFormatting xmlns:xm="http://schemas.microsoft.com/office/excel/2006/main">
          <x14:cfRule type="dataBar" id="{F206ABBD-9259-DF40-8BBF-58121664B3DB}">
            <x14:dataBar minLength="0" maxLength="100" border="1" negativeBarBorderColorSameAsPositive="0">
              <x14:cfvo type="autoMin"/>
              <x14:cfvo type="autoMax"/>
              <x14:borderColor rgb="FF638EC6"/>
              <x14:negativeFillColor rgb="FFFF0000"/>
              <x14:negativeBorderColor rgb="FFFF0000"/>
              <x14:axisColor rgb="FF000000"/>
            </x14:dataBar>
          </x14:cfRule>
          <xm:sqref>AB29</xm:sqref>
        </x14:conditionalFormatting>
        <x14:conditionalFormatting xmlns:xm="http://schemas.microsoft.com/office/excel/2006/main">
          <x14:cfRule type="dataBar" id="{A3ADCBFE-85E1-B249-AD82-3A50634DB499}">
            <x14:dataBar minLength="0" maxLength="100" border="1" negativeBarBorderColorSameAsPositive="0">
              <x14:cfvo type="autoMin"/>
              <x14:cfvo type="autoMax"/>
              <x14:borderColor rgb="FF638EC6"/>
              <x14:negativeFillColor rgb="FFFF0000"/>
              <x14:negativeBorderColor rgb="FFFF0000"/>
              <x14:axisColor rgb="FF000000"/>
            </x14:dataBar>
          </x14:cfRule>
          <xm:sqref>AC28</xm:sqref>
        </x14:conditionalFormatting>
        <x14:conditionalFormatting xmlns:xm="http://schemas.microsoft.com/office/excel/2006/main">
          <x14:cfRule type="dataBar" id="{66FFB3B6-59D6-4048-8FBB-3EB26CC553B6}">
            <x14:dataBar minLength="0" maxLength="100" border="1" negativeBarBorderColorSameAsPositive="0">
              <x14:cfvo type="autoMin"/>
              <x14:cfvo type="autoMax"/>
              <x14:borderColor rgb="FF638EC6"/>
              <x14:negativeFillColor rgb="FFFF0000"/>
              <x14:negativeBorderColor rgb="FFFF0000"/>
              <x14:axisColor rgb="FF000000"/>
            </x14:dataBar>
          </x14:cfRule>
          <xm:sqref>AD27</xm:sqref>
        </x14:conditionalFormatting>
        <x14:conditionalFormatting xmlns:xm="http://schemas.microsoft.com/office/excel/2006/main">
          <x14:cfRule type="dataBar" id="{0E3A1BAC-CB10-0E43-9482-6FF5D8589832}">
            <x14:dataBar minLength="0" maxLength="100" border="1" negativeBarBorderColorSameAsPositive="0">
              <x14:cfvo type="autoMin"/>
              <x14:cfvo type="autoMax"/>
              <x14:borderColor rgb="FF638EC6"/>
              <x14:negativeFillColor rgb="FFFF0000"/>
              <x14:negativeBorderColor rgb="FFFF0000"/>
              <x14:axisColor rgb="FF000000"/>
            </x14:dataBar>
          </x14:cfRule>
          <xm:sqref>M46</xm:sqref>
        </x14:conditionalFormatting>
        <x14:conditionalFormatting xmlns:xm="http://schemas.microsoft.com/office/excel/2006/main">
          <x14:cfRule type="dataBar" id="{70E8F8EC-56F6-1B4A-BBB5-125D043E814A}">
            <x14:dataBar minLength="0" maxLength="100" border="1" negativeBarBorderColorSameAsPositive="0">
              <x14:cfvo type="autoMin"/>
              <x14:cfvo type="autoMax"/>
              <x14:borderColor rgb="FF638EC6"/>
              <x14:negativeFillColor rgb="FFFF0000"/>
              <x14:negativeBorderColor rgb="FFFF0000"/>
              <x14:axisColor rgb="FF000000"/>
            </x14:dataBar>
          </x14:cfRule>
          <xm:sqref>N45</xm:sqref>
        </x14:conditionalFormatting>
        <x14:conditionalFormatting xmlns:xm="http://schemas.microsoft.com/office/excel/2006/main">
          <x14:cfRule type="dataBar" id="{F4238492-4615-8F45-89ED-72B470441080}">
            <x14:dataBar minLength="0" maxLength="100" border="1" negativeBarBorderColorSameAsPositive="0">
              <x14:cfvo type="autoMin"/>
              <x14:cfvo type="autoMax"/>
              <x14:borderColor rgb="FF638EC6"/>
              <x14:negativeFillColor rgb="FFFF0000"/>
              <x14:negativeBorderColor rgb="FFFF0000"/>
              <x14:axisColor rgb="FF000000"/>
            </x14:dataBar>
          </x14:cfRule>
          <xm:sqref>O44</xm:sqref>
        </x14:conditionalFormatting>
        <x14:conditionalFormatting xmlns:xm="http://schemas.microsoft.com/office/excel/2006/main">
          <x14:cfRule type="dataBar" id="{7574FD8B-83F2-344B-B89C-4B4A7A42DB1A}">
            <x14:dataBar minLength="0" maxLength="100" border="1" negativeBarBorderColorSameAsPositive="0">
              <x14:cfvo type="autoMin"/>
              <x14:cfvo type="autoMax"/>
              <x14:borderColor rgb="FF638EC6"/>
              <x14:negativeFillColor rgb="FFFF0000"/>
              <x14:negativeBorderColor rgb="FFFF0000"/>
              <x14:axisColor rgb="FF000000"/>
            </x14:dataBar>
          </x14:cfRule>
          <xm:sqref>P43</xm:sqref>
        </x14:conditionalFormatting>
        <x14:conditionalFormatting xmlns:xm="http://schemas.microsoft.com/office/excel/2006/main">
          <x14:cfRule type="dataBar" id="{23DEDDCB-F082-C149-B945-D9B71DE87D53}">
            <x14:dataBar minLength="0" maxLength="100" border="1" negativeBarBorderColorSameAsPositive="0">
              <x14:cfvo type="autoMin"/>
              <x14:cfvo type="autoMax"/>
              <x14:borderColor rgb="FF638EC6"/>
              <x14:negativeFillColor rgb="FFFF0000"/>
              <x14:negativeBorderColor rgb="FFFF0000"/>
              <x14:axisColor rgb="FF000000"/>
            </x14:dataBar>
          </x14:cfRule>
          <xm:sqref>Q42</xm:sqref>
        </x14:conditionalFormatting>
        <x14:conditionalFormatting xmlns:xm="http://schemas.microsoft.com/office/excel/2006/main">
          <x14:cfRule type="dataBar" id="{19570F19-7476-9C4D-A7D3-99BFBC7D8757}">
            <x14:dataBar minLength="0" maxLength="100" border="1" negativeBarBorderColorSameAsPositive="0">
              <x14:cfvo type="autoMin"/>
              <x14:cfvo type="autoMax"/>
              <x14:borderColor rgb="FF638EC6"/>
              <x14:negativeFillColor rgb="FFFF0000"/>
              <x14:negativeBorderColor rgb="FFFF0000"/>
              <x14:axisColor rgb="FF000000"/>
            </x14:dataBar>
          </x14:cfRule>
          <xm:sqref>R41</xm:sqref>
        </x14:conditionalFormatting>
        <x14:conditionalFormatting xmlns:xm="http://schemas.microsoft.com/office/excel/2006/main">
          <x14:cfRule type="dataBar" id="{3CBA2B22-2782-3842-BBAF-C3EADCC0DCA0}">
            <x14:dataBar minLength="0" maxLength="100" border="1" negativeBarBorderColorSameAsPositive="0">
              <x14:cfvo type="autoMin"/>
              <x14:cfvo type="autoMax"/>
              <x14:borderColor rgb="FF638EC6"/>
              <x14:negativeFillColor rgb="FFFF0000"/>
              <x14:negativeBorderColor rgb="FFFF0000"/>
              <x14:axisColor rgb="FF000000"/>
            </x14:dataBar>
          </x14:cfRule>
          <xm:sqref>S40</xm:sqref>
        </x14:conditionalFormatting>
        <x14:conditionalFormatting xmlns:xm="http://schemas.microsoft.com/office/excel/2006/main">
          <x14:cfRule type="dataBar" id="{D205E8A6-5309-5E40-8514-5F784B291A9C}">
            <x14:dataBar minLength="0" maxLength="100" border="1" negativeBarBorderColorSameAsPositive="0">
              <x14:cfvo type="autoMin"/>
              <x14:cfvo type="autoMax"/>
              <x14:borderColor rgb="FF638EC6"/>
              <x14:negativeFillColor rgb="FFFF0000"/>
              <x14:negativeBorderColor rgb="FFFF0000"/>
              <x14:axisColor rgb="FF000000"/>
            </x14:dataBar>
          </x14:cfRule>
          <xm:sqref>T39</xm:sqref>
        </x14:conditionalFormatting>
        <x14:conditionalFormatting xmlns:xm="http://schemas.microsoft.com/office/excel/2006/main">
          <x14:cfRule type="dataBar" id="{BD31ECC1-93BB-EC4D-8A38-CF711FC29318}">
            <x14:dataBar minLength="0" maxLength="100" border="1" negativeBarBorderColorSameAsPositive="0">
              <x14:cfvo type="autoMin"/>
              <x14:cfvo type="autoMax"/>
              <x14:borderColor rgb="FF638EC6"/>
              <x14:negativeFillColor rgb="FFFF0000"/>
              <x14:negativeBorderColor rgb="FFFF0000"/>
              <x14:axisColor rgb="FF000000"/>
            </x14:dataBar>
          </x14:cfRule>
          <xm:sqref>U38</xm:sqref>
        </x14:conditionalFormatting>
        <x14:conditionalFormatting xmlns:xm="http://schemas.microsoft.com/office/excel/2006/main">
          <x14:cfRule type="dataBar" id="{D0899BFD-76B2-0548-8E32-F58851160013}">
            <x14:dataBar minLength="0" maxLength="100" border="1" negativeBarBorderColorSameAsPositive="0">
              <x14:cfvo type="autoMin"/>
              <x14:cfvo type="autoMax"/>
              <x14:borderColor rgb="FF638EC6"/>
              <x14:negativeFillColor rgb="FFFF0000"/>
              <x14:negativeBorderColor rgb="FFFF0000"/>
              <x14:axisColor rgb="FF000000"/>
            </x14:dataBar>
          </x14:cfRule>
          <xm:sqref>V37</xm:sqref>
        </x14:conditionalFormatting>
        <x14:conditionalFormatting xmlns:xm="http://schemas.microsoft.com/office/excel/2006/main">
          <x14:cfRule type="dataBar" id="{E202C5C2-4855-4649-BC7C-AF5DE8BD6C4F}">
            <x14:dataBar minLength="0" maxLength="100" border="1" negativeBarBorderColorSameAsPositive="0">
              <x14:cfvo type="autoMin"/>
              <x14:cfvo type="autoMax"/>
              <x14:borderColor rgb="FF638EC6"/>
              <x14:negativeFillColor rgb="FFFF0000"/>
              <x14:negativeBorderColor rgb="FFFF0000"/>
              <x14:axisColor rgb="FF000000"/>
            </x14:dataBar>
          </x14:cfRule>
          <xm:sqref>W36</xm:sqref>
        </x14:conditionalFormatting>
        <x14:conditionalFormatting xmlns:xm="http://schemas.microsoft.com/office/excel/2006/main">
          <x14:cfRule type="dataBar" id="{E60EF5E8-C80E-6746-A18C-91824C025BD7}">
            <x14:dataBar minLength="0" maxLength="100" border="1" negativeBarBorderColorSameAsPositive="0">
              <x14:cfvo type="autoMin"/>
              <x14:cfvo type="autoMax"/>
              <x14:borderColor rgb="FF638EC6"/>
              <x14:negativeFillColor rgb="FFFF0000"/>
              <x14:negativeBorderColor rgb="FFFF0000"/>
              <x14:axisColor rgb="FF000000"/>
            </x14:dataBar>
          </x14:cfRule>
          <xm:sqref>X35</xm:sqref>
        </x14:conditionalFormatting>
        <x14:conditionalFormatting xmlns:xm="http://schemas.microsoft.com/office/excel/2006/main">
          <x14:cfRule type="dataBar" id="{67F7586E-4143-FE4A-9D91-B1369A0120DC}">
            <x14:dataBar minLength="0" maxLength="100" border="1" negativeBarBorderColorSameAsPositive="0">
              <x14:cfvo type="autoMin"/>
              <x14:cfvo type="autoMax"/>
              <x14:borderColor rgb="FF638EC6"/>
              <x14:negativeFillColor rgb="FFFF0000"/>
              <x14:negativeBorderColor rgb="FFFF0000"/>
              <x14:axisColor rgb="FF000000"/>
            </x14:dataBar>
          </x14:cfRule>
          <xm:sqref>Y34</xm:sqref>
        </x14:conditionalFormatting>
        <x14:conditionalFormatting xmlns:xm="http://schemas.microsoft.com/office/excel/2006/main">
          <x14:cfRule type="dataBar" id="{FB8A83DC-F49F-B14C-9D34-A5AB5B126F05}">
            <x14:dataBar minLength="0" maxLength="100" border="1" negativeBarBorderColorSameAsPositive="0">
              <x14:cfvo type="autoMin"/>
              <x14:cfvo type="autoMax"/>
              <x14:borderColor rgb="FF638EC6"/>
              <x14:negativeFillColor rgb="FFFF0000"/>
              <x14:negativeBorderColor rgb="FFFF0000"/>
              <x14:axisColor rgb="FF000000"/>
            </x14:dataBar>
          </x14:cfRule>
          <xm:sqref>Z33</xm:sqref>
        </x14:conditionalFormatting>
        <x14:conditionalFormatting xmlns:xm="http://schemas.microsoft.com/office/excel/2006/main">
          <x14:cfRule type="dataBar" id="{E1FF105E-5A31-054E-AE01-32DC218A713E}">
            <x14:dataBar minLength="0" maxLength="100" border="1" negativeBarBorderColorSameAsPositive="0">
              <x14:cfvo type="autoMin"/>
              <x14:cfvo type="autoMax"/>
              <x14:borderColor rgb="FF638EC6"/>
              <x14:negativeFillColor rgb="FFFF0000"/>
              <x14:negativeBorderColor rgb="FFFF0000"/>
              <x14:axisColor rgb="FF000000"/>
            </x14:dataBar>
          </x14:cfRule>
          <xm:sqref>AA32</xm:sqref>
        </x14:conditionalFormatting>
        <x14:conditionalFormatting xmlns:xm="http://schemas.microsoft.com/office/excel/2006/main">
          <x14:cfRule type="dataBar" id="{FE9B3C20-66BF-1C4D-B98B-E733E13C00A0}">
            <x14:dataBar minLength="0" maxLength="100" border="1" negativeBarBorderColorSameAsPositive="0">
              <x14:cfvo type="autoMin"/>
              <x14:cfvo type="autoMax"/>
              <x14:borderColor rgb="FF638EC6"/>
              <x14:negativeFillColor rgb="FFFF0000"/>
              <x14:negativeBorderColor rgb="FFFF0000"/>
              <x14:axisColor rgb="FF000000"/>
            </x14:dataBar>
          </x14:cfRule>
          <xm:sqref>AB31</xm:sqref>
        </x14:conditionalFormatting>
        <x14:conditionalFormatting xmlns:xm="http://schemas.microsoft.com/office/excel/2006/main">
          <x14:cfRule type="dataBar" id="{C236D40A-2C59-2C40-8833-E7887EA12555}">
            <x14:dataBar minLength="0" maxLength="100" border="1" negativeBarBorderColorSameAsPositive="0">
              <x14:cfvo type="autoMin"/>
              <x14:cfvo type="autoMax"/>
              <x14:borderColor rgb="FF638EC6"/>
              <x14:negativeFillColor rgb="FFFF0000"/>
              <x14:negativeBorderColor rgb="FFFF0000"/>
              <x14:axisColor rgb="FF000000"/>
            </x14:dataBar>
          </x14:cfRule>
          <xm:sqref>AC30</xm:sqref>
        </x14:conditionalFormatting>
        <x14:conditionalFormatting xmlns:xm="http://schemas.microsoft.com/office/excel/2006/main">
          <x14:cfRule type="dataBar" id="{51C64402-E4DC-1C40-A09B-153092B22795}">
            <x14:dataBar minLength="0" maxLength="100" border="1" negativeBarBorderColorSameAsPositive="0">
              <x14:cfvo type="autoMin"/>
              <x14:cfvo type="autoMax"/>
              <x14:borderColor rgb="FF638EC6"/>
              <x14:negativeFillColor rgb="FFFF0000"/>
              <x14:negativeBorderColor rgb="FFFF0000"/>
              <x14:axisColor rgb="FF000000"/>
            </x14:dataBar>
          </x14:cfRule>
          <xm:sqref>AD29</xm:sqref>
        </x14:conditionalFormatting>
        <x14:conditionalFormatting xmlns:xm="http://schemas.microsoft.com/office/excel/2006/main">
          <x14:cfRule type="dataBar" id="{CE13E1D6-2D5E-7B48-95D9-48A63B78B284}">
            <x14:dataBar minLength="0" maxLength="100" border="1" negativeBarBorderColorSameAsPositive="0">
              <x14:cfvo type="autoMin"/>
              <x14:cfvo type="autoMax"/>
              <x14:borderColor rgb="FF638EC6"/>
              <x14:negativeFillColor rgb="FFFF0000"/>
              <x14:negativeBorderColor rgb="FFFF0000"/>
              <x14:axisColor rgb="FF000000"/>
            </x14:dataBar>
          </x14:cfRule>
          <xm:sqref>M48</xm:sqref>
        </x14:conditionalFormatting>
        <x14:conditionalFormatting xmlns:xm="http://schemas.microsoft.com/office/excel/2006/main">
          <x14:cfRule type="dataBar" id="{F48E8A5F-CE3A-0542-BA3F-567F186E883F}">
            <x14:dataBar minLength="0" maxLength="100" border="1" negativeBarBorderColorSameAsPositive="0">
              <x14:cfvo type="autoMin"/>
              <x14:cfvo type="autoMax"/>
              <x14:borderColor rgb="FF638EC6"/>
              <x14:negativeFillColor rgb="FFFF0000"/>
              <x14:negativeBorderColor rgb="FFFF0000"/>
              <x14:axisColor rgb="FF000000"/>
            </x14:dataBar>
          </x14:cfRule>
          <xm:sqref>N47</xm:sqref>
        </x14:conditionalFormatting>
        <x14:conditionalFormatting xmlns:xm="http://schemas.microsoft.com/office/excel/2006/main">
          <x14:cfRule type="dataBar" id="{96A85B8B-8380-CB46-8402-C4702AB85BFD}">
            <x14:dataBar minLength="0" maxLength="100" border="1" negativeBarBorderColorSameAsPositive="0">
              <x14:cfvo type="autoMin"/>
              <x14:cfvo type="autoMax"/>
              <x14:borderColor rgb="FF638EC6"/>
              <x14:negativeFillColor rgb="FFFF0000"/>
              <x14:negativeBorderColor rgb="FFFF0000"/>
              <x14:axisColor rgb="FF000000"/>
            </x14:dataBar>
          </x14:cfRule>
          <xm:sqref>O46</xm:sqref>
        </x14:conditionalFormatting>
        <x14:conditionalFormatting xmlns:xm="http://schemas.microsoft.com/office/excel/2006/main">
          <x14:cfRule type="dataBar" id="{3457E44A-0620-164C-B96D-540F1BAED138}">
            <x14:dataBar minLength="0" maxLength="100" border="1" negativeBarBorderColorSameAsPositive="0">
              <x14:cfvo type="autoMin"/>
              <x14:cfvo type="autoMax"/>
              <x14:borderColor rgb="FF638EC6"/>
              <x14:negativeFillColor rgb="FFFF0000"/>
              <x14:negativeBorderColor rgb="FFFF0000"/>
              <x14:axisColor rgb="FF000000"/>
            </x14:dataBar>
          </x14:cfRule>
          <xm:sqref>P45</xm:sqref>
        </x14:conditionalFormatting>
        <x14:conditionalFormatting xmlns:xm="http://schemas.microsoft.com/office/excel/2006/main">
          <x14:cfRule type="dataBar" id="{F3DB1F86-E594-784D-85E9-9F544056A0CE}">
            <x14:dataBar minLength="0" maxLength="100" border="1" negativeBarBorderColorSameAsPositive="0">
              <x14:cfvo type="autoMin"/>
              <x14:cfvo type="autoMax"/>
              <x14:borderColor rgb="FF638EC6"/>
              <x14:negativeFillColor rgb="FFFF0000"/>
              <x14:negativeBorderColor rgb="FFFF0000"/>
              <x14:axisColor rgb="FF000000"/>
            </x14:dataBar>
          </x14:cfRule>
          <xm:sqref>Q44</xm:sqref>
        </x14:conditionalFormatting>
        <x14:conditionalFormatting xmlns:xm="http://schemas.microsoft.com/office/excel/2006/main">
          <x14:cfRule type="dataBar" id="{92855971-2838-7446-A2AA-0120BB8AA405}">
            <x14:dataBar minLength="0" maxLength="100" border="1" negativeBarBorderColorSameAsPositive="0">
              <x14:cfvo type="autoMin"/>
              <x14:cfvo type="autoMax"/>
              <x14:borderColor rgb="FF638EC6"/>
              <x14:negativeFillColor rgb="FFFF0000"/>
              <x14:negativeBorderColor rgb="FFFF0000"/>
              <x14:axisColor rgb="FF000000"/>
            </x14:dataBar>
          </x14:cfRule>
          <xm:sqref>R43</xm:sqref>
        </x14:conditionalFormatting>
        <x14:conditionalFormatting xmlns:xm="http://schemas.microsoft.com/office/excel/2006/main">
          <x14:cfRule type="dataBar" id="{8A7BE4DF-D8EE-2B47-B1B7-611B96EADD9D}">
            <x14:dataBar minLength="0" maxLength="100" border="1" negativeBarBorderColorSameAsPositive="0">
              <x14:cfvo type="autoMin"/>
              <x14:cfvo type="autoMax"/>
              <x14:borderColor rgb="FF638EC6"/>
              <x14:negativeFillColor rgb="FFFF0000"/>
              <x14:negativeBorderColor rgb="FFFF0000"/>
              <x14:axisColor rgb="FF000000"/>
            </x14:dataBar>
          </x14:cfRule>
          <xm:sqref>S42</xm:sqref>
        </x14:conditionalFormatting>
        <x14:conditionalFormatting xmlns:xm="http://schemas.microsoft.com/office/excel/2006/main">
          <x14:cfRule type="dataBar" id="{F0ECCDB7-EF58-A44C-9354-7A420299B17E}">
            <x14:dataBar minLength="0" maxLength="100" border="1" negativeBarBorderColorSameAsPositive="0">
              <x14:cfvo type="autoMin"/>
              <x14:cfvo type="autoMax"/>
              <x14:borderColor rgb="FF638EC6"/>
              <x14:negativeFillColor rgb="FFFF0000"/>
              <x14:negativeBorderColor rgb="FFFF0000"/>
              <x14:axisColor rgb="FF000000"/>
            </x14:dataBar>
          </x14:cfRule>
          <xm:sqref>T41</xm:sqref>
        </x14:conditionalFormatting>
        <x14:conditionalFormatting xmlns:xm="http://schemas.microsoft.com/office/excel/2006/main">
          <x14:cfRule type="dataBar" id="{7E2DB24F-A633-344B-989A-50BED17CC617}">
            <x14:dataBar minLength="0" maxLength="100" border="1" negativeBarBorderColorSameAsPositive="0">
              <x14:cfvo type="autoMin"/>
              <x14:cfvo type="autoMax"/>
              <x14:borderColor rgb="FF638EC6"/>
              <x14:negativeFillColor rgb="FFFF0000"/>
              <x14:negativeBorderColor rgb="FFFF0000"/>
              <x14:axisColor rgb="FF000000"/>
            </x14:dataBar>
          </x14:cfRule>
          <xm:sqref>U40</xm:sqref>
        </x14:conditionalFormatting>
        <x14:conditionalFormatting xmlns:xm="http://schemas.microsoft.com/office/excel/2006/main">
          <x14:cfRule type="dataBar" id="{1AB541F7-6DA6-7C4C-9A9D-E05F9DA999AF}">
            <x14:dataBar minLength="0" maxLength="100" border="1" negativeBarBorderColorSameAsPositive="0">
              <x14:cfvo type="autoMin"/>
              <x14:cfvo type="autoMax"/>
              <x14:borderColor rgb="FF638EC6"/>
              <x14:negativeFillColor rgb="FFFF0000"/>
              <x14:negativeBorderColor rgb="FFFF0000"/>
              <x14:axisColor rgb="FF000000"/>
            </x14:dataBar>
          </x14:cfRule>
          <xm:sqref>V39</xm:sqref>
        </x14:conditionalFormatting>
        <x14:conditionalFormatting xmlns:xm="http://schemas.microsoft.com/office/excel/2006/main">
          <x14:cfRule type="dataBar" id="{16002E24-C386-3A42-830E-E97F3B6A99F9}">
            <x14:dataBar minLength="0" maxLength="100" border="1" negativeBarBorderColorSameAsPositive="0">
              <x14:cfvo type="autoMin"/>
              <x14:cfvo type="autoMax"/>
              <x14:borderColor rgb="FF638EC6"/>
              <x14:negativeFillColor rgb="FFFF0000"/>
              <x14:negativeBorderColor rgb="FFFF0000"/>
              <x14:axisColor rgb="FF000000"/>
            </x14:dataBar>
          </x14:cfRule>
          <xm:sqref>W38</xm:sqref>
        </x14:conditionalFormatting>
        <x14:conditionalFormatting xmlns:xm="http://schemas.microsoft.com/office/excel/2006/main">
          <x14:cfRule type="dataBar" id="{E1EC7C05-DDDF-5444-96AA-7AF20BDD0FB2}">
            <x14:dataBar minLength="0" maxLength="100" border="1" negativeBarBorderColorSameAsPositive="0">
              <x14:cfvo type="autoMin"/>
              <x14:cfvo type="autoMax"/>
              <x14:borderColor rgb="FF638EC6"/>
              <x14:negativeFillColor rgb="FFFF0000"/>
              <x14:negativeBorderColor rgb="FFFF0000"/>
              <x14:axisColor rgb="FF000000"/>
            </x14:dataBar>
          </x14:cfRule>
          <xm:sqref>X37</xm:sqref>
        </x14:conditionalFormatting>
        <x14:conditionalFormatting xmlns:xm="http://schemas.microsoft.com/office/excel/2006/main">
          <x14:cfRule type="dataBar" id="{D8172F42-42B8-3A43-93E0-D791A042C06E}">
            <x14:dataBar minLength="0" maxLength="100" border="1" negativeBarBorderColorSameAsPositive="0">
              <x14:cfvo type="autoMin"/>
              <x14:cfvo type="autoMax"/>
              <x14:borderColor rgb="FF638EC6"/>
              <x14:negativeFillColor rgb="FFFF0000"/>
              <x14:negativeBorderColor rgb="FFFF0000"/>
              <x14:axisColor rgb="FF000000"/>
            </x14:dataBar>
          </x14:cfRule>
          <xm:sqref>Y36</xm:sqref>
        </x14:conditionalFormatting>
        <x14:conditionalFormatting xmlns:xm="http://schemas.microsoft.com/office/excel/2006/main">
          <x14:cfRule type="dataBar" id="{AB2F0A37-4152-1D48-80A6-097A697A826B}">
            <x14:dataBar minLength="0" maxLength="100" border="1" negativeBarBorderColorSameAsPositive="0">
              <x14:cfvo type="autoMin"/>
              <x14:cfvo type="autoMax"/>
              <x14:borderColor rgb="FF638EC6"/>
              <x14:negativeFillColor rgb="FFFF0000"/>
              <x14:negativeBorderColor rgb="FFFF0000"/>
              <x14:axisColor rgb="FF000000"/>
            </x14:dataBar>
          </x14:cfRule>
          <xm:sqref>Z35</xm:sqref>
        </x14:conditionalFormatting>
        <x14:conditionalFormatting xmlns:xm="http://schemas.microsoft.com/office/excel/2006/main">
          <x14:cfRule type="dataBar" id="{429A5DA2-4B62-D343-83C3-48C52FA14663}">
            <x14:dataBar minLength="0" maxLength="100" border="1" negativeBarBorderColorSameAsPositive="0">
              <x14:cfvo type="autoMin"/>
              <x14:cfvo type="autoMax"/>
              <x14:borderColor rgb="FF638EC6"/>
              <x14:negativeFillColor rgb="FFFF0000"/>
              <x14:negativeBorderColor rgb="FFFF0000"/>
              <x14:axisColor rgb="FF000000"/>
            </x14:dataBar>
          </x14:cfRule>
          <xm:sqref>AA34</xm:sqref>
        </x14:conditionalFormatting>
        <x14:conditionalFormatting xmlns:xm="http://schemas.microsoft.com/office/excel/2006/main">
          <x14:cfRule type="dataBar" id="{52EB2F02-2DC1-D746-96A8-13A807418031}">
            <x14:dataBar minLength="0" maxLength="100" border="1" negativeBarBorderColorSameAsPositive="0">
              <x14:cfvo type="autoMin"/>
              <x14:cfvo type="autoMax"/>
              <x14:borderColor rgb="FF638EC6"/>
              <x14:negativeFillColor rgb="FFFF0000"/>
              <x14:negativeBorderColor rgb="FFFF0000"/>
              <x14:axisColor rgb="FF000000"/>
            </x14:dataBar>
          </x14:cfRule>
          <xm:sqref>AB33</xm:sqref>
        </x14:conditionalFormatting>
        <x14:conditionalFormatting xmlns:xm="http://schemas.microsoft.com/office/excel/2006/main">
          <x14:cfRule type="dataBar" id="{75297359-AEAC-FB40-83AA-99F255781B67}">
            <x14:dataBar minLength="0" maxLength="100" border="1" negativeBarBorderColorSameAsPositive="0">
              <x14:cfvo type="autoMin"/>
              <x14:cfvo type="autoMax"/>
              <x14:borderColor rgb="FF638EC6"/>
              <x14:negativeFillColor rgb="FFFF0000"/>
              <x14:negativeBorderColor rgb="FFFF0000"/>
              <x14:axisColor rgb="FF000000"/>
            </x14:dataBar>
          </x14:cfRule>
          <xm:sqref>AC32</xm:sqref>
        </x14:conditionalFormatting>
        <x14:conditionalFormatting xmlns:xm="http://schemas.microsoft.com/office/excel/2006/main">
          <x14:cfRule type="dataBar" id="{BD6AE8AF-DF13-314A-8A60-27E92B1D9497}">
            <x14:dataBar minLength="0" maxLength="100" border="1" negativeBarBorderColorSameAsPositive="0">
              <x14:cfvo type="autoMin"/>
              <x14:cfvo type="autoMax"/>
              <x14:borderColor rgb="FF638EC6"/>
              <x14:negativeFillColor rgb="FFFF0000"/>
              <x14:negativeBorderColor rgb="FFFF0000"/>
              <x14:axisColor rgb="FF000000"/>
            </x14:dataBar>
          </x14:cfRule>
          <xm:sqref>AD31</xm:sqref>
        </x14:conditionalFormatting>
        <x14:conditionalFormatting xmlns:xm="http://schemas.microsoft.com/office/excel/2006/main">
          <x14:cfRule type="dataBar" id="{DBD40982-1B68-FF44-93B9-20EAA193EB48}">
            <x14:dataBar minLength="0" maxLength="100" border="1" negativeBarBorderColorSameAsPositive="0">
              <x14:cfvo type="autoMin"/>
              <x14:cfvo type="autoMax"/>
              <x14:borderColor rgb="FF638EC6"/>
              <x14:negativeFillColor rgb="FFFF0000"/>
              <x14:negativeBorderColor rgb="FFFF0000"/>
              <x14:axisColor rgb="FF000000"/>
            </x14:dataBar>
          </x14:cfRule>
          <xm:sqref>M50</xm:sqref>
        </x14:conditionalFormatting>
        <x14:conditionalFormatting xmlns:xm="http://schemas.microsoft.com/office/excel/2006/main">
          <x14:cfRule type="dataBar" id="{A72E3E07-43B4-B34F-B2F2-04E948EC0EFB}">
            <x14:dataBar minLength="0" maxLength="100" border="1" negativeBarBorderColorSameAsPositive="0">
              <x14:cfvo type="autoMin"/>
              <x14:cfvo type="autoMax"/>
              <x14:borderColor rgb="FF638EC6"/>
              <x14:negativeFillColor rgb="FFFF0000"/>
              <x14:negativeBorderColor rgb="FFFF0000"/>
              <x14:axisColor rgb="FF000000"/>
            </x14:dataBar>
          </x14:cfRule>
          <xm:sqref>N49</xm:sqref>
        </x14:conditionalFormatting>
        <x14:conditionalFormatting xmlns:xm="http://schemas.microsoft.com/office/excel/2006/main">
          <x14:cfRule type="dataBar" id="{D62F2296-D9F8-7540-A703-288D84529735}">
            <x14:dataBar minLength="0" maxLength="100" border="1" negativeBarBorderColorSameAsPositive="0">
              <x14:cfvo type="autoMin"/>
              <x14:cfvo type="autoMax"/>
              <x14:borderColor rgb="FF638EC6"/>
              <x14:negativeFillColor rgb="FFFF0000"/>
              <x14:negativeBorderColor rgb="FFFF0000"/>
              <x14:axisColor rgb="FF000000"/>
            </x14:dataBar>
          </x14:cfRule>
          <xm:sqref>O48</xm:sqref>
        </x14:conditionalFormatting>
        <x14:conditionalFormatting xmlns:xm="http://schemas.microsoft.com/office/excel/2006/main">
          <x14:cfRule type="dataBar" id="{ECA080FB-EBCE-0848-95BD-7E5C73A1687A}">
            <x14:dataBar minLength="0" maxLength="100" border="1" negativeBarBorderColorSameAsPositive="0">
              <x14:cfvo type="autoMin"/>
              <x14:cfvo type="autoMax"/>
              <x14:borderColor rgb="FF638EC6"/>
              <x14:negativeFillColor rgb="FFFF0000"/>
              <x14:negativeBorderColor rgb="FFFF0000"/>
              <x14:axisColor rgb="FF000000"/>
            </x14:dataBar>
          </x14:cfRule>
          <xm:sqref>P47</xm:sqref>
        </x14:conditionalFormatting>
        <x14:conditionalFormatting xmlns:xm="http://schemas.microsoft.com/office/excel/2006/main">
          <x14:cfRule type="dataBar" id="{60BC8DA5-7BC7-2146-8A53-190A29201E93}">
            <x14:dataBar minLength="0" maxLength="100" border="1" negativeBarBorderColorSameAsPositive="0">
              <x14:cfvo type="autoMin"/>
              <x14:cfvo type="autoMax"/>
              <x14:borderColor rgb="FF638EC6"/>
              <x14:negativeFillColor rgb="FFFF0000"/>
              <x14:negativeBorderColor rgb="FFFF0000"/>
              <x14:axisColor rgb="FF000000"/>
            </x14:dataBar>
          </x14:cfRule>
          <xm:sqref>Q46</xm:sqref>
        </x14:conditionalFormatting>
        <x14:conditionalFormatting xmlns:xm="http://schemas.microsoft.com/office/excel/2006/main">
          <x14:cfRule type="dataBar" id="{F37061BE-43AF-1F4F-8F52-2818234E7B0C}">
            <x14:dataBar minLength="0" maxLength="100" border="1" negativeBarBorderColorSameAsPositive="0">
              <x14:cfvo type="autoMin"/>
              <x14:cfvo type="autoMax"/>
              <x14:borderColor rgb="FF638EC6"/>
              <x14:negativeFillColor rgb="FFFF0000"/>
              <x14:negativeBorderColor rgb="FFFF0000"/>
              <x14:axisColor rgb="FF000000"/>
            </x14:dataBar>
          </x14:cfRule>
          <xm:sqref>R45</xm:sqref>
        </x14:conditionalFormatting>
        <x14:conditionalFormatting xmlns:xm="http://schemas.microsoft.com/office/excel/2006/main">
          <x14:cfRule type="dataBar" id="{D0C89E97-76E1-8B4C-858A-1782123F2A77}">
            <x14:dataBar minLength="0" maxLength="100" border="1" negativeBarBorderColorSameAsPositive="0">
              <x14:cfvo type="autoMin"/>
              <x14:cfvo type="autoMax"/>
              <x14:borderColor rgb="FF638EC6"/>
              <x14:negativeFillColor rgb="FFFF0000"/>
              <x14:negativeBorderColor rgb="FFFF0000"/>
              <x14:axisColor rgb="FF000000"/>
            </x14:dataBar>
          </x14:cfRule>
          <xm:sqref>S44</xm:sqref>
        </x14:conditionalFormatting>
        <x14:conditionalFormatting xmlns:xm="http://schemas.microsoft.com/office/excel/2006/main">
          <x14:cfRule type="dataBar" id="{8D0F705B-410B-8D4C-992F-6C804F23C44B}">
            <x14:dataBar minLength="0" maxLength="100" border="1" negativeBarBorderColorSameAsPositive="0">
              <x14:cfvo type="autoMin"/>
              <x14:cfvo type="autoMax"/>
              <x14:borderColor rgb="FF638EC6"/>
              <x14:negativeFillColor rgb="FFFF0000"/>
              <x14:negativeBorderColor rgb="FFFF0000"/>
              <x14:axisColor rgb="FF000000"/>
            </x14:dataBar>
          </x14:cfRule>
          <xm:sqref>T43</xm:sqref>
        </x14:conditionalFormatting>
        <x14:conditionalFormatting xmlns:xm="http://schemas.microsoft.com/office/excel/2006/main">
          <x14:cfRule type="dataBar" id="{11FC3AF6-ADC8-A240-937B-E2A6B7C4AA99}">
            <x14:dataBar minLength="0" maxLength="100" border="1" negativeBarBorderColorSameAsPositive="0">
              <x14:cfvo type="autoMin"/>
              <x14:cfvo type="autoMax"/>
              <x14:borderColor rgb="FF638EC6"/>
              <x14:negativeFillColor rgb="FFFF0000"/>
              <x14:negativeBorderColor rgb="FFFF0000"/>
              <x14:axisColor rgb="FF000000"/>
            </x14:dataBar>
          </x14:cfRule>
          <xm:sqref>U42</xm:sqref>
        </x14:conditionalFormatting>
        <x14:conditionalFormatting xmlns:xm="http://schemas.microsoft.com/office/excel/2006/main">
          <x14:cfRule type="dataBar" id="{76B3CB13-955E-4045-8E07-6E36A934D3CD}">
            <x14:dataBar minLength="0" maxLength="100" border="1" negativeBarBorderColorSameAsPositive="0">
              <x14:cfvo type="autoMin"/>
              <x14:cfvo type="autoMax"/>
              <x14:borderColor rgb="FF638EC6"/>
              <x14:negativeFillColor rgb="FFFF0000"/>
              <x14:negativeBorderColor rgb="FFFF0000"/>
              <x14:axisColor rgb="FF000000"/>
            </x14:dataBar>
          </x14:cfRule>
          <xm:sqref>V41</xm:sqref>
        </x14:conditionalFormatting>
        <x14:conditionalFormatting xmlns:xm="http://schemas.microsoft.com/office/excel/2006/main">
          <x14:cfRule type="dataBar" id="{8653525F-7342-0747-BE6F-71CB776913D4}">
            <x14:dataBar minLength="0" maxLength="100" border="1" negativeBarBorderColorSameAsPositive="0">
              <x14:cfvo type="autoMin"/>
              <x14:cfvo type="autoMax"/>
              <x14:borderColor rgb="FF638EC6"/>
              <x14:negativeFillColor rgb="FFFF0000"/>
              <x14:negativeBorderColor rgb="FFFF0000"/>
              <x14:axisColor rgb="FF000000"/>
            </x14:dataBar>
          </x14:cfRule>
          <xm:sqref>W40</xm:sqref>
        </x14:conditionalFormatting>
        <x14:conditionalFormatting xmlns:xm="http://schemas.microsoft.com/office/excel/2006/main">
          <x14:cfRule type="dataBar" id="{FE46DB3A-D24C-5140-9433-C96A2A9502DB}">
            <x14:dataBar minLength="0" maxLength="100" border="1" negativeBarBorderColorSameAsPositive="0">
              <x14:cfvo type="autoMin"/>
              <x14:cfvo type="autoMax"/>
              <x14:borderColor rgb="FF638EC6"/>
              <x14:negativeFillColor rgb="FFFF0000"/>
              <x14:negativeBorderColor rgb="FFFF0000"/>
              <x14:axisColor rgb="FF000000"/>
            </x14:dataBar>
          </x14:cfRule>
          <xm:sqref>X39</xm:sqref>
        </x14:conditionalFormatting>
        <x14:conditionalFormatting xmlns:xm="http://schemas.microsoft.com/office/excel/2006/main">
          <x14:cfRule type="dataBar" id="{5156DC04-04BD-3242-B93C-7331C231AA4C}">
            <x14:dataBar minLength="0" maxLength="100" border="1" negativeBarBorderColorSameAsPositive="0">
              <x14:cfvo type="autoMin"/>
              <x14:cfvo type="autoMax"/>
              <x14:borderColor rgb="FF638EC6"/>
              <x14:negativeFillColor rgb="FFFF0000"/>
              <x14:negativeBorderColor rgb="FFFF0000"/>
              <x14:axisColor rgb="FF000000"/>
            </x14:dataBar>
          </x14:cfRule>
          <xm:sqref>Y38</xm:sqref>
        </x14:conditionalFormatting>
        <x14:conditionalFormatting xmlns:xm="http://schemas.microsoft.com/office/excel/2006/main">
          <x14:cfRule type="dataBar" id="{47634BA6-85CD-EE41-AE6D-1C6E61207E9D}">
            <x14:dataBar minLength="0" maxLength="100" border="1" negativeBarBorderColorSameAsPositive="0">
              <x14:cfvo type="autoMin"/>
              <x14:cfvo type="autoMax"/>
              <x14:borderColor rgb="FF638EC6"/>
              <x14:negativeFillColor rgb="FFFF0000"/>
              <x14:negativeBorderColor rgb="FFFF0000"/>
              <x14:axisColor rgb="FF000000"/>
            </x14:dataBar>
          </x14:cfRule>
          <xm:sqref>Z37</xm:sqref>
        </x14:conditionalFormatting>
        <x14:conditionalFormatting xmlns:xm="http://schemas.microsoft.com/office/excel/2006/main">
          <x14:cfRule type="dataBar" id="{6625A29D-2939-0542-A251-1F5457E8F33F}">
            <x14:dataBar minLength="0" maxLength="100" border="1" negativeBarBorderColorSameAsPositive="0">
              <x14:cfvo type="autoMin"/>
              <x14:cfvo type="autoMax"/>
              <x14:borderColor rgb="FF638EC6"/>
              <x14:negativeFillColor rgb="FFFF0000"/>
              <x14:negativeBorderColor rgb="FFFF0000"/>
              <x14:axisColor rgb="FF000000"/>
            </x14:dataBar>
          </x14:cfRule>
          <xm:sqref>AA36</xm:sqref>
        </x14:conditionalFormatting>
        <x14:conditionalFormatting xmlns:xm="http://schemas.microsoft.com/office/excel/2006/main">
          <x14:cfRule type="dataBar" id="{D1953156-66FB-D14A-8F32-A6B1171EAB4B}">
            <x14:dataBar minLength="0" maxLength="100" border="1" negativeBarBorderColorSameAsPositive="0">
              <x14:cfvo type="autoMin"/>
              <x14:cfvo type="autoMax"/>
              <x14:borderColor rgb="FF638EC6"/>
              <x14:negativeFillColor rgb="FFFF0000"/>
              <x14:negativeBorderColor rgb="FFFF0000"/>
              <x14:axisColor rgb="FF000000"/>
            </x14:dataBar>
          </x14:cfRule>
          <xm:sqref>AB35</xm:sqref>
        </x14:conditionalFormatting>
        <x14:conditionalFormatting xmlns:xm="http://schemas.microsoft.com/office/excel/2006/main">
          <x14:cfRule type="dataBar" id="{C20C693B-AC9D-5545-A06F-80ABA1C1C8E3}">
            <x14:dataBar minLength="0" maxLength="100" border="1" negativeBarBorderColorSameAsPositive="0">
              <x14:cfvo type="autoMin"/>
              <x14:cfvo type="autoMax"/>
              <x14:borderColor rgb="FF638EC6"/>
              <x14:negativeFillColor rgb="FFFF0000"/>
              <x14:negativeBorderColor rgb="FFFF0000"/>
              <x14:axisColor rgb="FF000000"/>
            </x14:dataBar>
          </x14:cfRule>
          <xm:sqref>AC34</xm:sqref>
        </x14:conditionalFormatting>
        <x14:conditionalFormatting xmlns:xm="http://schemas.microsoft.com/office/excel/2006/main">
          <x14:cfRule type="dataBar" id="{F2FEB14E-0602-224E-9666-842A3725CAEB}">
            <x14:dataBar minLength="0" maxLength="100" border="1" negativeBarBorderColorSameAsPositive="0">
              <x14:cfvo type="autoMin"/>
              <x14:cfvo type="autoMax"/>
              <x14:borderColor rgb="FF638EC6"/>
              <x14:negativeFillColor rgb="FFFF0000"/>
              <x14:negativeBorderColor rgb="FFFF0000"/>
              <x14:axisColor rgb="FF000000"/>
            </x14:dataBar>
          </x14:cfRule>
          <xm:sqref>AD33</xm:sqref>
        </x14:conditionalFormatting>
        <x14:conditionalFormatting xmlns:xm="http://schemas.microsoft.com/office/excel/2006/main">
          <x14:cfRule type="dataBar" id="{34C4CEAB-EDD5-A548-AA5A-218D99159564}">
            <x14:dataBar minLength="0" maxLength="100" border="1" negativeBarBorderColorSameAsPositive="0">
              <x14:cfvo type="autoMin"/>
              <x14:cfvo type="autoMax"/>
              <x14:borderColor rgb="FF638EC6"/>
              <x14:negativeFillColor rgb="FFFF0000"/>
              <x14:negativeBorderColor rgb="FFFF0000"/>
              <x14:axisColor rgb="FF000000"/>
            </x14:dataBar>
          </x14:cfRule>
          <xm:sqref>M52</xm:sqref>
        </x14:conditionalFormatting>
        <x14:conditionalFormatting xmlns:xm="http://schemas.microsoft.com/office/excel/2006/main">
          <x14:cfRule type="dataBar" id="{5B69A897-3D1A-A14E-9A7B-37DBFF386852}">
            <x14:dataBar minLength="0" maxLength="100" border="1" negativeBarBorderColorSameAsPositive="0">
              <x14:cfvo type="autoMin"/>
              <x14:cfvo type="autoMax"/>
              <x14:borderColor rgb="FF638EC6"/>
              <x14:negativeFillColor rgb="FFFF0000"/>
              <x14:negativeBorderColor rgb="FFFF0000"/>
              <x14:axisColor rgb="FF000000"/>
            </x14:dataBar>
          </x14:cfRule>
          <xm:sqref>N51</xm:sqref>
        </x14:conditionalFormatting>
        <x14:conditionalFormatting xmlns:xm="http://schemas.microsoft.com/office/excel/2006/main">
          <x14:cfRule type="dataBar" id="{0A2F6C06-F050-A141-91C3-3FD4A99683BA}">
            <x14:dataBar minLength="0" maxLength="100" border="1" negativeBarBorderColorSameAsPositive="0">
              <x14:cfvo type="autoMin"/>
              <x14:cfvo type="autoMax"/>
              <x14:borderColor rgb="FF638EC6"/>
              <x14:negativeFillColor rgb="FFFF0000"/>
              <x14:negativeBorderColor rgb="FFFF0000"/>
              <x14:axisColor rgb="FF000000"/>
            </x14:dataBar>
          </x14:cfRule>
          <xm:sqref>O50</xm:sqref>
        </x14:conditionalFormatting>
        <x14:conditionalFormatting xmlns:xm="http://schemas.microsoft.com/office/excel/2006/main">
          <x14:cfRule type="dataBar" id="{7CFD0EE1-2DA5-5C40-B9AB-F2F235300B6E}">
            <x14:dataBar minLength="0" maxLength="100" border="1" negativeBarBorderColorSameAsPositive="0">
              <x14:cfvo type="autoMin"/>
              <x14:cfvo type="autoMax"/>
              <x14:borderColor rgb="FF638EC6"/>
              <x14:negativeFillColor rgb="FFFF0000"/>
              <x14:negativeBorderColor rgb="FFFF0000"/>
              <x14:axisColor rgb="FF000000"/>
            </x14:dataBar>
          </x14:cfRule>
          <xm:sqref>P49</xm:sqref>
        </x14:conditionalFormatting>
        <x14:conditionalFormatting xmlns:xm="http://schemas.microsoft.com/office/excel/2006/main">
          <x14:cfRule type="dataBar" id="{4BE1E0F8-5BDD-9142-8A47-4DBC7DC99290}">
            <x14:dataBar minLength="0" maxLength="100" border="1" negativeBarBorderColorSameAsPositive="0">
              <x14:cfvo type="autoMin"/>
              <x14:cfvo type="autoMax"/>
              <x14:borderColor rgb="FF638EC6"/>
              <x14:negativeFillColor rgb="FFFF0000"/>
              <x14:negativeBorderColor rgb="FFFF0000"/>
              <x14:axisColor rgb="FF000000"/>
            </x14:dataBar>
          </x14:cfRule>
          <xm:sqref>Q48</xm:sqref>
        </x14:conditionalFormatting>
        <x14:conditionalFormatting xmlns:xm="http://schemas.microsoft.com/office/excel/2006/main">
          <x14:cfRule type="dataBar" id="{5676D278-1311-DC47-A60E-506636BFC0FE}">
            <x14:dataBar minLength="0" maxLength="100" border="1" negativeBarBorderColorSameAsPositive="0">
              <x14:cfvo type="autoMin"/>
              <x14:cfvo type="autoMax"/>
              <x14:borderColor rgb="FF638EC6"/>
              <x14:negativeFillColor rgb="FFFF0000"/>
              <x14:negativeBorderColor rgb="FFFF0000"/>
              <x14:axisColor rgb="FF000000"/>
            </x14:dataBar>
          </x14:cfRule>
          <xm:sqref>AD35 R47 AC36 AB37 AA38 Z39 Y40 X41 W42 V43 U44 T45 S46</xm:sqref>
        </x14:conditionalFormatting>
        <x14:conditionalFormatting xmlns:xm="http://schemas.microsoft.com/office/excel/2006/main">
          <x14:cfRule type="dataBar" id="{3395608A-AD83-8B45-9FEC-E20B89F2A079}">
            <x14:dataBar minLength="0" maxLength="100" border="1" negativeBarBorderColorSameAsPositive="0">
              <x14:cfvo type="autoMin"/>
              <x14:cfvo type="autoMax"/>
              <x14:borderColor rgb="FF638EC6"/>
              <x14:negativeFillColor rgb="FFFF0000"/>
              <x14:negativeBorderColor rgb="FFFF0000"/>
              <x14:axisColor rgb="FF000000"/>
            </x14:dataBar>
          </x14:cfRule>
          <xm:sqref>M54 AD37 AC38 AB39 AA40 Z41 Y42 X43 W44 V45 U46 T47 S48 R49 Q50 P51 O52 N53</xm:sqref>
        </x14:conditionalFormatting>
        <x14:conditionalFormatting xmlns:xm="http://schemas.microsoft.com/office/excel/2006/main">
          <x14:cfRule type="dataBar" id="{9B917FFE-F086-CD4D-8781-90B21BBE53CB}">
            <x14:dataBar minLength="0" maxLength="100" border="1" negativeBarBorderColorSameAsPositive="0">
              <x14:cfvo type="autoMin"/>
              <x14:cfvo type="autoMax"/>
              <x14:borderColor rgb="FF638EC6"/>
              <x14:negativeFillColor rgb="FFFF0000"/>
              <x14:negativeBorderColor rgb="FFFF0000"/>
              <x14:axisColor rgb="FF000000"/>
            </x14:dataBar>
          </x14:cfRule>
          <xm:sqref>M56 AD39 AC40 AB41 AA42 Z43 Y44 X45 W46 V47 U48 T49 S50 R51 Q52 P53 O54 N55</xm:sqref>
        </x14:conditionalFormatting>
        <x14:conditionalFormatting xmlns:xm="http://schemas.microsoft.com/office/excel/2006/main">
          <x14:cfRule type="dataBar" id="{981EBB39-6394-4B4D-8BCE-23AC07A4A8E6}">
            <x14:dataBar minLength="0" maxLength="100" border="1" negativeBarBorderColorSameAsPositive="0">
              <x14:cfvo type="autoMin"/>
              <x14:cfvo type="autoMax"/>
              <x14:borderColor rgb="FF638EC6"/>
              <x14:negativeFillColor rgb="FFFF0000"/>
              <x14:negativeBorderColor rgb="FFFF0000"/>
              <x14:axisColor rgb="FF000000"/>
            </x14:dataBar>
          </x14:cfRule>
          <xm:sqref>M58 AD41 AC42 AB43 AA44 Z45 Y46 X47 W48 V49 U50 T51 S52 R53 Q54 P55 O56 N57</xm:sqref>
        </x14:conditionalFormatting>
        <x14:conditionalFormatting xmlns:xm="http://schemas.microsoft.com/office/excel/2006/main">
          <x14:cfRule type="dataBar" id="{BA26AE79-0420-CD45-B7E0-B1751D30D970}">
            <x14:dataBar minLength="0" maxLength="100" border="1" negativeBarBorderColorSameAsPositive="0">
              <x14:cfvo type="autoMin"/>
              <x14:cfvo type="autoMax"/>
              <x14:borderColor rgb="FF638EC6"/>
              <x14:negativeFillColor rgb="FFFF0000"/>
              <x14:negativeBorderColor rgb="FFFF0000"/>
              <x14:axisColor rgb="FF000000"/>
            </x14:dataBar>
          </x14:cfRule>
          <xm:sqref>O58 AD43 AC44 AB45 AA46 Z47 Y48 X49 W50 V51 U52 T53 S54 R55 Q56 P57</xm:sqref>
        </x14:conditionalFormatting>
        <x14:conditionalFormatting xmlns:xm="http://schemas.microsoft.com/office/excel/2006/main">
          <x14:cfRule type="dataBar" id="{BE1E2FF9-6942-D544-8D06-F4E27EAB6E50}">
            <x14:dataBar minLength="0" maxLength="100" border="1" negativeBarBorderColorSameAsPositive="0">
              <x14:cfvo type="autoMin"/>
              <x14:cfvo type="autoMax"/>
              <x14:borderColor rgb="FF638EC6"/>
              <x14:negativeFillColor rgb="FFFF0000"/>
              <x14:negativeBorderColor rgb="FFFF0000"/>
              <x14:axisColor rgb="FF000000"/>
            </x14:dataBar>
          </x14:cfRule>
          <xm:sqref>O60</xm:sqref>
        </x14:conditionalFormatting>
        <x14:conditionalFormatting xmlns:xm="http://schemas.microsoft.com/office/excel/2006/main">
          <x14:cfRule type="dataBar" id="{31F17550-413C-ED46-B6C4-6044A9DBE5FA}">
            <x14:dataBar minLength="0" maxLength="100" border="1" negativeBarBorderColorSameAsPositive="0">
              <x14:cfvo type="autoMin"/>
              <x14:cfvo type="autoMax"/>
              <x14:borderColor rgb="FF638EC6"/>
              <x14:negativeFillColor rgb="FFFF0000"/>
              <x14:negativeBorderColor rgb="FFFF0000"/>
              <x14:axisColor rgb="FF000000"/>
            </x14:dataBar>
          </x14:cfRule>
          <xm:sqref>P59</xm:sqref>
        </x14:conditionalFormatting>
        <x14:conditionalFormatting xmlns:xm="http://schemas.microsoft.com/office/excel/2006/main">
          <x14:cfRule type="dataBar" id="{EBA96F3A-2985-A74F-BE8F-2B30E658C425}">
            <x14:dataBar minLength="0" maxLength="100" border="1" negativeBarBorderColorSameAsPositive="0">
              <x14:cfvo type="autoMin"/>
              <x14:cfvo type="autoMax"/>
              <x14:borderColor rgb="FF638EC6"/>
              <x14:negativeFillColor rgb="FFFF0000"/>
              <x14:negativeBorderColor rgb="FFFF0000"/>
              <x14:axisColor rgb="FF000000"/>
            </x14:dataBar>
          </x14:cfRule>
          <xm:sqref>Q58</xm:sqref>
        </x14:conditionalFormatting>
        <x14:conditionalFormatting xmlns:xm="http://schemas.microsoft.com/office/excel/2006/main">
          <x14:cfRule type="dataBar" id="{E8E19FA6-3544-6346-B9F0-C6E2466FA5CF}">
            <x14:dataBar minLength="0" maxLength="100" border="1" negativeBarBorderColorSameAsPositive="0">
              <x14:cfvo type="autoMin"/>
              <x14:cfvo type="autoMax"/>
              <x14:borderColor rgb="FF638EC6"/>
              <x14:negativeFillColor rgb="FFFF0000"/>
              <x14:negativeBorderColor rgb="FFFF0000"/>
              <x14:axisColor rgb="FF000000"/>
            </x14:dataBar>
          </x14:cfRule>
          <xm:sqref>R57</xm:sqref>
        </x14:conditionalFormatting>
        <x14:conditionalFormatting xmlns:xm="http://schemas.microsoft.com/office/excel/2006/main">
          <x14:cfRule type="dataBar" id="{B0308108-8D23-3443-A391-E3B35FA3DA5D}">
            <x14:dataBar minLength="0" maxLength="100" border="1" negativeBarBorderColorSameAsPositive="0">
              <x14:cfvo type="autoMin"/>
              <x14:cfvo type="autoMax"/>
              <x14:borderColor rgb="FF638EC6"/>
              <x14:negativeFillColor rgb="FFFF0000"/>
              <x14:negativeBorderColor rgb="FFFF0000"/>
              <x14:axisColor rgb="FF000000"/>
            </x14:dataBar>
          </x14:cfRule>
          <xm:sqref>S56</xm:sqref>
        </x14:conditionalFormatting>
        <x14:conditionalFormatting xmlns:xm="http://schemas.microsoft.com/office/excel/2006/main">
          <x14:cfRule type="dataBar" id="{661DF141-1C59-8545-BD78-88CC5AE6189D}">
            <x14:dataBar minLength="0" maxLength="100" border="1" negativeBarBorderColorSameAsPositive="0">
              <x14:cfvo type="autoMin"/>
              <x14:cfvo type="autoMax"/>
              <x14:borderColor rgb="FF638EC6"/>
              <x14:negativeFillColor rgb="FFFF0000"/>
              <x14:negativeBorderColor rgb="FFFF0000"/>
              <x14:axisColor rgb="FF000000"/>
            </x14:dataBar>
          </x14:cfRule>
          <xm:sqref>T55</xm:sqref>
        </x14:conditionalFormatting>
        <x14:conditionalFormatting xmlns:xm="http://schemas.microsoft.com/office/excel/2006/main">
          <x14:cfRule type="dataBar" id="{7562B91D-022A-3844-B9E8-90143DD14804}">
            <x14:dataBar minLength="0" maxLength="100" border="1" negativeBarBorderColorSameAsPositive="0">
              <x14:cfvo type="autoMin"/>
              <x14:cfvo type="autoMax"/>
              <x14:borderColor rgb="FF638EC6"/>
              <x14:negativeFillColor rgb="FFFF0000"/>
              <x14:negativeBorderColor rgb="FFFF0000"/>
              <x14:axisColor rgb="FF000000"/>
            </x14:dataBar>
          </x14:cfRule>
          <xm:sqref>U54</xm:sqref>
        </x14:conditionalFormatting>
        <x14:conditionalFormatting xmlns:xm="http://schemas.microsoft.com/office/excel/2006/main">
          <x14:cfRule type="dataBar" id="{B562549A-BFD5-CA41-ADA0-C8829781B101}">
            <x14:dataBar minLength="0" maxLength="100" border="1" negativeBarBorderColorSameAsPositive="0">
              <x14:cfvo type="autoMin"/>
              <x14:cfvo type="autoMax"/>
              <x14:borderColor rgb="FF638EC6"/>
              <x14:negativeFillColor rgb="FFFF0000"/>
              <x14:negativeBorderColor rgb="FFFF0000"/>
              <x14:axisColor rgb="FF000000"/>
            </x14:dataBar>
          </x14:cfRule>
          <xm:sqref>V53</xm:sqref>
        </x14:conditionalFormatting>
        <x14:conditionalFormatting xmlns:xm="http://schemas.microsoft.com/office/excel/2006/main">
          <x14:cfRule type="dataBar" id="{2372E8D7-56C8-C94E-8E85-5DF005DAEA02}">
            <x14:dataBar minLength="0" maxLength="100" border="1" negativeBarBorderColorSameAsPositive="0">
              <x14:cfvo type="autoMin"/>
              <x14:cfvo type="autoMax"/>
              <x14:borderColor rgb="FF638EC6"/>
              <x14:negativeFillColor rgb="FFFF0000"/>
              <x14:negativeBorderColor rgb="FFFF0000"/>
              <x14:axisColor rgb="FF000000"/>
            </x14:dataBar>
          </x14:cfRule>
          <xm:sqref>W52</xm:sqref>
        </x14:conditionalFormatting>
        <x14:conditionalFormatting xmlns:xm="http://schemas.microsoft.com/office/excel/2006/main">
          <x14:cfRule type="dataBar" id="{B7F9610E-2445-F44B-A4CF-29DA1DD302DE}">
            <x14:dataBar minLength="0" maxLength="100" border="1" negativeBarBorderColorSameAsPositive="0">
              <x14:cfvo type="autoMin"/>
              <x14:cfvo type="autoMax"/>
              <x14:borderColor rgb="FF638EC6"/>
              <x14:negativeFillColor rgb="FFFF0000"/>
              <x14:negativeBorderColor rgb="FFFF0000"/>
              <x14:axisColor rgb="FF000000"/>
            </x14:dataBar>
          </x14:cfRule>
          <xm:sqref>O62</xm:sqref>
        </x14:conditionalFormatting>
        <x14:conditionalFormatting xmlns:xm="http://schemas.microsoft.com/office/excel/2006/main">
          <x14:cfRule type="dataBar" id="{100074FF-4A8D-5C41-A32F-22F426B954C1}">
            <x14:dataBar minLength="0" maxLength="100" border="1" negativeBarBorderColorSameAsPositive="0">
              <x14:cfvo type="autoMin"/>
              <x14:cfvo type="autoMax"/>
              <x14:borderColor rgb="FF638EC6"/>
              <x14:negativeFillColor rgb="FFFF0000"/>
              <x14:negativeBorderColor rgb="FFFF0000"/>
              <x14:axisColor rgb="FF000000"/>
            </x14:dataBar>
          </x14:cfRule>
          <xm:sqref>P63</xm:sqref>
        </x14:conditionalFormatting>
        <x14:conditionalFormatting xmlns:xm="http://schemas.microsoft.com/office/excel/2006/main">
          <x14:cfRule type="dataBar" id="{524BE740-BA9D-D144-AE23-E345A679F055}">
            <x14:dataBar minLength="0" maxLength="100" border="1" negativeBarBorderColorSameAsPositive="0">
              <x14:cfvo type="autoMin"/>
              <x14:cfvo type="autoMax"/>
              <x14:borderColor rgb="FF638EC6"/>
              <x14:negativeFillColor rgb="FFFF0000"/>
              <x14:negativeBorderColor rgb="FFFF0000"/>
              <x14:axisColor rgb="FF000000"/>
            </x14:dataBar>
          </x14:cfRule>
          <xm:sqref>Q64</xm:sqref>
        </x14:conditionalFormatting>
        <x14:conditionalFormatting xmlns:xm="http://schemas.microsoft.com/office/excel/2006/main">
          <x14:cfRule type="dataBar" id="{DD60CF4A-216B-B847-8816-C0387F053898}">
            <x14:dataBar minLength="0" maxLength="100" border="1" negativeBarBorderColorSameAsPositive="0">
              <x14:cfvo type="autoMin"/>
              <x14:cfvo type="autoMax"/>
              <x14:borderColor rgb="FF638EC6"/>
              <x14:negativeFillColor rgb="FFFF0000"/>
              <x14:negativeBorderColor rgb="FFFF0000"/>
              <x14:axisColor rgb="FF000000"/>
            </x14:dataBar>
          </x14:cfRule>
          <xm:sqref>R65</xm:sqref>
        </x14:conditionalFormatting>
        <x14:conditionalFormatting xmlns:xm="http://schemas.microsoft.com/office/excel/2006/main">
          <x14:cfRule type="dataBar" id="{B0CD00CB-8DBF-9440-A173-9BD1743C0A42}">
            <x14:dataBar minLength="0" maxLength="100" border="1" negativeBarBorderColorSameAsPositive="0">
              <x14:cfvo type="autoMin"/>
              <x14:cfvo type="autoMax"/>
              <x14:borderColor rgb="FF638EC6"/>
              <x14:negativeFillColor rgb="FFFF0000"/>
              <x14:negativeBorderColor rgb="FFFF0000"/>
              <x14:axisColor rgb="FF000000"/>
            </x14:dataBar>
          </x14:cfRule>
          <xm:sqref>S66</xm:sqref>
        </x14:conditionalFormatting>
        <x14:conditionalFormatting xmlns:xm="http://schemas.microsoft.com/office/excel/2006/main">
          <x14:cfRule type="dataBar" id="{AFBA5070-898F-8347-92B7-D9443A36DCDA}">
            <x14:dataBar minLength="0" maxLength="100" border="1" negativeBarBorderColorSameAsPositive="0">
              <x14:cfvo type="autoMin"/>
              <x14:cfvo type="autoMax"/>
              <x14:borderColor rgb="FF638EC6"/>
              <x14:negativeFillColor rgb="FFFF0000"/>
              <x14:negativeBorderColor rgb="FFFF0000"/>
              <x14:axisColor rgb="FF000000"/>
            </x14:dataBar>
          </x14:cfRule>
          <xm:sqref>T67</xm:sqref>
        </x14:conditionalFormatting>
        <x14:conditionalFormatting xmlns:xm="http://schemas.microsoft.com/office/excel/2006/main">
          <x14:cfRule type="dataBar" id="{3E83A677-8797-2245-A13E-B8E4DC4C4373}">
            <x14:dataBar minLength="0" maxLength="100" border="1" negativeBarBorderColorSameAsPositive="0">
              <x14:cfvo type="autoMin"/>
              <x14:cfvo type="autoMax"/>
              <x14:borderColor rgb="FF638EC6"/>
              <x14:negativeFillColor rgb="FFFF0000"/>
              <x14:negativeBorderColor rgb="FFFF0000"/>
              <x14:axisColor rgb="FF000000"/>
            </x14:dataBar>
          </x14:cfRule>
          <xm:sqref>U68</xm:sqref>
        </x14:conditionalFormatting>
        <x14:conditionalFormatting xmlns:xm="http://schemas.microsoft.com/office/excel/2006/main">
          <x14:cfRule type="dataBar" id="{BF539CEE-6393-CC40-85F9-0772B1F5C115}">
            <x14:dataBar minLength="0" maxLength="100" border="1" negativeBarBorderColorSameAsPositive="0">
              <x14:cfvo type="autoMin"/>
              <x14:cfvo type="autoMax"/>
              <x14:borderColor rgb="FF638EC6"/>
              <x14:negativeFillColor rgb="FFFF0000"/>
              <x14:negativeBorderColor rgb="FFFF0000"/>
              <x14:axisColor rgb="FF000000"/>
            </x14:dataBar>
          </x14:cfRule>
          <xm:sqref>V69</xm:sqref>
        </x14:conditionalFormatting>
        <x14:conditionalFormatting xmlns:xm="http://schemas.microsoft.com/office/excel/2006/main">
          <x14:cfRule type="dataBar" id="{0961D925-15E7-354B-8718-644828D18736}">
            <x14:dataBar minLength="0" maxLength="100" border="1" negativeBarBorderColorSameAsPositive="0">
              <x14:cfvo type="autoMin"/>
              <x14:cfvo type="autoMax"/>
              <x14:borderColor rgb="FF638EC6"/>
              <x14:negativeFillColor rgb="FFFF0000"/>
              <x14:negativeBorderColor rgb="FFFF0000"/>
              <x14:axisColor rgb="FF000000"/>
            </x14:dataBar>
          </x14:cfRule>
          <xm:sqref>W70</xm:sqref>
        </x14:conditionalFormatting>
        <x14:conditionalFormatting xmlns:xm="http://schemas.microsoft.com/office/excel/2006/main">
          <x14:cfRule type="dataBar" id="{60A01776-47E8-0041-A06D-DF260BB7FC74}">
            <x14:dataBar minLength="0" maxLength="100" border="1" negativeBarBorderColorSameAsPositive="0">
              <x14:cfvo type="autoMin"/>
              <x14:cfvo type="autoMax"/>
              <x14:borderColor rgb="FF638EC6"/>
              <x14:negativeFillColor rgb="FFFF0000"/>
              <x14:negativeBorderColor rgb="FFFF0000"/>
              <x14:axisColor rgb="FF000000"/>
            </x14:dataBar>
          </x14:cfRule>
          <xm:sqref>X71</xm:sqref>
        </x14:conditionalFormatting>
        <x14:conditionalFormatting xmlns:xm="http://schemas.microsoft.com/office/excel/2006/main">
          <x14:cfRule type="dataBar" id="{D1D4CAE1-D1A2-B145-84DD-10E3CBCC7AB6}">
            <x14:dataBar minLength="0" maxLength="100" border="1" negativeBarBorderColorSameAsPositive="0">
              <x14:cfvo type="autoMin"/>
              <x14:cfvo type="autoMax"/>
              <x14:borderColor rgb="FF638EC6"/>
              <x14:negativeFillColor rgb="FFFF0000"/>
              <x14:negativeBorderColor rgb="FFFF0000"/>
              <x14:axisColor rgb="FF000000"/>
            </x14:dataBar>
          </x14:cfRule>
          <xm:sqref>Y72</xm:sqref>
        </x14:conditionalFormatting>
        <x14:conditionalFormatting xmlns:xm="http://schemas.microsoft.com/office/excel/2006/main">
          <x14:cfRule type="dataBar" id="{0EB29B45-C7E3-D448-A756-52AD24DC830A}">
            <x14:dataBar minLength="0" maxLength="100" border="1" negativeBarBorderColorSameAsPositive="0">
              <x14:cfvo type="autoMin"/>
              <x14:cfvo type="autoMax"/>
              <x14:borderColor rgb="FF638EC6"/>
              <x14:negativeFillColor rgb="FFFF0000"/>
              <x14:negativeBorderColor rgb="FFFF0000"/>
              <x14:axisColor rgb="FF000000"/>
            </x14:dataBar>
          </x14:cfRule>
          <xm:sqref>Z73</xm:sqref>
        </x14:conditionalFormatting>
        <x14:conditionalFormatting xmlns:xm="http://schemas.microsoft.com/office/excel/2006/main">
          <x14:cfRule type="dataBar" id="{79296631-C683-2244-9716-AF3A42CBF556}">
            <x14:dataBar minLength="0" maxLength="100" border="1" negativeBarBorderColorSameAsPositive="0">
              <x14:cfvo type="autoMin"/>
              <x14:cfvo type="autoMax"/>
              <x14:borderColor rgb="FF638EC6"/>
              <x14:negativeFillColor rgb="FFFF0000"/>
              <x14:negativeBorderColor rgb="FFFF0000"/>
              <x14:axisColor rgb="FF000000"/>
            </x14:dataBar>
          </x14:cfRule>
          <xm:sqref>AA74</xm:sqref>
        </x14:conditionalFormatting>
        <x14:conditionalFormatting xmlns:xm="http://schemas.microsoft.com/office/excel/2006/main">
          <x14:cfRule type="dataBar" id="{0047C106-3698-F04E-A62D-86D3FA8B544A}">
            <x14:dataBar minLength="0" maxLength="100" border="1" negativeBarBorderColorSameAsPositive="0">
              <x14:cfvo type="autoMin"/>
              <x14:cfvo type="autoMax"/>
              <x14:borderColor rgb="FF638EC6"/>
              <x14:negativeFillColor rgb="FFFF0000"/>
              <x14:negativeBorderColor rgb="FFFF0000"/>
              <x14:axisColor rgb="FF000000"/>
            </x14:dataBar>
          </x14:cfRule>
          <xm:sqref>AB75</xm:sqref>
        </x14:conditionalFormatting>
        <x14:conditionalFormatting xmlns:xm="http://schemas.microsoft.com/office/excel/2006/main">
          <x14:cfRule type="dataBar" id="{9D7F787C-4E04-B64E-A429-4095B4DEDD8E}">
            <x14:dataBar minLength="0" maxLength="100" border="1" negativeBarBorderColorSameAsPositive="0">
              <x14:cfvo type="autoMin"/>
              <x14:cfvo type="autoMax"/>
              <x14:borderColor rgb="FF638EC6"/>
              <x14:negativeFillColor rgb="FFFF0000"/>
              <x14:negativeBorderColor rgb="FFFF0000"/>
              <x14:axisColor rgb="FF000000"/>
            </x14:dataBar>
          </x14:cfRule>
          <xm:sqref>AC76</xm:sqref>
        </x14:conditionalFormatting>
        <x14:conditionalFormatting xmlns:xm="http://schemas.microsoft.com/office/excel/2006/main">
          <x14:cfRule type="dataBar" id="{81DCD033-BE8A-CC4E-B3C2-55D7F74A9310}">
            <x14:dataBar minLength="0" maxLength="100" border="1" negativeBarBorderColorSameAsPositive="0">
              <x14:cfvo type="autoMin"/>
              <x14:cfvo type="autoMax"/>
              <x14:borderColor rgb="FF638EC6"/>
              <x14:negativeFillColor rgb="FFFF0000"/>
              <x14:negativeBorderColor rgb="FFFF0000"/>
              <x14:axisColor rgb="FF000000"/>
            </x14:dataBar>
          </x14:cfRule>
          <xm:sqref>AD77</xm:sqref>
        </x14:conditionalFormatting>
        <x14:conditionalFormatting xmlns:xm="http://schemas.microsoft.com/office/excel/2006/main">
          <x14:cfRule type="dataBar" id="{234C1E04-B2F7-FE4C-B07A-105C8E2C66D4}">
            <x14:dataBar minLength="0" maxLength="100" border="1" negativeBarBorderColorSameAsPositive="0">
              <x14:cfvo type="autoMin"/>
              <x14:cfvo type="autoMax"/>
              <x14:borderColor rgb="FF638EC6"/>
              <x14:negativeFillColor rgb="FFFF0000"/>
              <x14:negativeBorderColor rgb="FFFF0000"/>
              <x14:axisColor rgb="FF000000"/>
            </x14:dataBar>
          </x14:cfRule>
          <xm:sqref>P61 AD75 AC74 AB73 AA72 Z71 Y70 X69 W68 V67 U66 T65 S64 R63 Q62</xm:sqref>
        </x14:conditionalFormatting>
        <x14:conditionalFormatting xmlns:xm="http://schemas.microsoft.com/office/excel/2006/main">
          <x14:cfRule type="dataBar" id="{8DEA8A98-CC38-8F44-841C-531C10EA01FF}">
            <x14:dataBar minLength="0" maxLength="100" border="1" negativeBarBorderColorSameAsPositive="0">
              <x14:cfvo type="autoMin"/>
              <x14:cfvo type="autoMax"/>
              <x14:borderColor rgb="FF638EC6"/>
              <x14:negativeFillColor rgb="FFFF0000"/>
              <x14:negativeBorderColor rgb="FFFF0000"/>
              <x14:axisColor rgb="FF000000"/>
            </x14:dataBar>
          </x14:cfRule>
          <xm:sqref>Q60 AD73 AC72 AB71 AA70 Z69 Y68 X67 W66 V65 U64 T63 S62 R61</xm:sqref>
        </x14:conditionalFormatting>
        <x14:conditionalFormatting xmlns:xm="http://schemas.microsoft.com/office/excel/2006/main">
          <x14:cfRule type="dataBar" id="{40CC3D56-AF78-F845-80CA-7D189477A7DC}">
            <x14:dataBar minLength="0" maxLength="100" border="1" negativeBarBorderColorSameAsPositive="0">
              <x14:cfvo type="autoMin"/>
              <x14:cfvo type="autoMax"/>
              <x14:borderColor rgb="FF638EC6"/>
              <x14:negativeFillColor rgb="FFFF0000"/>
              <x14:negativeBorderColor rgb="FFFF0000"/>
              <x14:axisColor rgb="FF000000"/>
            </x14:dataBar>
          </x14:cfRule>
          <xm:sqref>R59 AD71 AC70 AB69 AA68 Z67 Y66 X65 W64 V63 U62 T61 S60</xm:sqref>
        </x14:conditionalFormatting>
        <x14:conditionalFormatting xmlns:xm="http://schemas.microsoft.com/office/excel/2006/main">
          <x14:cfRule type="dataBar" id="{154479FE-5418-E540-B370-6ED9638E5DC4}">
            <x14:dataBar minLength="0" maxLength="100" border="1" negativeBarBorderColorSameAsPositive="0">
              <x14:cfvo type="autoMin"/>
              <x14:cfvo type="autoMax"/>
              <x14:borderColor rgb="FF638EC6"/>
              <x14:negativeFillColor rgb="FFFF0000"/>
              <x14:negativeBorderColor rgb="FFFF0000"/>
              <x14:axisColor rgb="FF000000"/>
            </x14:dataBar>
          </x14:cfRule>
          <xm:sqref>S58 AD69 AC68 AB67 AA66 Z65 Y64 X63 W62 V61 U60 T59</xm:sqref>
        </x14:conditionalFormatting>
        <x14:conditionalFormatting xmlns:xm="http://schemas.microsoft.com/office/excel/2006/main">
          <x14:cfRule type="dataBar" id="{DDC0D674-1ED8-CD47-932A-1BD947577CBC}">
            <x14:dataBar minLength="0" maxLength="100" border="1" negativeBarBorderColorSameAsPositive="0">
              <x14:cfvo type="autoMin"/>
              <x14:cfvo type="autoMax"/>
              <x14:borderColor rgb="FF638EC6"/>
              <x14:negativeFillColor rgb="FFFF0000"/>
              <x14:negativeBorderColor rgb="FFFF0000"/>
              <x14:axisColor rgb="FF000000"/>
            </x14:dataBar>
          </x14:cfRule>
          <xm:sqref>T57 AD67 AC66 AB65 AA64 Z63 Y62 X61 W60 V59 U58</xm:sqref>
        </x14:conditionalFormatting>
        <x14:conditionalFormatting xmlns:xm="http://schemas.microsoft.com/office/excel/2006/main">
          <x14:cfRule type="dataBar" id="{CCE4ADB7-D152-4B4D-BD26-B8F3FEFAADF6}">
            <x14:dataBar minLength="0" maxLength="100" border="1" negativeBarBorderColorSameAsPositive="0">
              <x14:cfvo type="autoMin"/>
              <x14:cfvo type="autoMax"/>
              <x14:borderColor rgb="FF638EC6"/>
              <x14:negativeFillColor rgb="FFFF0000"/>
              <x14:negativeBorderColor rgb="FFFF0000"/>
              <x14:axisColor rgb="FF000000"/>
            </x14:dataBar>
          </x14:cfRule>
          <xm:sqref>U56 AD65 AC64 AB63 AA62 Z61 Y60 X59 W58 V57</xm:sqref>
        </x14:conditionalFormatting>
        <x14:conditionalFormatting xmlns:xm="http://schemas.microsoft.com/office/excel/2006/main">
          <x14:cfRule type="dataBar" id="{C5D68C98-8928-FA43-B2C8-4428B8792131}">
            <x14:dataBar minLength="0" maxLength="100" border="1" negativeBarBorderColorSameAsPositive="0">
              <x14:cfvo type="autoMin"/>
              <x14:cfvo type="autoMax"/>
              <x14:borderColor rgb="FF638EC6"/>
              <x14:negativeFillColor rgb="FFFF0000"/>
              <x14:negativeBorderColor rgb="FFFF0000"/>
              <x14:axisColor rgb="FF000000"/>
            </x14:dataBar>
          </x14:cfRule>
          <xm:sqref>V55 AD63 AC62 AB61 AA60 Z59 Y58 X57 W56</xm:sqref>
        </x14:conditionalFormatting>
        <x14:conditionalFormatting xmlns:xm="http://schemas.microsoft.com/office/excel/2006/main">
          <x14:cfRule type="dataBar" id="{B38304FD-5353-3F40-842B-A84D828021EE}">
            <x14:dataBar minLength="0" maxLength="100" border="1" negativeBarBorderColorSameAsPositive="0">
              <x14:cfvo type="autoMin"/>
              <x14:cfvo type="autoMax"/>
              <x14:borderColor rgb="FF638EC6"/>
              <x14:negativeFillColor rgb="FFFF0000"/>
              <x14:negativeBorderColor rgb="FFFF0000"/>
              <x14:axisColor rgb="FF000000"/>
            </x14:dataBar>
          </x14:cfRule>
          <xm:sqref>W54 AD61 AC60 AB59 AA58 Z57 Y56 X55</xm:sqref>
        </x14:conditionalFormatting>
        <x14:conditionalFormatting xmlns:xm="http://schemas.microsoft.com/office/excel/2006/main">
          <x14:cfRule type="dataBar" id="{E4D10348-6CDE-DF4E-A469-C20C27408559}">
            <x14:dataBar minLength="0" maxLength="100" border="1" negativeBarBorderColorSameAsPositive="0">
              <x14:cfvo type="autoMin"/>
              <x14:cfvo type="autoMax"/>
              <x14:borderColor rgb="FF638EC6"/>
              <x14:negativeFillColor rgb="FFFF0000"/>
              <x14:negativeBorderColor rgb="FFFF0000"/>
              <x14:axisColor rgb="FF000000"/>
            </x14:dataBar>
          </x14:cfRule>
          <xm:sqref>AD59 X53 AC58 AB57 AA56 Z55 Y54</xm:sqref>
        </x14:conditionalFormatting>
        <x14:conditionalFormatting xmlns:xm="http://schemas.microsoft.com/office/excel/2006/main">
          <x14:cfRule type="dataBar" id="{0716CE13-BED6-6E41-A8AC-AC86E03B8A3C}">
            <x14:dataBar minLength="0" maxLength="100" border="1" negativeBarBorderColorSameAsPositive="0">
              <x14:cfvo type="autoMin"/>
              <x14:cfvo type="autoMax"/>
              <x14:borderColor rgb="FF638EC6"/>
              <x14:negativeFillColor rgb="FFFF0000"/>
              <x14:negativeBorderColor rgb="FFFF0000"/>
              <x14:axisColor rgb="FF000000"/>
            </x14:dataBar>
          </x14:cfRule>
          <xm:sqref>AD57 X51 AC56 AB55 AA54 Z53 Y52</xm:sqref>
        </x14:conditionalFormatting>
        <x14:conditionalFormatting xmlns:xm="http://schemas.microsoft.com/office/excel/2006/main">
          <x14:cfRule type="dataBar" id="{E9AC73B2-0EB4-FB46-9825-8705D693FDAD}">
            <x14:dataBar minLength="0" maxLength="100" border="1" negativeBarBorderColorSameAsPositive="0">
              <x14:cfvo type="autoMin"/>
              <x14:cfvo type="autoMax"/>
              <x14:borderColor rgb="FF638EC6"/>
              <x14:negativeFillColor rgb="FFFF0000"/>
              <x14:negativeBorderColor rgb="FFFF0000"/>
              <x14:axisColor rgb="FF000000"/>
            </x14:dataBar>
          </x14:cfRule>
          <xm:sqref>AD55 Y50 AC54 AB53 AA52 Z51</xm:sqref>
        </x14:conditionalFormatting>
        <x14:conditionalFormatting xmlns:xm="http://schemas.microsoft.com/office/excel/2006/main">
          <x14:cfRule type="dataBar" id="{B6AF506F-F048-1C43-B11D-8CB7B2FBD54E}">
            <x14:dataBar minLength="0" maxLength="100" border="1" negativeBarBorderColorSameAsPositive="0">
              <x14:cfvo type="autoMin"/>
              <x14:cfvo type="autoMax"/>
              <x14:borderColor rgb="FF638EC6"/>
              <x14:negativeFillColor rgb="FFFF0000"/>
              <x14:negativeBorderColor rgb="FFFF0000"/>
              <x14:axisColor rgb="FF000000"/>
            </x14:dataBar>
          </x14:cfRule>
          <xm:sqref>AD53 Z49 AC52 AB51 AA50</xm:sqref>
        </x14:conditionalFormatting>
        <x14:conditionalFormatting xmlns:xm="http://schemas.microsoft.com/office/excel/2006/main">
          <x14:cfRule type="dataBar" id="{F97ABD7B-9C15-1E46-813C-E13DBB1134DC}">
            <x14:dataBar minLength="0" maxLength="100" border="1" negativeBarBorderColorSameAsPositive="0">
              <x14:cfvo type="autoMin"/>
              <x14:cfvo type="autoMax"/>
              <x14:borderColor rgb="FF638EC6"/>
              <x14:negativeFillColor rgb="FFFF0000"/>
              <x14:negativeBorderColor rgb="FFFF0000"/>
              <x14:axisColor rgb="FF000000"/>
            </x14:dataBar>
          </x14:cfRule>
          <xm:sqref>AA48 AD51 AC50 AB49</xm:sqref>
        </x14:conditionalFormatting>
        <x14:conditionalFormatting xmlns:xm="http://schemas.microsoft.com/office/excel/2006/main">
          <x14:cfRule type="dataBar" id="{3F41B289-F9FB-3849-8E66-726E2D1071E9}">
            <x14:dataBar minLength="0" maxLength="100" border="1" negativeBarBorderColorSameAsPositive="0">
              <x14:cfvo type="autoMin"/>
              <x14:cfvo type="autoMax"/>
              <x14:borderColor rgb="FF638EC6"/>
              <x14:negativeFillColor rgb="FFFF0000"/>
              <x14:negativeBorderColor rgb="FFFF0000"/>
              <x14:axisColor rgb="FF000000"/>
            </x14:dataBar>
          </x14:cfRule>
          <xm:sqref>AB47 AD49 AC48</xm:sqref>
        </x14:conditionalFormatting>
        <x14:conditionalFormatting xmlns:xm="http://schemas.microsoft.com/office/excel/2006/main">
          <x14:cfRule type="dataBar" id="{2EA519BF-E3BB-274B-81E2-F562618F7F72}">
            <x14:dataBar minLength="0" maxLength="100" border="1" negativeBarBorderColorSameAsPositive="0">
              <x14:cfvo type="autoMin"/>
              <x14:cfvo type="autoMax"/>
              <x14:borderColor rgb="FF638EC6"/>
              <x14:negativeFillColor rgb="FFFF0000"/>
              <x14:negativeBorderColor rgb="FFFF0000"/>
              <x14:axisColor rgb="FF000000"/>
            </x14:dataBar>
          </x14:cfRule>
          <xm:sqref>AC46 AD47</xm:sqref>
        </x14:conditionalFormatting>
        <x14:conditionalFormatting xmlns:xm="http://schemas.microsoft.com/office/excel/2006/main">
          <x14:cfRule type="dataBar" id="{26B29BAE-A028-024C-9BA7-5E8F155ABDA5}">
            <x14:dataBar minLength="0" maxLength="100" border="1" negativeBarBorderColorSameAsPositive="0">
              <x14:cfvo type="autoMin"/>
              <x14:cfvo type="autoMax"/>
              <x14:borderColor rgb="FF638EC6"/>
              <x14:negativeFillColor rgb="FFFF0000"/>
              <x14:negativeBorderColor rgb="FFFF0000"/>
              <x14:axisColor rgb="FF000000"/>
            </x14:dataBar>
          </x14:cfRule>
          <xm:sqref>AD45</xm:sqref>
        </x14:conditionalFormatting>
        <x14:conditionalFormatting xmlns:xm="http://schemas.microsoft.com/office/excel/2006/main">
          <x14:cfRule type="dataBar" id="{4D741B01-D26A-E540-89C5-0FD921B27A47}">
            <x14:dataBar minLength="0" maxLength="100" border="1" negativeBarBorderColorSameAsPositive="0">
              <x14:cfvo type="autoMin"/>
              <x14:cfvo type="autoMax"/>
              <x14:borderColor rgb="FF638EC6"/>
              <x14:negativeFillColor rgb="FFFF0000"/>
              <x14:negativeBorderColor rgb="FFFF0000"/>
              <x14:axisColor rgb="FF000000"/>
            </x14:dataBar>
          </x14:cfRule>
          <xm:sqref>M60</xm:sqref>
        </x14:conditionalFormatting>
        <x14:conditionalFormatting xmlns:xm="http://schemas.microsoft.com/office/excel/2006/main">
          <x14:cfRule type="dataBar" id="{B779AA3B-CEF6-FD45-823E-061A5057060C}">
            <x14:dataBar minLength="0" maxLength="100" border="1" negativeBarBorderColorSameAsPositive="0">
              <x14:cfvo type="autoMin"/>
              <x14:cfvo type="autoMax"/>
              <x14:borderColor rgb="FF638EC6"/>
              <x14:negativeFillColor rgb="FFFF0000"/>
              <x14:negativeBorderColor rgb="FFFF0000"/>
              <x14:axisColor rgb="FF000000"/>
            </x14:dataBar>
          </x14:cfRule>
          <xm:sqref>N37</xm:sqref>
        </x14:conditionalFormatting>
        <x14:conditionalFormatting xmlns:xm="http://schemas.microsoft.com/office/excel/2006/main">
          <x14:cfRule type="dataBar" id="{C55A6A6A-B0B3-E74D-8C6F-25F735E6028F}">
            <x14:dataBar minLength="0" maxLength="100" border="1" negativeBarBorderColorSameAsPositive="0">
              <x14:cfvo type="autoMin"/>
              <x14:cfvo type="autoMax"/>
              <x14:borderColor rgb="FF638EC6"/>
              <x14:negativeFillColor rgb="FFFF0000"/>
              <x14:negativeBorderColor rgb="FFFF0000"/>
              <x14:axisColor rgb="FF000000"/>
            </x14:dataBar>
          </x14:cfRule>
          <xm:sqref>N59</xm:sqref>
        </x14:conditionalFormatting>
        <x14:conditionalFormatting xmlns:xm="http://schemas.microsoft.com/office/excel/2006/main">
          <x14:cfRule type="dataBar" id="{9715EB07-993F-8E4E-B6D9-033921229151}">
            <x14:dataBar minLength="0" maxLength="100" border="1" negativeBarBorderColorSameAsPositive="0">
              <x14:cfvo type="autoMin"/>
              <x14:cfvo type="autoMax"/>
              <x14:borderColor rgb="FF638EC6"/>
              <x14:negativeFillColor rgb="FFFF0000"/>
              <x14:negativeBorderColor rgb="FFFF0000"/>
              <x14:axisColor rgb="FF000000"/>
            </x14:dataBar>
          </x14:cfRule>
          <xm:sqref>N61</xm:sqref>
        </x14:conditionalFormatting>
        <x14:conditionalFormatting xmlns:xm="http://schemas.microsoft.com/office/excel/2006/main">
          <x14:cfRule type="dataBar" id="{72A8DE28-E096-A64F-A658-706BFB300496}">
            <x14:dataBar minLength="0" maxLength="100" border="1" negativeBarBorderColorSameAsPositive="0">
              <x14:cfvo type="autoMin"/>
              <x14:cfvo type="autoMax"/>
              <x14:borderColor rgb="FF638EC6"/>
              <x14:negativeFillColor rgb="FFFF0000"/>
              <x14:negativeBorderColor rgb="FFFF0000"/>
              <x14:axisColor rgb="FF000000"/>
            </x14:dataBar>
          </x14:cfRule>
          <xm:sqref>AD102</xm:sqref>
        </x14:conditionalFormatting>
        <x14:conditionalFormatting xmlns:xm="http://schemas.microsoft.com/office/excel/2006/main">
          <x14:cfRule type="dataBar" id="{58BB95EF-5E85-A049-8886-52131EF165E2}">
            <x14:dataBar minLength="0" maxLength="100" border="1" negativeBarBorderColorSameAsPositive="0">
              <x14:cfvo type="autoMin"/>
              <x14:cfvo type="autoMax"/>
              <x14:borderColor rgb="FF638EC6"/>
              <x14:negativeFillColor rgb="FFFF0000"/>
              <x14:negativeBorderColor rgb="FFFF0000"/>
              <x14:axisColor rgb="FF000000"/>
            </x14:dataBar>
          </x14:cfRule>
          <xm:sqref>A202</xm:sqref>
        </x14:conditionalFormatting>
        <x14:conditionalFormatting xmlns:xm="http://schemas.microsoft.com/office/excel/2006/main">
          <x14:cfRule type="dataBar" id="{52DD98B5-0DA7-1C43-BF72-235FE6F0947F}">
            <x14:dataBar minLength="0" maxLength="100" border="1" negativeBarBorderColorSameAsPositive="0">
              <x14:cfvo type="autoMin"/>
              <x14:cfvo type="autoMax"/>
              <x14:borderColor rgb="FF638EC6"/>
              <x14:negativeFillColor rgb="FFFF0000"/>
              <x14:negativeBorderColor rgb="FFFF0000"/>
              <x14:axisColor rgb="FF000000"/>
            </x14:dataBar>
          </x14:cfRule>
          <xm:sqref>B201</xm:sqref>
        </x14:conditionalFormatting>
        <x14:conditionalFormatting xmlns:xm="http://schemas.microsoft.com/office/excel/2006/main">
          <x14:cfRule type="dataBar" id="{7C70FE73-B78C-7749-967E-4B7F3DFEB175}">
            <x14:dataBar minLength="0" maxLength="100" border="1" negativeBarBorderColorSameAsPositive="0">
              <x14:cfvo type="autoMin"/>
              <x14:cfvo type="autoMax"/>
              <x14:borderColor rgb="FF638EC6"/>
              <x14:negativeFillColor rgb="FFFF0000"/>
              <x14:negativeBorderColor rgb="FFFF0000"/>
              <x14:axisColor rgb="FF000000"/>
            </x14:dataBar>
          </x14:cfRule>
          <xm:sqref>C200</xm:sqref>
        </x14:conditionalFormatting>
        <x14:conditionalFormatting xmlns:xm="http://schemas.microsoft.com/office/excel/2006/main">
          <x14:cfRule type="dataBar" id="{67448164-905F-2245-841A-3F48B8F7F42D}">
            <x14:dataBar minLength="0" maxLength="100" border="1" negativeBarBorderColorSameAsPositive="0">
              <x14:cfvo type="autoMin"/>
              <x14:cfvo type="autoMax"/>
              <x14:borderColor rgb="FF638EC6"/>
              <x14:negativeFillColor rgb="FFFF0000"/>
              <x14:negativeBorderColor rgb="FFFF0000"/>
              <x14:axisColor rgb="FF000000"/>
            </x14:dataBar>
          </x14:cfRule>
          <xm:sqref>D199</xm:sqref>
        </x14:conditionalFormatting>
        <x14:conditionalFormatting xmlns:xm="http://schemas.microsoft.com/office/excel/2006/main">
          <x14:cfRule type="dataBar" id="{40BC7C3D-7D12-1047-B449-113D2F30433A}">
            <x14:dataBar minLength="0" maxLength="100" border="1" negativeBarBorderColorSameAsPositive="0">
              <x14:cfvo type="autoMin"/>
              <x14:cfvo type="autoMax"/>
              <x14:borderColor rgb="FF638EC6"/>
              <x14:negativeFillColor rgb="FFFF0000"/>
              <x14:negativeBorderColor rgb="FFFF0000"/>
              <x14:axisColor rgb="FF000000"/>
            </x14:dataBar>
          </x14:cfRule>
          <xm:sqref>E198</xm:sqref>
        </x14:conditionalFormatting>
        <x14:conditionalFormatting xmlns:xm="http://schemas.microsoft.com/office/excel/2006/main">
          <x14:cfRule type="dataBar" id="{8FF36A15-AAFE-AE48-A309-6090154067EE}">
            <x14:dataBar minLength="0" maxLength="100" border="1" negativeBarBorderColorSameAsPositive="0">
              <x14:cfvo type="autoMin"/>
              <x14:cfvo type="autoMax"/>
              <x14:borderColor rgb="FF638EC6"/>
              <x14:negativeFillColor rgb="FFFF0000"/>
              <x14:negativeBorderColor rgb="FFFF0000"/>
              <x14:axisColor rgb="FF000000"/>
            </x14:dataBar>
          </x14:cfRule>
          <xm:sqref>F197</xm:sqref>
        </x14:conditionalFormatting>
        <x14:conditionalFormatting xmlns:xm="http://schemas.microsoft.com/office/excel/2006/main">
          <x14:cfRule type="dataBar" id="{6E3F8FDD-8324-834B-924B-B2DDD2D3260E}">
            <x14:dataBar minLength="0" maxLength="100" border="1" negativeBarBorderColorSameAsPositive="0">
              <x14:cfvo type="autoMin"/>
              <x14:cfvo type="autoMax"/>
              <x14:borderColor rgb="FF638EC6"/>
              <x14:negativeFillColor rgb="FFFF0000"/>
              <x14:negativeBorderColor rgb="FFFF0000"/>
              <x14:axisColor rgb="FF000000"/>
            </x14:dataBar>
          </x14:cfRule>
          <xm:sqref>G196</xm:sqref>
        </x14:conditionalFormatting>
        <x14:conditionalFormatting xmlns:xm="http://schemas.microsoft.com/office/excel/2006/main">
          <x14:cfRule type="dataBar" id="{7B059136-7879-6747-8187-17B1537F3A08}">
            <x14:dataBar minLength="0" maxLength="100" border="1" negativeBarBorderColorSameAsPositive="0">
              <x14:cfvo type="autoMin"/>
              <x14:cfvo type="autoMax"/>
              <x14:borderColor rgb="FF638EC6"/>
              <x14:negativeFillColor rgb="FFFF0000"/>
              <x14:negativeBorderColor rgb="FFFF0000"/>
              <x14:axisColor rgb="FF000000"/>
            </x14:dataBar>
          </x14:cfRule>
          <xm:sqref>H195</xm:sqref>
        </x14:conditionalFormatting>
        <x14:conditionalFormatting xmlns:xm="http://schemas.microsoft.com/office/excel/2006/main">
          <x14:cfRule type="dataBar" id="{D5D652BF-DA03-074C-A3E9-5787F7ECE223}">
            <x14:dataBar minLength="0" maxLength="100" border="1" negativeBarBorderColorSameAsPositive="0">
              <x14:cfvo type="autoMin"/>
              <x14:cfvo type="autoMax"/>
              <x14:borderColor rgb="FF638EC6"/>
              <x14:negativeFillColor rgb="FFFF0000"/>
              <x14:negativeBorderColor rgb="FFFF0000"/>
              <x14:axisColor rgb="FF000000"/>
            </x14:dataBar>
          </x14:cfRule>
          <xm:sqref>I194</xm:sqref>
        </x14:conditionalFormatting>
        <x14:conditionalFormatting xmlns:xm="http://schemas.microsoft.com/office/excel/2006/main">
          <x14:cfRule type="dataBar" id="{C172642F-E204-7E4C-AA04-C7618C4FC107}">
            <x14:dataBar minLength="0" maxLength="100" border="1" negativeBarBorderColorSameAsPositive="0">
              <x14:cfvo type="autoMin"/>
              <x14:cfvo type="autoMax"/>
              <x14:borderColor rgb="FF638EC6"/>
              <x14:negativeFillColor rgb="FFFF0000"/>
              <x14:negativeBorderColor rgb="FFFF0000"/>
              <x14:axisColor rgb="FF000000"/>
            </x14:dataBar>
          </x14:cfRule>
          <xm:sqref>J193</xm:sqref>
        </x14:conditionalFormatting>
        <x14:conditionalFormatting xmlns:xm="http://schemas.microsoft.com/office/excel/2006/main">
          <x14:cfRule type="dataBar" id="{3EA109E5-BE96-4640-8384-E0CA411C005E}">
            <x14:dataBar minLength="0" maxLength="100" border="1" negativeBarBorderColorSameAsPositive="0">
              <x14:cfvo type="autoMin"/>
              <x14:cfvo type="autoMax"/>
              <x14:borderColor rgb="FF638EC6"/>
              <x14:negativeFillColor rgb="FFFF0000"/>
              <x14:negativeBorderColor rgb="FFFF0000"/>
              <x14:axisColor rgb="FF000000"/>
            </x14:dataBar>
          </x14:cfRule>
          <xm:sqref>K192</xm:sqref>
        </x14:conditionalFormatting>
        <x14:conditionalFormatting xmlns:xm="http://schemas.microsoft.com/office/excel/2006/main">
          <x14:cfRule type="dataBar" id="{A65F1F96-544A-664A-983C-CEA4C5B5C89C}">
            <x14:dataBar minLength="0" maxLength="100" border="1" negativeBarBorderColorSameAsPositive="0">
              <x14:cfvo type="autoMin"/>
              <x14:cfvo type="autoMax"/>
              <x14:borderColor rgb="FF638EC6"/>
              <x14:negativeFillColor rgb="FFFF0000"/>
              <x14:negativeBorderColor rgb="FFFF0000"/>
              <x14:axisColor rgb="FF000000"/>
            </x14:dataBar>
          </x14:cfRule>
          <xm:sqref>L191</xm:sqref>
        </x14:conditionalFormatting>
        <x14:conditionalFormatting xmlns:xm="http://schemas.microsoft.com/office/excel/2006/main">
          <x14:cfRule type="dataBar" id="{7B2838F5-733D-A646-876A-2A98D3AA6B61}">
            <x14:dataBar minLength="0" maxLength="100" border="1" negativeBarBorderColorSameAsPositive="0">
              <x14:cfvo type="autoMin"/>
              <x14:cfvo type="autoMax"/>
              <x14:borderColor rgb="FF638EC6"/>
              <x14:negativeFillColor rgb="FFFF0000"/>
              <x14:negativeBorderColor rgb="FFFF0000"/>
              <x14:axisColor rgb="FF000000"/>
            </x14:dataBar>
          </x14:cfRule>
          <xm:sqref>M190</xm:sqref>
        </x14:conditionalFormatting>
        <x14:conditionalFormatting xmlns:xm="http://schemas.microsoft.com/office/excel/2006/main">
          <x14:cfRule type="dataBar" id="{24CA25D3-DDF7-6845-B4F6-5F26FDB8FDB0}">
            <x14:dataBar minLength="0" maxLength="100" border="1" negativeBarBorderColorSameAsPositive="0">
              <x14:cfvo type="autoMin"/>
              <x14:cfvo type="autoMax"/>
              <x14:borderColor rgb="FF638EC6"/>
              <x14:negativeFillColor rgb="FFFF0000"/>
              <x14:negativeBorderColor rgb="FFFF0000"/>
              <x14:axisColor rgb="FF000000"/>
            </x14:dataBar>
          </x14:cfRule>
          <xm:sqref>N189</xm:sqref>
        </x14:conditionalFormatting>
        <x14:conditionalFormatting xmlns:xm="http://schemas.microsoft.com/office/excel/2006/main">
          <x14:cfRule type="dataBar" id="{A1844190-F40E-0F4F-A11D-700984E0B30B}">
            <x14:dataBar minLength="0" maxLength="100" border="1" negativeBarBorderColorSameAsPositive="0">
              <x14:cfvo type="autoMin"/>
              <x14:cfvo type="autoMax"/>
              <x14:borderColor rgb="FF638EC6"/>
              <x14:negativeFillColor rgb="FFFF0000"/>
              <x14:negativeBorderColor rgb="FFFF0000"/>
              <x14:axisColor rgb="FF000000"/>
            </x14:dataBar>
          </x14:cfRule>
          <xm:sqref>O188</xm:sqref>
        </x14:conditionalFormatting>
        <x14:conditionalFormatting xmlns:xm="http://schemas.microsoft.com/office/excel/2006/main">
          <x14:cfRule type="dataBar" id="{FCFC597C-0F97-CF42-BB0F-9D648FA433A9}">
            <x14:dataBar minLength="0" maxLength="100" border="1" negativeBarBorderColorSameAsPositive="0">
              <x14:cfvo type="autoMin"/>
              <x14:cfvo type="autoMax"/>
              <x14:borderColor rgb="FF638EC6"/>
              <x14:negativeFillColor rgb="FFFF0000"/>
              <x14:negativeBorderColor rgb="FFFF0000"/>
              <x14:axisColor rgb="FF000000"/>
            </x14:dataBar>
          </x14:cfRule>
          <xm:sqref>P187</xm:sqref>
        </x14:conditionalFormatting>
        <x14:conditionalFormatting xmlns:xm="http://schemas.microsoft.com/office/excel/2006/main">
          <x14:cfRule type="dataBar" id="{9D1955C8-C5AC-7848-97C4-7FADA148FAD5}">
            <x14:dataBar minLength="0" maxLength="100" border="1" negativeBarBorderColorSameAsPositive="0">
              <x14:cfvo type="autoMin"/>
              <x14:cfvo type="autoMax"/>
              <x14:borderColor rgb="FF638EC6"/>
              <x14:negativeFillColor rgb="FFFF0000"/>
              <x14:negativeBorderColor rgb="FFFF0000"/>
              <x14:axisColor rgb="FF000000"/>
            </x14:dataBar>
          </x14:cfRule>
          <xm:sqref>R185</xm:sqref>
        </x14:conditionalFormatting>
        <x14:conditionalFormatting xmlns:xm="http://schemas.microsoft.com/office/excel/2006/main">
          <x14:cfRule type="dataBar" id="{CF521C0D-0271-5745-BDE9-F9117BFC2471}">
            <x14:dataBar minLength="0" maxLength="100" border="1" negativeBarBorderColorSameAsPositive="0">
              <x14:cfvo type="autoMin"/>
              <x14:cfvo type="autoMax"/>
              <x14:borderColor rgb="FF638EC6"/>
              <x14:negativeFillColor rgb="FFFF0000"/>
              <x14:negativeBorderColor rgb="FFFF0000"/>
              <x14:axisColor rgb="FF000000"/>
            </x14:dataBar>
          </x14:cfRule>
          <xm:sqref>S184</xm:sqref>
        </x14:conditionalFormatting>
        <x14:conditionalFormatting xmlns:xm="http://schemas.microsoft.com/office/excel/2006/main">
          <x14:cfRule type="dataBar" id="{8DDBD7F7-780B-AF4D-8D48-FE6C86BB18F5}">
            <x14:dataBar minLength="0" maxLength="100" border="1" negativeBarBorderColorSameAsPositive="0">
              <x14:cfvo type="autoMin"/>
              <x14:cfvo type="autoMax"/>
              <x14:borderColor rgb="FF638EC6"/>
              <x14:negativeFillColor rgb="FFFF0000"/>
              <x14:negativeBorderColor rgb="FFFF0000"/>
              <x14:axisColor rgb="FF000000"/>
            </x14:dataBar>
          </x14:cfRule>
          <xm:sqref>T183</xm:sqref>
        </x14:conditionalFormatting>
        <x14:conditionalFormatting xmlns:xm="http://schemas.microsoft.com/office/excel/2006/main">
          <x14:cfRule type="dataBar" id="{703F0BCF-EA72-4246-8E59-C6DE4BA8B4FE}">
            <x14:dataBar minLength="0" maxLength="100" border="1" negativeBarBorderColorSameAsPositive="0">
              <x14:cfvo type="autoMin"/>
              <x14:cfvo type="autoMax"/>
              <x14:borderColor rgb="FF638EC6"/>
              <x14:negativeFillColor rgb="FFFF0000"/>
              <x14:negativeBorderColor rgb="FFFF0000"/>
              <x14:axisColor rgb="FF000000"/>
            </x14:dataBar>
          </x14:cfRule>
          <xm:sqref>U182</xm:sqref>
        </x14:conditionalFormatting>
        <x14:conditionalFormatting xmlns:xm="http://schemas.microsoft.com/office/excel/2006/main">
          <x14:cfRule type="dataBar" id="{4A3F947A-50E1-1047-A6B2-82BEB31DA403}">
            <x14:dataBar minLength="0" maxLength="100" border="1" negativeBarBorderColorSameAsPositive="0">
              <x14:cfvo type="autoMin"/>
              <x14:cfvo type="autoMax"/>
              <x14:borderColor rgb="FF638EC6"/>
              <x14:negativeFillColor rgb="FFFF0000"/>
              <x14:negativeBorderColor rgb="FFFF0000"/>
              <x14:axisColor rgb="FF000000"/>
            </x14:dataBar>
          </x14:cfRule>
          <xm:sqref>V181</xm:sqref>
        </x14:conditionalFormatting>
        <x14:conditionalFormatting xmlns:xm="http://schemas.microsoft.com/office/excel/2006/main">
          <x14:cfRule type="dataBar" id="{AAA117FD-0F0F-5341-BFAC-B3D955EF3476}">
            <x14:dataBar minLength="0" maxLength="100" border="1" negativeBarBorderColorSameAsPositive="0">
              <x14:cfvo type="autoMin"/>
              <x14:cfvo type="autoMax"/>
              <x14:borderColor rgb="FF638EC6"/>
              <x14:negativeFillColor rgb="FFFF0000"/>
              <x14:negativeBorderColor rgb="FFFF0000"/>
              <x14:axisColor rgb="FF000000"/>
            </x14:dataBar>
          </x14:cfRule>
          <xm:sqref>W180</xm:sqref>
        </x14:conditionalFormatting>
        <x14:conditionalFormatting xmlns:xm="http://schemas.microsoft.com/office/excel/2006/main">
          <x14:cfRule type="dataBar" id="{6786707B-AD26-564C-8C40-DB7EA515D41D}">
            <x14:dataBar minLength="0" maxLength="100" border="1" negativeBarBorderColorSameAsPositive="0">
              <x14:cfvo type="autoMin"/>
              <x14:cfvo type="autoMax"/>
              <x14:borderColor rgb="FF638EC6"/>
              <x14:negativeFillColor rgb="FFFF0000"/>
              <x14:negativeBorderColor rgb="FFFF0000"/>
              <x14:axisColor rgb="FF000000"/>
            </x14:dataBar>
          </x14:cfRule>
          <xm:sqref>X179</xm:sqref>
        </x14:conditionalFormatting>
        <x14:conditionalFormatting xmlns:xm="http://schemas.microsoft.com/office/excel/2006/main">
          <x14:cfRule type="dataBar" id="{C2BA1259-A634-E54B-B9DE-2BAB73D098A1}">
            <x14:dataBar minLength="0" maxLength="100" border="1" negativeBarBorderColorSameAsPositive="0">
              <x14:cfvo type="autoMin"/>
              <x14:cfvo type="autoMax"/>
              <x14:borderColor rgb="FF638EC6"/>
              <x14:negativeFillColor rgb="FFFF0000"/>
              <x14:negativeBorderColor rgb="FFFF0000"/>
              <x14:axisColor rgb="FF000000"/>
            </x14:dataBar>
          </x14:cfRule>
          <xm:sqref>Y178</xm:sqref>
        </x14:conditionalFormatting>
        <x14:conditionalFormatting xmlns:xm="http://schemas.microsoft.com/office/excel/2006/main">
          <x14:cfRule type="dataBar" id="{B7AFF7CD-8A0A-C045-8CD0-B5588FE97F20}">
            <x14:dataBar minLength="0" maxLength="100" border="1" negativeBarBorderColorSameAsPositive="0">
              <x14:cfvo type="autoMin"/>
              <x14:cfvo type="autoMax"/>
              <x14:borderColor rgb="FF638EC6"/>
              <x14:negativeFillColor rgb="FFFF0000"/>
              <x14:negativeBorderColor rgb="FFFF0000"/>
              <x14:axisColor rgb="FF000000"/>
            </x14:dataBar>
          </x14:cfRule>
          <xm:sqref>Z177</xm:sqref>
        </x14:conditionalFormatting>
        <x14:conditionalFormatting xmlns:xm="http://schemas.microsoft.com/office/excel/2006/main">
          <x14:cfRule type="dataBar" id="{19754490-6D71-104A-AB0B-4496F783FFB3}">
            <x14:dataBar minLength="0" maxLength="100" border="1" negativeBarBorderColorSameAsPositive="0">
              <x14:cfvo type="autoMin"/>
              <x14:cfvo type="autoMax"/>
              <x14:borderColor rgb="FF638EC6"/>
              <x14:negativeFillColor rgb="FFFF0000"/>
              <x14:negativeBorderColor rgb="FFFF0000"/>
              <x14:axisColor rgb="FF000000"/>
            </x14:dataBar>
          </x14:cfRule>
          <xm:sqref>AA176</xm:sqref>
        </x14:conditionalFormatting>
        <x14:conditionalFormatting xmlns:xm="http://schemas.microsoft.com/office/excel/2006/main">
          <x14:cfRule type="dataBar" id="{FF9F869E-8E10-7B44-A186-59921D91A6C1}">
            <x14:dataBar minLength="0" maxLength="100" border="1" negativeBarBorderColorSameAsPositive="0">
              <x14:cfvo type="autoMin"/>
              <x14:cfvo type="autoMax"/>
              <x14:borderColor rgb="FF638EC6"/>
              <x14:negativeFillColor rgb="FFFF0000"/>
              <x14:negativeBorderColor rgb="FFFF0000"/>
              <x14:axisColor rgb="FF000000"/>
            </x14:dataBar>
          </x14:cfRule>
          <xm:sqref>AB175</xm:sqref>
        </x14:conditionalFormatting>
        <x14:conditionalFormatting xmlns:xm="http://schemas.microsoft.com/office/excel/2006/main">
          <x14:cfRule type="dataBar" id="{65114AAB-8BA4-324C-AAF8-F593D1D4F3BB}">
            <x14:dataBar minLength="0" maxLength="100" border="1" negativeBarBorderColorSameAsPositive="0">
              <x14:cfvo type="autoMin"/>
              <x14:cfvo type="autoMax"/>
              <x14:borderColor rgb="FF638EC6"/>
              <x14:negativeFillColor rgb="FFFF0000"/>
              <x14:negativeBorderColor rgb="FFFF0000"/>
              <x14:axisColor rgb="FF000000"/>
            </x14:dataBar>
          </x14:cfRule>
          <xm:sqref>AC174</xm:sqref>
        </x14:conditionalFormatting>
        <x14:conditionalFormatting xmlns:xm="http://schemas.microsoft.com/office/excel/2006/main">
          <x14:cfRule type="dataBar" id="{74F4D7B2-2706-0447-925E-41E73DA44A4B}">
            <x14:dataBar minLength="0" maxLength="100" border="1" negativeBarBorderColorSameAsPositive="0">
              <x14:cfvo type="autoMin"/>
              <x14:cfvo type="autoMax"/>
              <x14:borderColor rgb="FF638EC6"/>
              <x14:negativeFillColor rgb="FFFF0000"/>
              <x14:negativeBorderColor rgb="FFFF0000"/>
              <x14:axisColor rgb="FF000000"/>
            </x14:dataBar>
          </x14:cfRule>
          <xm:sqref>AD173</xm:sqref>
        </x14:conditionalFormatting>
        <x14:conditionalFormatting xmlns:xm="http://schemas.microsoft.com/office/excel/2006/main">
          <x14:cfRule type="dataBar" id="{A3A15E6B-8180-5F4F-9CFF-FE18A986C048}">
            <x14:dataBar minLength="0" maxLength="100" border="1" negativeBarBorderColorSameAsPositive="0">
              <x14:cfvo type="autoMin"/>
              <x14:cfvo type="autoMax"/>
              <x14:borderColor rgb="FF638EC6"/>
              <x14:negativeFillColor rgb="FFFF0000"/>
              <x14:negativeBorderColor rgb="FFFF0000"/>
              <x14:axisColor rgb="FF000000"/>
            </x14:dataBar>
          </x14:cfRule>
          <xm:sqref>B203</xm:sqref>
        </x14:conditionalFormatting>
        <x14:conditionalFormatting xmlns:xm="http://schemas.microsoft.com/office/excel/2006/main">
          <x14:cfRule type="dataBar" id="{7DC528CA-B47D-D648-837B-DC30FFA3DFBB}">
            <x14:dataBar minLength="0" maxLength="100" border="1" negativeBarBorderColorSameAsPositive="0">
              <x14:cfvo type="autoMin"/>
              <x14:cfvo type="autoMax"/>
              <x14:borderColor rgb="FF638EC6"/>
              <x14:negativeFillColor rgb="FFFF0000"/>
              <x14:negativeBorderColor rgb="FFFF0000"/>
              <x14:axisColor rgb="FF000000"/>
            </x14:dataBar>
          </x14:cfRule>
          <xm:sqref>C202</xm:sqref>
        </x14:conditionalFormatting>
        <x14:conditionalFormatting xmlns:xm="http://schemas.microsoft.com/office/excel/2006/main">
          <x14:cfRule type="dataBar" id="{FDD2A3F0-89AB-5047-AC60-2714B79A13A1}">
            <x14:dataBar minLength="0" maxLength="100" border="1" negativeBarBorderColorSameAsPositive="0">
              <x14:cfvo type="autoMin"/>
              <x14:cfvo type="autoMax"/>
              <x14:borderColor rgb="FF638EC6"/>
              <x14:negativeFillColor rgb="FFFF0000"/>
              <x14:negativeBorderColor rgb="FFFF0000"/>
              <x14:axisColor rgb="FF000000"/>
            </x14:dataBar>
          </x14:cfRule>
          <xm:sqref>C204</xm:sqref>
        </x14:conditionalFormatting>
        <x14:conditionalFormatting xmlns:xm="http://schemas.microsoft.com/office/excel/2006/main">
          <x14:cfRule type="dataBar" id="{E0D6BA52-4298-9247-9BD0-0E63996138E3}">
            <x14:dataBar minLength="0" maxLength="100" border="1" negativeBarBorderColorSameAsPositive="0">
              <x14:cfvo type="autoMin"/>
              <x14:cfvo type="autoMax"/>
              <x14:borderColor rgb="FF638EC6"/>
              <x14:negativeFillColor rgb="FFFF0000"/>
              <x14:negativeBorderColor rgb="FFFF0000"/>
              <x14:axisColor rgb="FF000000"/>
            </x14:dataBar>
          </x14:cfRule>
          <xm:sqref>D201</xm:sqref>
        </x14:conditionalFormatting>
        <x14:conditionalFormatting xmlns:xm="http://schemas.microsoft.com/office/excel/2006/main">
          <x14:cfRule type="dataBar" id="{BB9CFAB5-FACD-904C-9F5B-43D428E48517}">
            <x14:dataBar minLength="0" maxLength="100" border="1" negativeBarBorderColorSameAsPositive="0">
              <x14:cfvo type="autoMin"/>
              <x14:cfvo type="autoMax"/>
              <x14:borderColor rgb="FF638EC6"/>
              <x14:negativeFillColor rgb="FFFF0000"/>
              <x14:negativeBorderColor rgb="FFFF0000"/>
              <x14:axisColor rgb="FF000000"/>
            </x14:dataBar>
          </x14:cfRule>
          <xm:sqref>D203</xm:sqref>
        </x14:conditionalFormatting>
        <x14:conditionalFormatting xmlns:xm="http://schemas.microsoft.com/office/excel/2006/main">
          <x14:cfRule type="dataBar" id="{3BC2583F-6FB1-FE46-B145-7C9E0EB73370}">
            <x14:dataBar minLength="0" maxLength="100" border="1" negativeBarBorderColorSameAsPositive="0">
              <x14:cfvo type="autoMin"/>
              <x14:cfvo type="autoMax"/>
              <x14:borderColor rgb="FF638EC6"/>
              <x14:negativeFillColor rgb="FFFF0000"/>
              <x14:negativeBorderColor rgb="FFFF0000"/>
              <x14:axisColor rgb="FF000000"/>
            </x14:dataBar>
          </x14:cfRule>
          <xm:sqref>D205</xm:sqref>
        </x14:conditionalFormatting>
        <x14:conditionalFormatting xmlns:xm="http://schemas.microsoft.com/office/excel/2006/main">
          <x14:cfRule type="dataBar" id="{71DC394B-5E81-6649-9D8D-72C2221DAEDF}">
            <x14:dataBar minLength="0" maxLength="100" border="1" negativeBarBorderColorSameAsPositive="0">
              <x14:cfvo type="autoMin"/>
              <x14:cfvo type="autoMax"/>
              <x14:borderColor rgb="FF638EC6"/>
              <x14:negativeFillColor rgb="FFFF0000"/>
              <x14:negativeBorderColor rgb="FFFF0000"/>
              <x14:axisColor rgb="FF000000"/>
            </x14:dataBar>
          </x14:cfRule>
          <xm:sqref>E206</xm:sqref>
        </x14:conditionalFormatting>
        <x14:conditionalFormatting xmlns:xm="http://schemas.microsoft.com/office/excel/2006/main">
          <x14:cfRule type="dataBar" id="{AB69E90A-BE5F-E144-98DC-A8D8938809AC}">
            <x14:dataBar minLength="0" maxLength="100" border="1" negativeBarBorderColorSameAsPositive="0">
              <x14:cfvo type="autoMin"/>
              <x14:cfvo type="autoMax"/>
              <x14:borderColor rgb="FF638EC6"/>
              <x14:negativeFillColor rgb="FFFF0000"/>
              <x14:negativeBorderColor rgb="FFFF0000"/>
              <x14:axisColor rgb="FF000000"/>
            </x14:dataBar>
          </x14:cfRule>
          <xm:sqref>E204</xm:sqref>
        </x14:conditionalFormatting>
        <x14:conditionalFormatting xmlns:xm="http://schemas.microsoft.com/office/excel/2006/main">
          <x14:cfRule type="dataBar" id="{42D150EF-C446-3B42-8B3E-9E4C2506DDCB}">
            <x14:dataBar minLength="0" maxLength="100" border="1" negativeBarBorderColorSameAsPositive="0">
              <x14:cfvo type="autoMin"/>
              <x14:cfvo type="autoMax"/>
              <x14:borderColor rgb="FF638EC6"/>
              <x14:negativeFillColor rgb="FFFF0000"/>
              <x14:negativeBorderColor rgb="FFFF0000"/>
              <x14:axisColor rgb="FF000000"/>
            </x14:dataBar>
          </x14:cfRule>
          <xm:sqref>E202</xm:sqref>
        </x14:conditionalFormatting>
        <x14:conditionalFormatting xmlns:xm="http://schemas.microsoft.com/office/excel/2006/main">
          <x14:cfRule type="dataBar" id="{D3EA9AAF-9133-D34B-AE6D-38D779E648F6}">
            <x14:dataBar minLength="0" maxLength="100" border="1" negativeBarBorderColorSameAsPositive="0">
              <x14:cfvo type="autoMin"/>
              <x14:cfvo type="autoMax"/>
              <x14:borderColor rgb="FF638EC6"/>
              <x14:negativeFillColor rgb="FFFF0000"/>
              <x14:negativeBorderColor rgb="FFFF0000"/>
              <x14:axisColor rgb="FF000000"/>
            </x14:dataBar>
          </x14:cfRule>
          <xm:sqref>E200</xm:sqref>
        </x14:conditionalFormatting>
        <x14:conditionalFormatting xmlns:xm="http://schemas.microsoft.com/office/excel/2006/main">
          <x14:cfRule type="dataBar" id="{2009435F-E758-BF44-B74A-53477176E282}">
            <x14:dataBar minLength="0" maxLength="100" border="1" negativeBarBorderColorSameAsPositive="0">
              <x14:cfvo type="autoMin"/>
              <x14:cfvo type="autoMax"/>
              <x14:borderColor rgb="FF638EC6"/>
              <x14:negativeFillColor rgb="FFFF0000"/>
              <x14:negativeBorderColor rgb="FFFF0000"/>
              <x14:axisColor rgb="FF000000"/>
            </x14:dataBar>
          </x14:cfRule>
          <xm:sqref>F199</xm:sqref>
        </x14:conditionalFormatting>
        <x14:conditionalFormatting xmlns:xm="http://schemas.microsoft.com/office/excel/2006/main">
          <x14:cfRule type="dataBar" id="{E4E1CAF7-1A3F-794E-9108-ADD56789033E}">
            <x14:dataBar minLength="0" maxLength="100" border="1" negativeBarBorderColorSameAsPositive="0">
              <x14:cfvo type="autoMin"/>
              <x14:cfvo type="autoMax"/>
              <x14:borderColor rgb="FF638EC6"/>
              <x14:negativeFillColor rgb="FFFF0000"/>
              <x14:negativeBorderColor rgb="FFFF0000"/>
              <x14:axisColor rgb="FF000000"/>
            </x14:dataBar>
          </x14:cfRule>
          <xm:sqref>F201</xm:sqref>
        </x14:conditionalFormatting>
        <x14:conditionalFormatting xmlns:xm="http://schemas.microsoft.com/office/excel/2006/main">
          <x14:cfRule type="dataBar" id="{52C9F5EF-1103-0D47-B242-B5672E445C94}">
            <x14:dataBar minLength="0" maxLength="100" border="1" negativeBarBorderColorSameAsPositive="0">
              <x14:cfvo type="autoMin"/>
              <x14:cfvo type="autoMax"/>
              <x14:borderColor rgb="FF638EC6"/>
              <x14:negativeFillColor rgb="FFFF0000"/>
              <x14:negativeBorderColor rgb="FFFF0000"/>
              <x14:axisColor rgb="FF000000"/>
            </x14:dataBar>
          </x14:cfRule>
          <xm:sqref>F203</xm:sqref>
        </x14:conditionalFormatting>
        <x14:conditionalFormatting xmlns:xm="http://schemas.microsoft.com/office/excel/2006/main">
          <x14:cfRule type="dataBar" id="{A2913484-3F3E-9046-B416-B411FADC3593}">
            <x14:dataBar minLength="0" maxLength="100" border="1" negativeBarBorderColorSameAsPositive="0">
              <x14:cfvo type="autoMin"/>
              <x14:cfvo type="autoMax"/>
              <x14:borderColor rgb="FF638EC6"/>
              <x14:negativeFillColor rgb="FFFF0000"/>
              <x14:negativeBorderColor rgb="FFFF0000"/>
              <x14:axisColor rgb="FF000000"/>
            </x14:dataBar>
          </x14:cfRule>
          <xm:sqref>F205</xm:sqref>
        </x14:conditionalFormatting>
        <x14:conditionalFormatting xmlns:xm="http://schemas.microsoft.com/office/excel/2006/main">
          <x14:cfRule type="dataBar" id="{775682CB-C5FE-EF40-B231-0EC67EAF9B27}">
            <x14:dataBar minLength="0" maxLength="100" border="1" negativeBarBorderColorSameAsPositive="0">
              <x14:cfvo type="autoMin"/>
              <x14:cfvo type="autoMax"/>
              <x14:borderColor rgb="FF638EC6"/>
              <x14:negativeFillColor rgb="FFFF0000"/>
              <x14:negativeBorderColor rgb="FFFF0000"/>
              <x14:axisColor rgb="FF000000"/>
            </x14:dataBar>
          </x14:cfRule>
          <xm:sqref>F207</xm:sqref>
        </x14:conditionalFormatting>
        <x14:conditionalFormatting xmlns:xm="http://schemas.microsoft.com/office/excel/2006/main">
          <x14:cfRule type="dataBar" id="{FEC52D04-F360-C546-AB98-5277046A4A3A}">
            <x14:dataBar minLength="0" maxLength="100" border="1" negativeBarBorderColorSameAsPositive="0">
              <x14:cfvo type="autoMin"/>
              <x14:cfvo type="autoMax"/>
              <x14:borderColor rgb="FF638EC6"/>
              <x14:negativeFillColor rgb="FFFF0000"/>
              <x14:negativeBorderColor rgb="FFFF0000"/>
              <x14:axisColor rgb="FF000000"/>
            </x14:dataBar>
          </x14:cfRule>
          <xm:sqref>G198</xm:sqref>
        </x14:conditionalFormatting>
        <x14:conditionalFormatting xmlns:xm="http://schemas.microsoft.com/office/excel/2006/main">
          <x14:cfRule type="dataBar" id="{4DD0D0DD-B7C1-954B-A023-BE2F48F068BE}">
            <x14:dataBar minLength="0" maxLength="100" border="1" negativeBarBorderColorSameAsPositive="0">
              <x14:cfvo type="autoMin"/>
              <x14:cfvo type="autoMax"/>
              <x14:borderColor rgb="FF638EC6"/>
              <x14:negativeFillColor rgb="FFFF0000"/>
              <x14:negativeBorderColor rgb="FFFF0000"/>
              <x14:axisColor rgb="FF000000"/>
            </x14:dataBar>
          </x14:cfRule>
          <xm:sqref>G200</xm:sqref>
        </x14:conditionalFormatting>
        <x14:conditionalFormatting xmlns:xm="http://schemas.microsoft.com/office/excel/2006/main">
          <x14:cfRule type="dataBar" id="{5A2276A9-1EA8-5D49-8D91-A6ADB12E4A22}">
            <x14:dataBar minLength="0" maxLength="100" border="1" negativeBarBorderColorSameAsPositive="0">
              <x14:cfvo type="autoMin"/>
              <x14:cfvo type="autoMax"/>
              <x14:borderColor rgb="FF638EC6"/>
              <x14:negativeFillColor rgb="FFFF0000"/>
              <x14:negativeBorderColor rgb="FFFF0000"/>
              <x14:axisColor rgb="FF000000"/>
            </x14:dataBar>
          </x14:cfRule>
          <xm:sqref>G202</xm:sqref>
        </x14:conditionalFormatting>
        <x14:conditionalFormatting xmlns:xm="http://schemas.microsoft.com/office/excel/2006/main">
          <x14:cfRule type="dataBar" id="{4819F9A3-8DEE-4743-A7C2-4AAC21F73505}">
            <x14:dataBar minLength="0" maxLength="100" border="1" negativeBarBorderColorSameAsPositive="0">
              <x14:cfvo type="autoMin"/>
              <x14:cfvo type="autoMax"/>
              <x14:borderColor rgb="FF638EC6"/>
              <x14:negativeFillColor rgb="FFFF0000"/>
              <x14:negativeBorderColor rgb="FFFF0000"/>
              <x14:axisColor rgb="FF000000"/>
            </x14:dataBar>
          </x14:cfRule>
          <xm:sqref>G204</xm:sqref>
        </x14:conditionalFormatting>
        <x14:conditionalFormatting xmlns:xm="http://schemas.microsoft.com/office/excel/2006/main">
          <x14:cfRule type="dataBar" id="{47088D37-3396-3848-BE4D-41DB7302B859}">
            <x14:dataBar minLength="0" maxLength="100" border="1" negativeBarBorderColorSameAsPositive="0">
              <x14:cfvo type="autoMin"/>
              <x14:cfvo type="autoMax"/>
              <x14:borderColor rgb="FF638EC6"/>
              <x14:negativeFillColor rgb="FFFF0000"/>
              <x14:negativeBorderColor rgb="FFFF0000"/>
              <x14:axisColor rgb="FF000000"/>
            </x14:dataBar>
          </x14:cfRule>
          <xm:sqref>G206</xm:sqref>
        </x14:conditionalFormatting>
        <x14:conditionalFormatting xmlns:xm="http://schemas.microsoft.com/office/excel/2006/main">
          <x14:cfRule type="dataBar" id="{A7B4F01D-A4BC-F348-A1F2-9A5EB871CB5C}">
            <x14:dataBar minLength="0" maxLength="100" border="1" negativeBarBorderColorSameAsPositive="0">
              <x14:cfvo type="autoMin"/>
              <x14:cfvo type="autoMax"/>
              <x14:borderColor rgb="FF638EC6"/>
              <x14:negativeFillColor rgb="FFFF0000"/>
              <x14:negativeBorderColor rgb="FFFF0000"/>
              <x14:axisColor rgb="FF000000"/>
            </x14:dataBar>
          </x14:cfRule>
          <xm:sqref>G208</xm:sqref>
        </x14:conditionalFormatting>
        <x14:conditionalFormatting xmlns:xm="http://schemas.microsoft.com/office/excel/2006/main">
          <x14:cfRule type="dataBar" id="{B75186EE-84F7-5E43-8AB9-740936DF4A41}">
            <x14:dataBar minLength="0" maxLength="100" border="1" negativeBarBorderColorSameAsPositive="0">
              <x14:cfvo type="autoMin"/>
              <x14:cfvo type="autoMax"/>
              <x14:borderColor rgb="FF638EC6"/>
              <x14:negativeFillColor rgb="FFFF0000"/>
              <x14:negativeBorderColor rgb="FFFF0000"/>
              <x14:axisColor rgb="FF000000"/>
            </x14:dataBar>
          </x14:cfRule>
          <xm:sqref>H197</xm:sqref>
        </x14:conditionalFormatting>
        <x14:conditionalFormatting xmlns:xm="http://schemas.microsoft.com/office/excel/2006/main">
          <x14:cfRule type="dataBar" id="{3EE80636-95EE-DE4B-AD7E-344BAF2CC8AD}">
            <x14:dataBar minLength="0" maxLength="100" border="1" negativeBarBorderColorSameAsPositive="0">
              <x14:cfvo type="autoMin"/>
              <x14:cfvo type="autoMax"/>
              <x14:borderColor rgb="FF638EC6"/>
              <x14:negativeFillColor rgb="FFFF0000"/>
              <x14:negativeBorderColor rgb="FFFF0000"/>
              <x14:axisColor rgb="FF000000"/>
            </x14:dataBar>
          </x14:cfRule>
          <xm:sqref>H199</xm:sqref>
        </x14:conditionalFormatting>
        <x14:conditionalFormatting xmlns:xm="http://schemas.microsoft.com/office/excel/2006/main">
          <x14:cfRule type="dataBar" id="{FB482323-7F82-1A49-A026-51808E78299C}">
            <x14:dataBar minLength="0" maxLength="100" border="1" negativeBarBorderColorSameAsPositive="0">
              <x14:cfvo type="autoMin"/>
              <x14:cfvo type="autoMax"/>
              <x14:borderColor rgb="FF638EC6"/>
              <x14:negativeFillColor rgb="FFFF0000"/>
              <x14:negativeBorderColor rgb="FFFF0000"/>
              <x14:axisColor rgb="FF000000"/>
            </x14:dataBar>
          </x14:cfRule>
          <xm:sqref>H201</xm:sqref>
        </x14:conditionalFormatting>
        <x14:conditionalFormatting xmlns:xm="http://schemas.microsoft.com/office/excel/2006/main">
          <x14:cfRule type="dataBar" id="{08246B76-2608-CD41-95EE-3B517A6B5EF3}">
            <x14:dataBar minLength="0" maxLength="100" border="1" negativeBarBorderColorSameAsPositive="0">
              <x14:cfvo type="autoMin"/>
              <x14:cfvo type="autoMax"/>
              <x14:borderColor rgb="FF638EC6"/>
              <x14:negativeFillColor rgb="FFFF0000"/>
              <x14:negativeBorderColor rgb="FFFF0000"/>
              <x14:axisColor rgb="FF000000"/>
            </x14:dataBar>
          </x14:cfRule>
          <xm:sqref>H203</xm:sqref>
        </x14:conditionalFormatting>
        <x14:conditionalFormatting xmlns:xm="http://schemas.microsoft.com/office/excel/2006/main">
          <x14:cfRule type="dataBar" id="{0D22C30B-20E9-8248-A13E-B40217C7F734}">
            <x14:dataBar minLength="0" maxLength="100" border="1" negativeBarBorderColorSameAsPositive="0">
              <x14:cfvo type="autoMin"/>
              <x14:cfvo type="autoMax"/>
              <x14:borderColor rgb="FF638EC6"/>
              <x14:negativeFillColor rgb="FFFF0000"/>
              <x14:negativeBorderColor rgb="FFFF0000"/>
              <x14:axisColor rgb="FF000000"/>
            </x14:dataBar>
          </x14:cfRule>
          <xm:sqref>H205</xm:sqref>
        </x14:conditionalFormatting>
        <x14:conditionalFormatting xmlns:xm="http://schemas.microsoft.com/office/excel/2006/main">
          <x14:cfRule type="dataBar" id="{E1A7CB60-5ECB-5E4D-943E-A5D267593B3C}">
            <x14:dataBar minLength="0" maxLength="100" border="1" negativeBarBorderColorSameAsPositive="0">
              <x14:cfvo type="autoMin"/>
              <x14:cfvo type="autoMax"/>
              <x14:borderColor rgb="FF638EC6"/>
              <x14:negativeFillColor rgb="FFFF0000"/>
              <x14:negativeBorderColor rgb="FFFF0000"/>
              <x14:axisColor rgb="FF000000"/>
            </x14:dataBar>
          </x14:cfRule>
          <xm:sqref>H207</xm:sqref>
        </x14:conditionalFormatting>
        <x14:conditionalFormatting xmlns:xm="http://schemas.microsoft.com/office/excel/2006/main">
          <x14:cfRule type="dataBar" id="{6C77E020-4688-5D46-940D-73F89CA9C666}">
            <x14:dataBar minLength="0" maxLength="100" border="1" negativeBarBorderColorSameAsPositive="0">
              <x14:cfvo type="autoMin"/>
              <x14:cfvo type="autoMax"/>
              <x14:borderColor rgb="FF638EC6"/>
              <x14:negativeFillColor rgb="FFFF0000"/>
              <x14:negativeBorderColor rgb="FFFF0000"/>
              <x14:axisColor rgb="FF000000"/>
            </x14:dataBar>
          </x14:cfRule>
          <xm:sqref>H209</xm:sqref>
        </x14:conditionalFormatting>
        <x14:conditionalFormatting xmlns:xm="http://schemas.microsoft.com/office/excel/2006/main">
          <x14:cfRule type="dataBar" id="{B5BFFBC1-C5DD-0E47-9561-89CBB7B9971E}">
            <x14:dataBar minLength="0" maxLength="100" border="1" negativeBarBorderColorSameAsPositive="0">
              <x14:cfvo type="autoMin"/>
              <x14:cfvo type="autoMax"/>
              <x14:borderColor rgb="FF638EC6"/>
              <x14:negativeFillColor rgb="FFFF0000"/>
              <x14:negativeBorderColor rgb="FFFF0000"/>
              <x14:axisColor rgb="FF000000"/>
            </x14:dataBar>
          </x14:cfRule>
          <xm:sqref>I196</xm:sqref>
        </x14:conditionalFormatting>
        <x14:conditionalFormatting xmlns:xm="http://schemas.microsoft.com/office/excel/2006/main">
          <x14:cfRule type="dataBar" id="{13F3BCB9-8DEC-4D45-A947-327629F6A337}">
            <x14:dataBar minLength="0" maxLength="100" border="1" negativeBarBorderColorSameAsPositive="0">
              <x14:cfvo type="autoMin"/>
              <x14:cfvo type="autoMax"/>
              <x14:borderColor rgb="FF638EC6"/>
              <x14:negativeFillColor rgb="FFFF0000"/>
              <x14:negativeBorderColor rgb="FFFF0000"/>
              <x14:axisColor rgb="FF000000"/>
            </x14:dataBar>
          </x14:cfRule>
          <xm:sqref>I198</xm:sqref>
        </x14:conditionalFormatting>
        <x14:conditionalFormatting xmlns:xm="http://schemas.microsoft.com/office/excel/2006/main">
          <x14:cfRule type="dataBar" id="{E4326BDB-0CBB-0445-B031-A9EF8561EE74}">
            <x14:dataBar minLength="0" maxLength="100" border="1" negativeBarBorderColorSameAsPositive="0">
              <x14:cfvo type="autoMin"/>
              <x14:cfvo type="autoMax"/>
              <x14:borderColor rgb="FF638EC6"/>
              <x14:negativeFillColor rgb="FFFF0000"/>
              <x14:negativeBorderColor rgb="FFFF0000"/>
              <x14:axisColor rgb="FF000000"/>
            </x14:dataBar>
          </x14:cfRule>
          <xm:sqref>I200</xm:sqref>
        </x14:conditionalFormatting>
        <x14:conditionalFormatting xmlns:xm="http://schemas.microsoft.com/office/excel/2006/main">
          <x14:cfRule type="dataBar" id="{9B0304BC-11F0-8345-A3E1-02E7E2532C47}">
            <x14:dataBar minLength="0" maxLength="100" border="1" negativeBarBorderColorSameAsPositive="0">
              <x14:cfvo type="autoMin"/>
              <x14:cfvo type="autoMax"/>
              <x14:borderColor rgb="FF638EC6"/>
              <x14:negativeFillColor rgb="FFFF0000"/>
              <x14:negativeBorderColor rgb="FFFF0000"/>
              <x14:axisColor rgb="FF000000"/>
            </x14:dataBar>
          </x14:cfRule>
          <xm:sqref>I202</xm:sqref>
        </x14:conditionalFormatting>
        <x14:conditionalFormatting xmlns:xm="http://schemas.microsoft.com/office/excel/2006/main">
          <x14:cfRule type="dataBar" id="{C6B58C5F-77B8-A34A-B206-C9481864834E}">
            <x14:dataBar minLength="0" maxLength="100" border="1" negativeBarBorderColorSameAsPositive="0">
              <x14:cfvo type="autoMin"/>
              <x14:cfvo type="autoMax"/>
              <x14:borderColor rgb="FF638EC6"/>
              <x14:negativeFillColor rgb="FFFF0000"/>
              <x14:negativeBorderColor rgb="FFFF0000"/>
              <x14:axisColor rgb="FF000000"/>
            </x14:dataBar>
          </x14:cfRule>
          <xm:sqref>I204</xm:sqref>
        </x14:conditionalFormatting>
        <x14:conditionalFormatting xmlns:xm="http://schemas.microsoft.com/office/excel/2006/main">
          <x14:cfRule type="dataBar" id="{A169FCFD-565C-FE4D-9D6A-930A8BDBDF07}">
            <x14:dataBar minLength="0" maxLength="100" border="1" negativeBarBorderColorSameAsPositive="0">
              <x14:cfvo type="autoMin"/>
              <x14:cfvo type="autoMax"/>
              <x14:borderColor rgb="FF638EC6"/>
              <x14:negativeFillColor rgb="FFFF0000"/>
              <x14:negativeBorderColor rgb="FFFF0000"/>
              <x14:axisColor rgb="FF000000"/>
            </x14:dataBar>
          </x14:cfRule>
          <xm:sqref>I206</xm:sqref>
        </x14:conditionalFormatting>
        <x14:conditionalFormatting xmlns:xm="http://schemas.microsoft.com/office/excel/2006/main">
          <x14:cfRule type="dataBar" id="{27402FED-94E4-EA4D-AD27-11F4BDCD7E75}">
            <x14:dataBar minLength="0" maxLength="100" border="1" negativeBarBorderColorSameAsPositive="0">
              <x14:cfvo type="autoMin"/>
              <x14:cfvo type="autoMax"/>
              <x14:borderColor rgb="FF638EC6"/>
              <x14:negativeFillColor rgb="FFFF0000"/>
              <x14:negativeBorderColor rgb="FFFF0000"/>
              <x14:axisColor rgb="FF000000"/>
            </x14:dataBar>
          </x14:cfRule>
          <xm:sqref>I208</xm:sqref>
        </x14:conditionalFormatting>
        <x14:conditionalFormatting xmlns:xm="http://schemas.microsoft.com/office/excel/2006/main">
          <x14:cfRule type="dataBar" id="{09C43DAB-57FB-034C-A608-88202A0DE1A3}">
            <x14:dataBar minLength="0" maxLength="100" border="1" negativeBarBorderColorSameAsPositive="0">
              <x14:cfvo type="autoMin"/>
              <x14:cfvo type="autoMax"/>
              <x14:borderColor rgb="FF638EC6"/>
              <x14:negativeFillColor rgb="FFFF0000"/>
              <x14:negativeBorderColor rgb="FFFF0000"/>
              <x14:axisColor rgb="FF000000"/>
            </x14:dataBar>
          </x14:cfRule>
          <xm:sqref>I210</xm:sqref>
        </x14:conditionalFormatting>
        <x14:conditionalFormatting xmlns:xm="http://schemas.microsoft.com/office/excel/2006/main">
          <x14:cfRule type="dataBar" id="{7CEA69E9-3335-7B4B-BE45-12E09BC0D376}">
            <x14:dataBar minLength="0" maxLength="100" border="1" negativeBarBorderColorSameAsPositive="0">
              <x14:cfvo type="autoMin"/>
              <x14:cfvo type="autoMax"/>
              <x14:borderColor rgb="FF638EC6"/>
              <x14:negativeFillColor rgb="FFFF0000"/>
              <x14:negativeBorderColor rgb="FFFF0000"/>
              <x14:axisColor rgb="FF000000"/>
            </x14:dataBar>
          </x14:cfRule>
          <xm:sqref>J211</xm:sqref>
        </x14:conditionalFormatting>
        <x14:conditionalFormatting xmlns:xm="http://schemas.microsoft.com/office/excel/2006/main">
          <x14:cfRule type="dataBar" id="{ED553A1F-1D5B-7043-A43F-FB254479C35C}">
            <x14:dataBar minLength="0" maxLength="100" border="1" negativeBarBorderColorSameAsPositive="0">
              <x14:cfvo type="autoMin"/>
              <x14:cfvo type="autoMax"/>
              <x14:borderColor rgb="FF638EC6"/>
              <x14:negativeFillColor rgb="FFFF0000"/>
              <x14:negativeBorderColor rgb="FFFF0000"/>
              <x14:axisColor rgb="FF000000"/>
            </x14:dataBar>
          </x14:cfRule>
          <xm:sqref>J209</xm:sqref>
        </x14:conditionalFormatting>
        <x14:conditionalFormatting xmlns:xm="http://schemas.microsoft.com/office/excel/2006/main">
          <x14:cfRule type="dataBar" id="{E8C391DB-FB33-BE4C-BA85-27BCE10CC192}">
            <x14:dataBar minLength="0" maxLength="100" border="1" negativeBarBorderColorSameAsPositive="0">
              <x14:cfvo type="autoMin"/>
              <x14:cfvo type="autoMax"/>
              <x14:borderColor rgb="FF638EC6"/>
              <x14:negativeFillColor rgb="FFFF0000"/>
              <x14:negativeBorderColor rgb="FFFF0000"/>
              <x14:axisColor rgb="FF000000"/>
            </x14:dataBar>
          </x14:cfRule>
          <xm:sqref>J207</xm:sqref>
        </x14:conditionalFormatting>
        <x14:conditionalFormatting xmlns:xm="http://schemas.microsoft.com/office/excel/2006/main">
          <x14:cfRule type="dataBar" id="{63880209-B98A-474D-8A1B-4A3BEA832E8A}">
            <x14:dataBar minLength="0" maxLength="100" border="1" negativeBarBorderColorSameAsPositive="0">
              <x14:cfvo type="autoMin"/>
              <x14:cfvo type="autoMax"/>
              <x14:borderColor rgb="FF638EC6"/>
              <x14:negativeFillColor rgb="FFFF0000"/>
              <x14:negativeBorderColor rgb="FFFF0000"/>
              <x14:axisColor rgb="FF000000"/>
            </x14:dataBar>
          </x14:cfRule>
          <xm:sqref>J205</xm:sqref>
        </x14:conditionalFormatting>
        <x14:conditionalFormatting xmlns:xm="http://schemas.microsoft.com/office/excel/2006/main">
          <x14:cfRule type="dataBar" id="{810C2226-922E-5140-A2DD-B1E258D5F506}">
            <x14:dataBar minLength="0" maxLength="100" border="1" negativeBarBorderColorSameAsPositive="0">
              <x14:cfvo type="autoMin"/>
              <x14:cfvo type="autoMax"/>
              <x14:borderColor rgb="FF638EC6"/>
              <x14:negativeFillColor rgb="FFFF0000"/>
              <x14:negativeBorderColor rgb="FFFF0000"/>
              <x14:axisColor rgb="FF000000"/>
            </x14:dataBar>
          </x14:cfRule>
          <xm:sqref>J203</xm:sqref>
        </x14:conditionalFormatting>
        <x14:conditionalFormatting xmlns:xm="http://schemas.microsoft.com/office/excel/2006/main">
          <x14:cfRule type="dataBar" id="{86D3D407-B71D-174A-B4A3-25D2DE6F016B}">
            <x14:dataBar minLength="0" maxLength="100" border="1" negativeBarBorderColorSameAsPositive="0">
              <x14:cfvo type="autoMin"/>
              <x14:cfvo type="autoMax"/>
              <x14:borderColor rgb="FF638EC6"/>
              <x14:negativeFillColor rgb="FFFF0000"/>
              <x14:negativeBorderColor rgb="FFFF0000"/>
              <x14:axisColor rgb="FF000000"/>
            </x14:dataBar>
          </x14:cfRule>
          <xm:sqref>J201</xm:sqref>
        </x14:conditionalFormatting>
        <x14:conditionalFormatting xmlns:xm="http://schemas.microsoft.com/office/excel/2006/main">
          <x14:cfRule type="dataBar" id="{0C616630-0FF5-1F49-9C21-CB9FD6489908}">
            <x14:dataBar minLength="0" maxLength="100" border="1" negativeBarBorderColorSameAsPositive="0">
              <x14:cfvo type="autoMin"/>
              <x14:cfvo type="autoMax"/>
              <x14:borderColor rgb="FF638EC6"/>
              <x14:negativeFillColor rgb="FFFF0000"/>
              <x14:negativeBorderColor rgb="FFFF0000"/>
              <x14:axisColor rgb="FF000000"/>
            </x14:dataBar>
          </x14:cfRule>
          <xm:sqref>J199</xm:sqref>
        </x14:conditionalFormatting>
        <x14:conditionalFormatting xmlns:xm="http://schemas.microsoft.com/office/excel/2006/main">
          <x14:cfRule type="dataBar" id="{B4568514-3AFB-F949-88DF-380FF4166340}">
            <x14:dataBar minLength="0" maxLength="100" border="1" negativeBarBorderColorSameAsPositive="0">
              <x14:cfvo type="autoMin"/>
              <x14:cfvo type="autoMax"/>
              <x14:borderColor rgb="FF638EC6"/>
              <x14:negativeFillColor rgb="FFFF0000"/>
              <x14:negativeBorderColor rgb="FFFF0000"/>
              <x14:axisColor rgb="FF000000"/>
            </x14:dataBar>
          </x14:cfRule>
          <xm:sqref>J197</xm:sqref>
        </x14:conditionalFormatting>
        <x14:conditionalFormatting xmlns:xm="http://schemas.microsoft.com/office/excel/2006/main">
          <x14:cfRule type="dataBar" id="{4E8BF4BB-5F5F-E549-A59F-CA197FB08802}">
            <x14:dataBar minLength="0" maxLength="100" border="1" negativeBarBorderColorSameAsPositive="0">
              <x14:cfvo type="autoMin"/>
              <x14:cfvo type="autoMax"/>
              <x14:borderColor rgb="FF638EC6"/>
              <x14:negativeFillColor rgb="FFFF0000"/>
              <x14:negativeBorderColor rgb="FFFF0000"/>
              <x14:axisColor rgb="FF000000"/>
            </x14:dataBar>
          </x14:cfRule>
          <xm:sqref>J195</xm:sqref>
        </x14:conditionalFormatting>
        <x14:conditionalFormatting xmlns:xm="http://schemas.microsoft.com/office/excel/2006/main">
          <x14:cfRule type="dataBar" id="{D2B4F9BD-92E2-FB4E-9903-69BE1C4D0DE8}">
            <x14:dataBar minLength="0" maxLength="100" border="1" negativeBarBorderColorSameAsPositive="0">
              <x14:cfvo type="autoMin"/>
              <x14:cfvo type="autoMax"/>
              <x14:borderColor rgb="FF638EC6"/>
              <x14:negativeFillColor rgb="FFFF0000"/>
              <x14:negativeBorderColor rgb="FFFF0000"/>
              <x14:axisColor rgb="FF000000"/>
            </x14:dataBar>
          </x14:cfRule>
          <xm:sqref>K194</xm:sqref>
        </x14:conditionalFormatting>
        <x14:conditionalFormatting xmlns:xm="http://schemas.microsoft.com/office/excel/2006/main">
          <x14:cfRule type="dataBar" id="{D000DBC6-EA03-AA4D-BBA9-B862B11F4E2B}">
            <x14:dataBar minLength="0" maxLength="100" border="1" negativeBarBorderColorSameAsPositive="0">
              <x14:cfvo type="autoMin"/>
              <x14:cfvo type="autoMax"/>
              <x14:borderColor rgb="FF638EC6"/>
              <x14:negativeFillColor rgb="FFFF0000"/>
              <x14:negativeBorderColor rgb="FFFF0000"/>
              <x14:axisColor rgb="FF000000"/>
            </x14:dataBar>
          </x14:cfRule>
          <xm:sqref>K196</xm:sqref>
        </x14:conditionalFormatting>
        <x14:conditionalFormatting xmlns:xm="http://schemas.microsoft.com/office/excel/2006/main">
          <x14:cfRule type="dataBar" id="{AF4F423A-CBB0-8343-A559-84D56F4A3DEE}">
            <x14:dataBar minLength="0" maxLength="100" border="1" negativeBarBorderColorSameAsPositive="0">
              <x14:cfvo type="autoMin"/>
              <x14:cfvo type="autoMax"/>
              <x14:borderColor rgb="FF638EC6"/>
              <x14:negativeFillColor rgb="FFFF0000"/>
              <x14:negativeBorderColor rgb="FFFF0000"/>
              <x14:axisColor rgb="FF000000"/>
            </x14:dataBar>
          </x14:cfRule>
          <xm:sqref>K198</xm:sqref>
        </x14:conditionalFormatting>
        <x14:conditionalFormatting xmlns:xm="http://schemas.microsoft.com/office/excel/2006/main">
          <x14:cfRule type="dataBar" id="{D09E674D-6BB0-8245-9544-ABC152CFDC2A}">
            <x14:dataBar minLength="0" maxLength="100" border="1" negativeBarBorderColorSameAsPositive="0">
              <x14:cfvo type="autoMin"/>
              <x14:cfvo type="autoMax"/>
              <x14:borderColor rgb="FF638EC6"/>
              <x14:negativeFillColor rgb="FFFF0000"/>
              <x14:negativeBorderColor rgb="FFFF0000"/>
              <x14:axisColor rgb="FF000000"/>
            </x14:dataBar>
          </x14:cfRule>
          <xm:sqref>K200</xm:sqref>
        </x14:conditionalFormatting>
        <x14:conditionalFormatting xmlns:xm="http://schemas.microsoft.com/office/excel/2006/main">
          <x14:cfRule type="dataBar" id="{45ED0A29-2521-A545-8DCC-00AFB508888F}">
            <x14:dataBar minLength="0" maxLength="100" border="1" negativeBarBorderColorSameAsPositive="0">
              <x14:cfvo type="autoMin"/>
              <x14:cfvo type="autoMax"/>
              <x14:borderColor rgb="FF638EC6"/>
              <x14:negativeFillColor rgb="FFFF0000"/>
              <x14:negativeBorderColor rgb="FFFF0000"/>
              <x14:axisColor rgb="FF000000"/>
            </x14:dataBar>
          </x14:cfRule>
          <xm:sqref>K202</xm:sqref>
        </x14:conditionalFormatting>
        <x14:conditionalFormatting xmlns:xm="http://schemas.microsoft.com/office/excel/2006/main">
          <x14:cfRule type="dataBar" id="{E2DF6B8F-8981-994B-84C1-1F8DFEAD3279}">
            <x14:dataBar minLength="0" maxLength="100" border="1" negativeBarBorderColorSameAsPositive="0">
              <x14:cfvo type="autoMin"/>
              <x14:cfvo type="autoMax"/>
              <x14:borderColor rgb="FF638EC6"/>
              <x14:negativeFillColor rgb="FFFF0000"/>
              <x14:negativeBorderColor rgb="FFFF0000"/>
              <x14:axisColor rgb="FF000000"/>
            </x14:dataBar>
          </x14:cfRule>
          <xm:sqref>K204</xm:sqref>
        </x14:conditionalFormatting>
        <x14:conditionalFormatting xmlns:xm="http://schemas.microsoft.com/office/excel/2006/main">
          <x14:cfRule type="dataBar" id="{22E6194E-2184-0949-AD18-A3718FA36577}">
            <x14:dataBar minLength="0" maxLength="100" border="1" negativeBarBorderColorSameAsPositive="0">
              <x14:cfvo type="autoMin"/>
              <x14:cfvo type="autoMax"/>
              <x14:borderColor rgb="FF638EC6"/>
              <x14:negativeFillColor rgb="FFFF0000"/>
              <x14:negativeBorderColor rgb="FFFF0000"/>
              <x14:axisColor rgb="FF000000"/>
            </x14:dataBar>
          </x14:cfRule>
          <xm:sqref>K206</xm:sqref>
        </x14:conditionalFormatting>
        <x14:conditionalFormatting xmlns:xm="http://schemas.microsoft.com/office/excel/2006/main">
          <x14:cfRule type="dataBar" id="{D43D52FB-6F75-D641-B9DA-A093ACFC0D71}">
            <x14:dataBar minLength="0" maxLength="100" border="1" negativeBarBorderColorSameAsPositive="0">
              <x14:cfvo type="autoMin"/>
              <x14:cfvo type="autoMax"/>
              <x14:borderColor rgb="FF638EC6"/>
              <x14:negativeFillColor rgb="FFFF0000"/>
              <x14:negativeBorderColor rgb="FFFF0000"/>
              <x14:axisColor rgb="FF000000"/>
            </x14:dataBar>
          </x14:cfRule>
          <xm:sqref>K208</xm:sqref>
        </x14:conditionalFormatting>
        <x14:conditionalFormatting xmlns:xm="http://schemas.microsoft.com/office/excel/2006/main">
          <x14:cfRule type="dataBar" id="{0A4B0F57-0130-E04E-B9C8-FFAB0CFF7606}">
            <x14:dataBar minLength="0" maxLength="100" border="1" negativeBarBorderColorSameAsPositive="0">
              <x14:cfvo type="autoMin"/>
              <x14:cfvo type="autoMax"/>
              <x14:borderColor rgb="FF638EC6"/>
              <x14:negativeFillColor rgb="FFFF0000"/>
              <x14:negativeBorderColor rgb="FFFF0000"/>
              <x14:axisColor rgb="FF000000"/>
            </x14:dataBar>
          </x14:cfRule>
          <xm:sqref>K210</xm:sqref>
        </x14:conditionalFormatting>
        <x14:conditionalFormatting xmlns:xm="http://schemas.microsoft.com/office/excel/2006/main">
          <x14:cfRule type="dataBar" id="{B9015FDB-AAA2-CF4E-A59B-4B5DE29DD382}">
            <x14:dataBar minLength="0" maxLength="100" border="1" negativeBarBorderColorSameAsPositive="0">
              <x14:cfvo type="autoMin"/>
              <x14:cfvo type="autoMax"/>
              <x14:borderColor rgb="FF638EC6"/>
              <x14:negativeFillColor rgb="FFFF0000"/>
              <x14:negativeBorderColor rgb="FFFF0000"/>
              <x14:axisColor rgb="FF000000"/>
            </x14:dataBar>
          </x14:cfRule>
          <xm:sqref>K212</xm:sqref>
        </x14:conditionalFormatting>
        <x14:conditionalFormatting xmlns:xm="http://schemas.microsoft.com/office/excel/2006/main">
          <x14:cfRule type="dataBar" id="{32551B22-D53C-C145-AF8F-18A7062CD991}">
            <x14:dataBar minLength="0" maxLength="100" border="1" negativeBarBorderColorSameAsPositive="0">
              <x14:cfvo type="autoMin"/>
              <x14:cfvo type="autoMax"/>
              <x14:borderColor rgb="FF638EC6"/>
              <x14:negativeFillColor rgb="FFFF0000"/>
              <x14:negativeBorderColor rgb="FFFF0000"/>
              <x14:axisColor rgb="FF000000"/>
            </x14:dataBar>
          </x14:cfRule>
          <xm:sqref>M214 M212 M210 M208 M206 M204 M202 M200 M198 M196 M194 M192</xm:sqref>
        </x14:conditionalFormatting>
        <x14:conditionalFormatting xmlns:xm="http://schemas.microsoft.com/office/excel/2006/main">
          <x14:cfRule type="dataBar" id="{E20A5625-8A5E-5E42-96D3-4DEF5C8ECEFB}">
            <x14:dataBar minLength="0" maxLength="100" border="1" negativeBarBorderColorSameAsPositive="0">
              <x14:cfvo type="autoMin"/>
              <x14:cfvo type="autoMax"/>
              <x14:borderColor rgb="FF638EC6"/>
              <x14:negativeFillColor rgb="FFFF0000"/>
              <x14:negativeBorderColor rgb="FFFF0000"/>
              <x14:axisColor rgb="FF000000"/>
            </x14:dataBar>
          </x14:cfRule>
          <xm:sqref>N215 N213 N211 N209 N207 N205 N203 N201 N199 N197 N195 N193 N191</xm:sqref>
        </x14:conditionalFormatting>
        <x14:conditionalFormatting xmlns:xm="http://schemas.microsoft.com/office/excel/2006/main">
          <x14:cfRule type="dataBar" id="{7DFAF82A-7F4A-D943-A5AC-3FE2DFB3E10B}">
            <x14:dataBar minLength="0" maxLength="100" border="1" negativeBarBorderColorSameAsPositive="0">
              <x14:cfvo type="autoMin"/>
              <x14:cfvo type="autoMax"/>
              <x14:borderColor rgb="FF638EC6"/>
              <x14:negativeFillColor rgb="FFFF0000"/>
              <x14:negativeBorderColor rgb="FFFF0000"/>
              <x14:axisColor rgb="FF000000"/>
            </x14:dataBar>
          </x14:cfRule>
          <xm:sqref>O216 O214 O212 O210 O208 O206 O204 O202 O200 O198 O196 O194 O192 O190</xm:sqref>
        </x14:conditionalFormatting>
        <x14:conditionalFormatting xmlns:xm="http://schemas.microsoft.com/office/excel/2006/main">
          <x14:cfRule type="dataBar" id="{1BD595B7-E506-E14E-8B18-5745A7260804}">
            <x14:dataBar minLength="0" maxLength="100" border="1" negativeBarBorderColorSameAsPositive="0">
              <x14:cfvo type="autoMin"/>
              <x14:cfvo type="autoMax"/>
              <x14:borderColor rgb="FF638EC6"/>
              <x14:negativeFillColor rgb="FFFF0000"/>
              <x14:negativeBorderColor rgb="FFFF0000"/>
              <x14:axisColor rgb="FF000000"/>
            </x14:dataBar>
          </x14:cfRule>
          <xm:sqref>Q188</xm:sqref>
        </x14:conditionalFormatting>
        <x14:conditionalFormatting xmlns:xm="http://schemas.microsoft.com/office/excel/2006/main">
          <x14:cfRule type="dataBar" id="{3DD9A5F3-218A-734E-B939-99E9D17B677F}">
            <x14:dataBar minLength="0" maxLength="100" border="1" negativeBarBorderColorSameAsPositive="0">
              <x14:cfvo type="autoMin"/>
              <x14:cfvo type="autoMax"/>
              <x14:borderColor rgb="FF638EC6"/>
              <x14:negativeFillColor rgb="FFFF0000"/>
              <x14:negativeBorderColor rgb="FFFF0000"/>
              <x14:axisColor rgb="FF000000"/>
            </x14:dataBar>
          </x14:cfRule>
          <xm:sqref>Q190</xm:sqref>
        </x14:conditionalFormatting>
        <x14:conditionalFormatting xmlns:xm="http://schemas.microsoft.com/office/excel/2006/main">
          <x14:cfRule type="dataBar" id="{FC9C8447-D3A0-E043-A7ED-E483C0EA94EA}">
            <x14:dataBar minLength="0" maxLength="100" border="1" negativeBarBorderColorSameAsPositive="0">
              <x14:cfvo type="autoMin"/>
              <x14:cfvo type="autoMax"/>
              <x14:borderColor rgb="FF638EC6"/>
              <x14:negativeFillColor rgb="FFFF0000"/>
              <x14:negativeBorderColor rgb="FFFF0000"/>
              <x14:axisColor rgb="FF000000"/>
            </x14:dataBar>
          </x14:cfRule>
          <xm:sqref>Q218 Q216 Q214 Q212 Q210 Q208</xm:sqref>
        </x14:conditionalFormatting>
        <x14:conditionalFormatting xmlns:xm="http://schemas.microsoft.com/office/excel/2006/main">
          <x14:cfRule type="dataBar" id="{F93A8B3C-2D1A-7445-B024-0A6E72238C25}">
            <x14:dataBar minLength="0" maxLength="100" border="1" negativeBarBorderColorSameAsPositive="0">
              <x14:cfvo type="autoMin"/>
              <x14:cfvo type="autoMax"/>
              <x14:borderColor rgb="FF638EC6"/>
              <x14:negativeFillColor rgb="FFFF0000"/>
              <x14:negativeBorderColor rgb="FFFF0000"/>
              <x14:axisColor rgb="FF000000"/>
            </x14:dataBar>
          </x14:cfRule>
          <xm:sqref>Q192</xm:sqref>
        </x14:conditionalFormatting>
        <x14:conditionalFormatting xmlns:xm="http://schemas.microsoft.com/office/excel/2006/main">
          <x14:cfRule type="dataBar" id="{A375E19C-EEC1-D54A-BC76-862ABC2C7E72}">
            <x14:dataBar minLength="0" maxLength="100" border="1" negativeBarBorderColorSameAsPositive="0">
              <x14:cfvo type="autoMin"/>
              <x14:cfvo type="autoMax"/>
              <x14:borderColor rgb="FF638EC6"/>
              <x14:negativeFillColor rgb="FFFF0000"/>
              <x14:negativeBorderColor rgb="FFFF0000"/>
              <x14:axisColor rgb="FF000000"/>
            </x14:dataBar>
          </x14:cfRule>
          <xm:sqref>Q194</xm:sqref>
        </x14:conditionalFormatting>
        <x14:conditionalFormatting xmlns:xm="http://schemas.microsoft.com/office/excel/2006/main">
          <x14:cfRule type="dataBar" id="{B8EA3246-297C-684D-AD76-8E51564C5B46}">
            <x14:dataBar minLength="0" maxLength="100" border="1" negativeBarBorderColorSameAsPositive="0">
              <x14:cfvo type="autoMin"/>
              <x14:cfvo type="autoMax"/>
              <x14:borderColor rgb="FF638EC6"/>
              <x14:negativeFillColor rgb="FFFF0000"/>
              <x14:negativeBorderColor rgb="FFFF0000"/>
              <x14:axisColor rgb="FF000000"/>
            </x14:dataBar>
          </x14:cfRule>
          <xm:sqref>Q196</xm:sqref>
        </x14:conditionalFormatting>
        <x14:conditionalFormatting xmlns:xm="http://schemas.microsoft.com/office/excel/2006/main">
          <x14:cfRule type="dataBar" id="{5F90F178-2512-9744-AC27-D8B538A8E129}">
            <x14:dataBar minLength="0" maxLength="100" border="1" negativeBarBorderColorSameAsPositive="0">
              <x14:cfvo type="autoMin"/>
              <x14:cfvo type="autoMax"/>
              <x14:borderColor rgb="FF638EC6"/>
              <x14:negativeFillColor rgb="FFFF0000"/>
              <x14:negativeBorderColor rgb="FFFF0000"/>
              <x14:axisColor rgb="FF000000"/>
            </x14:dataBar>
          </x14:cfRule>
          <xm:sqref>Q198</xm:sqref>
        </x14:conditionalFormatting>
        <x14:conditionalFormatting xmlns:xm="http://schemas.microsoft.com/office/excel/2006/main">
          <x14:cfRule type="dataBar" id="{E3C2F068-65AE-E147-8862-1B4E1E63E94F}">
            <x14:dataBar minLength="0" maxLength="100" border="1" negativeBarBorderColorSameAsPositive="0">
              <x14:cfvo type="autoMin"/>
              <x14:cfvo type="autoMax"/>
              <x14:borderColor rgb="FF638EC6"/>
              <x14:negativeFillColor rgb="FFFF0000"/>
              <x14:negativeBorderColor rgb="FFFF0000"/>
              <x14:axisColor rgb="FF000000"/>
            </x14:dataBar>
          </x14:cfRule>
          <xm:sqref>Q200</xm:sqref>
        </x14:conditionalFormatting>
        <x14:conditionalFormatting xmlns:xm="http://schemas.microsoft.com/office/excel/2006/main">
          <x14:cfRule type="dataBar" id="{637B1313-DC58-C449-9428-40AAD6943DE8}">
            <x14:dataBar minLength="0" maxLength="100" border="1" negativeBarBorderColorSameAsPositive="0">
              <x14:cfvo type="autoMin"/>
              <x14:cfvo type="autoMax"/>
              <x14:borderColor rgb="FF638EC6"/>
              <x14:negativeFillColor rgb="FFFF0000"/>
              <x14:negativeBorderColor rgb="FFFF0000"/>
              <x14:axisColor rgb="FF000000"/>
            </x14:dataBar>
          </x14:cfRule>
          <xm:sqref>Q202</xm:sqref>
        </x14:conditionalFormatting>
        <x14:conditionalFormatting xmlns:xm="http://schemas.microsoft.com/office/excel/2006/main">
          <x14:cfRule type="dataBar" id="{2F7BED77-CE1F-E243-9ED8-C3E862491B46}">
            <x14:dataBar minLength="0" maxLength="100" border="1" negativeBarBorderColorSameAsPositive="0">
              <x14:cfvo type="autoMin"/>
              <x14:cfvo type="autoMax"/>
              <x14:borderColor rgb="FF638EC6"/>
              <x14:negativeFillColor rgb="FFFF0000"/>
              <x14:negativeBorderColor rgb="FFFF0000"/>
              <x14:axisColor rgb="FF000000"/>
            </x14:dataBar>
          </x14:cfRule>
          <xm:sqref>Q204</xm:sqref>
        </x14:conditionalFormatting>
        <x14:conditionalFormatting xmlns:xm="http://schemas.microsoft.com/office/excel/2006/main">
          <x14:cfRule type="dataBar" id="{B6E36FAC-90D8-6D4D-8D9A-066F3ABE9524}">
            <x14:dataBar minLength="0" maxLength="100" border="1" negativeBarBorderColorSameAsPositive="0">
              <x14:cfvo type="autoMin"/>
              <x14:cfvo type="autoMax"/>
              <x14:borderColor rgb="FF638EC6"/>
              <x14:negativeFillColor rgb="FFFF0000"/>
              <x14:negativeBorderColor rgb="FFFF0000"/>
              <x14:axisColor rgb="FF000000"/>
            </x14:dataBar>
          </x14:cfRule>
          <xm:sqref>Q206</xm:sqref>
        </x14:conditionalFormatting>
        <x14:conditionalFormatting xmlns:xm="http://schemas.microsoft.com/office/excel/2006/main">
          <x14:cfRule type="dataBar" id="{2490B675-FBBE-6B4E-9687-F8BCBECDBB23}">
            <x14:dataBar minLength="0" maxLength="100" border="1" negativeBarBorderColorSameAsPositive="0">
              <x14:cfvo type="autoMin"/>
              <x14:cfvo type="autoMax"/>
              <x14:borderColor rgb="FF638EC6"/>
              <x14:negativeFillColor rgb="FFFF0000"/>
              <x14:negativeBorderColor rgb="FFFF0000"/>
              <x14:axisColor rgb="FF000000"/>
            </x14:dataBar>
          </x14:cfRule>
          <xm:sqref>L213 L211 L209 L207 L205 L203 L201 L199 L197 L195 L193</xm:sqref>
        </x14:conditionalFormatting>
        <x14:conditionalFormatting xmlns:xm="http://schemas.microsoft.com/office/excel/2006/main">
          <x14:cfRule type="dataBar" id="{4AE37A81-EFF8-BC41-977F-D029B00A6E24}">
            <x14:dataBar minLength="0" maxLength="100" border="1" negativeBarBorderColorSameAsPositive="0">
              <x14:cfvo type="autoMin"/>
              <x14:cfvo type="autoMax"/>
              <x14:borderColor rgb="FF638EC6"/>
              <x14:negativeFillColor rgb="FFFF0000"/>
              <x14:negativeBorderColor rgb="FFFF0000"/>
              <x14:axisColor rgb="FF000000"/>
            </x14:dataBar>
          </x14:cfRule>
          <xm:sqref>P217 P215 P213 P211 P209 P207 P205 P203 P201 P199 P197 P195 P193 P191 P189</xm:sqref>
        </x14:conditionalFormatting>
        <x14:conditionalFormatting xmlns:xm="http://schemas.microsoft.com/office/excel/2006/main">
          <x14:cfRule type="dataBar" id="{78AE59A8-103D-8E4B-BCAB-B92E67910CB3}">
            <x14:dataBar minLength="0" maxLength="100" border="1" negativeBarBorderColorSameAsPositive="0">
              <x14:cfvo type="autoMin"/>
              <x14:cfvo type="autoMax"/>
              <x14:borderColor rgb="FF638EC6"/>
              <x14:negativeFillColor rgb="FFFF0000"/>
              <x14:negativeBorderColor rgb="FFFF0000"/>
              <x14:axisColor rgb="FF000000"/>
            </x14:dataBar>
          </x14:cfRule>
          <xm:sqref>R189</xm:sqref>
        </x14:conditionalFormatting>
        <x14:conditionalFormatting xmlns:xm="http://schemas.microsoft.com/office/excel/2006/main">
          <x14:cfRule type="dataBar" id="{67566EDC-F63A-C044-9E0C-509D9744254A}">
            <x14:dataBar minLength="0" maxLength="100" border="1" negativeBarBorderColorSameAsPositive="0">
              <x14:cfvo type="autoMin"/>
              <x14:cfvo type="autoMax"/>
              <x14:borderColor rgb="FF638EC6"/>
              <x14:negativeFillColor rgb="FFFF0000"/>
              <x14:negativeBorderColor rgb="FFFF0000"/>
              <x14:axisColor rgb="FF000000"/>
            </x14:dataBar>
          </x14:cfRule>
          <xm:sqref>R187</xm:sqref>
        </x14:conditionalFormatting>
        <x14:conditionalFormatting xmlns:xm="http://schemas.microsoft.com/office/excel/2006/main">
          <x14:cfRule type="dataBar" id="{D14F8540-027D-6B46-A548-E9DD5C0F5433}">
            <x14:dataBar minLength="0" maxLength="100" border="1" negativeBarBorderColorSameAsPositive="0">
              <x14:cfvo type="autoMin"/>
              <x14:cfvo type="autoMax"/>
              <x14:borderColor rgb="FF638EC6"/>
              <x14:negativeFillColor rgb="FFFF0000"/>
              <x14:negativeBorderColor rgb="FFFF0000"/>
              <x14:axisColor rgb="FF000000"/>
            </x14:dataBar>
          </x14:cfRule>
          <xm:sqref>R219 R217 R215 R213 R211 R209 R207 R205 R203 R201 R199 R197 R195 R193 R191</xm:sqref>
        </x14:conditionalFormatting>
        <x14:conditionalFormatting xmlns:xm="http://schemas.microsoft.com/office/excel/2006/main">
          <x14:cfRule type="dataBar" id="{6A28CBD1-D3A4-3D45-B759-0D69DE8F058E}">
            <x14:dataBar minLength="0" maxLength="100" border="1" negativeBarBorderColorSameAsPositive="0">
              <x14:cfvo type="autoMin"/>
              <x14:cfvo type="autoMax"/>
              <x14:borderColor rgb="FF638EC6"/>
              <x14:negativeFillColor rgb="FFFF0000"/>
              <x14:negativeBorderColor rgb="FFFF0000"/>
              <x14:axisColor rgb="FF000000"/>
            </x14:dataBar>
          </x14:cfRule>
          <xm:sqref>S186</xm:sqref>
        </x14:conditionalFormatting>
        <x14:conditionalFormatting xmlns:xm="http://schemas.microsoft.com/office/excel/2006/main">
          <x14:cfRule type="dataBar" id="{A9F2FEAC-D361-494B-A504-4A20BB734653}">
            <x14:dataBar minLength="0" maxLength="100" border="1" negativeBarBorderColorSameAsPositive="0">
              <x14:cfvo type="autoMin"/>
              <x14:cfvo type="autoMax"/>
              <x14:borderColor rgb="FF638EC6"/>
              <x14:negativeFillColor rgb="FFFF0000"/>
              <x14:negativeBorderColor rgb="FFFF0000"/>
              <x14:axisColor rgb="FF000000"/>
            </x14:dataBar>
          </x14:cfRule>
          <xm:sqref>Q186</xm:sqref>
        </x14:conditionalFormatting>
        <x14:conditionalFormatting xmlns:xm="http://schemas.microsoft.com/office/excel/2006/main">
          <x14:cfRule type="dataBar" id="{CCD65C03-5067-4F4B-9D1D-331498B91B49}">
            <x14:dataBar minLength="0" maxLength="100" border="1" negativeBarBorderColorSameAsPositive="0">
              <x14:cfvo type="autoMin"/>
              <x14:cfvo type="autoMax"/>
              <x14:borderColor rgb="FF638EC6"/>
              <x14:negativeFillColor rgb="FFFF0000"/>
              <x14:negativeBorderColor rgb="FFFF0000"/>
              <x14:axisColor rgb="FF000000"/>
            </x14:dataBar>
          </x14:cfRule>
          <xm:sqref>S188</xm:sqref>
        </x14:conditionalFormatting>
        <x14:conditionalFormatting xmlns:xm="http://schemas.microsoft.com/office/excel/2006/main">
          <x14:cfRule type="dataBar" id="{B12894E2-CE12-6641-AAC4-E1C037F007B2}">
            <x14:dataBar minLength="0" maxLength="100" border="1" negativeBarBorderColorSameAsPositive="0">
              <x14:cfvo type="autoMin"/>
              <x14:cfvo type="autoMax"/>
              <x14:borderColor rgb="FF638EC6"/>
              <x14:negativeFillColor rgb="FFFF0000"/>
              <x14:negativeBorderColor rgb="FFFF0000"/>
              <x14:axisColor rgb="FF000000"/>
            </x14:dataBar>
          </x14:cfRule>
          <xm:sqref>S190</xm:sqref>
        </x14:conditionalFormatting>
        <x14:conditionalFormatting xmlns:xm="http://schemas.microsoft.com/office/excel/2006/main">
          <x14:cfRule type="dataBar" id="{10167DDE-F52A-B245-9DAC-09C7B8B3A9BC}">
            <x14:dataBar minLength="0" maxLength="100" border="1" negativeBarBorderColorSameAsPositive="0">
              <x14:cfvo type="autoMin"/>
              <x14:cfvo type="autoMax"/>
              <x14:borderColor rgb="FF638EC6"/>
              <x14:negativeFillColor rgb="FFFF0000"/>
              <x14:negativeBorderColor rgb="FFFF0000"/>
              <x14:axisColor rgb="FF000000"/>
            </x14:dataBar>
          </x14:cfRule>
          <xm:sqref>S192</xm:sqref>
        </x14:conditionalFormatting>
        <x14:conditionalFormatting xmlns:xm="http://schemas.microsoft.com/office/excel/2006/main">
          <x14:cfRule type="dataBar" id="{2CC72267-0747-5645-874C-24FB068F5279}">
            <x14:dataBar minLength="0" maxLength="100" border="1" negativeBarBorderColorSameAsPositive="0">
              <x14:cfvo type="autoMin"/>
              <x14:cfvo type="autoMax"/>
              <x14:borderColor rgb="FF638EC6"/>
              <x14:negativeFillColor rgb="FFFF0000"/>
              <x14:negativeBorderColor rgb="FFFF0000"/>
              <x14:axisColor rgb="FF000000"/>
            </x14:dataBar>
          </x14:cfRule>
          <xm:sqref>S194</xm:sqref>
        </x14:conditionalFormatting>
        <x14:conditionalFormatting xmlns:xm="http://schemas.microsoft.com/office/excel/2006/main">
          <x14:cfRule type="dataBar" id="{3ED694B0-E14C-2645-8231-8EE332F848F2}">
            <x14:dataBar minLength="0" maxLength="100" border="1" negativeBarBorderColorSameAsPositive="0">
              <x14:cfvo type="autoMin"/>
              <x14:cfvo type="autoMax"/>
              <x14:borderColor rgb="FF638EC6"/>
              <x14:negativeFillColor rgb="FFFF0000"/>
              <x14:negativeBorderColor rgb="FFFF0000"/>
              <x14:axisColor rgb="FF000000"/>
            </x14:dataBar>
          </x14:cfRule>
          <xm:sqref>S220 S218 S216 S214 S212 S210 S208 S206 S204 S202 S200 S198 S196</xm:sqref>
        </x14:conditionalFormatting>
        <x14:conditionalFormatting xmlns:xm="http://schemas.microsoft.com/office/excel/2006/main">
          <x14:cfRule type="dataBar" id="{78F48E0C-AEFF-364F-9DDA-6B5ACA1F98BC}">
            <x14:dataBar minLength="0" maxLength="100" border="1" negativeBarBorderColorSameAsPositive="0">
              <x14:cfvo type="autoMin"/>
              <x14:cfvo type="autoMax"/>
              <x14:borderColor rgb="FF638EC6"/>
              <x14:negativeFillColor rgb="FFFF0000"/>
              <x14:negativeBorderColor rgb="FFFF0000"/>
              <x14:axisColor rgb="FF000000"/>
            </x14:dataBar>
          </x14:cfRule>
          <xm:sqref>T185</xm:sqref>
        </x14:conditionalFormatting>
        <x14:conditionalFormatting xmlns:xm="http://schemas.microsoft.com/office/excel/2006/main">
          <x14:cfRule type="dataBar" id="{4D833FBF-531F-DA44-B432-535FF0A6469C}">
            <x14:dataBar minLength="0" maxLength="100" border="1" negativeBarBorderColorSameAsPositive="0">
              <x14:cfvo type="autoMin"/>
              <x14:cfvo type="autoMax"/>
              <x14:borderColor rgb="FF638EC6"/>
              <x14:negativeFillColor rgb="FFFF0000"/>
              <x14:negativeBorderColor rgb="FFFF0000"/>
              <x14:axisColor rgb="FF000000"/>
            </x14:dataBar>
          </x14:cfRule>
          <xm:sqref>T187</xm:sqref>
        </x14:conditionalFormatting>
        <x14:conditionalFormatting xmlns:xm="http://schemas.microsoft.com/office/excel/2006/main">
          <x14:cfRule type="dataBar" id="{4D092CB0-EA98-B943-AAA0-181CEDB8F1D5}">
            <x14:dataBar minLength="0" maxLength="100" border="1" negativeBarBorderColorSameAsPositive="0">
              <x14:cfvo type="autoMin"/>
              <x14:cfvo type="autoMax"/>
              <x14:borderColor rgb="FF638EC6"/>
              <x14:negativeFillColor rgb="FFFF0000"/>
              <x14:negativeBorderColor rgb="FFFF0000"/>
              <x14:axisColor rgb="FF000000"/>
            </x14:dataBar>
          </x14:cfRule>
          <xm:sqref>T189</xm:sqref>
        </x14:conditionalFormatting>
        <x14:conditionalFormatting xmlns:xm="http://schemas.microsoft.com/office/excel/2006/main">
          <x14:cfRule type="dataBar" id="{0BDE3227-C32E-E949-80DB-F284892D7853}">
            <x14:dataBar minLength="0" maxLength="100" border="1" negativeBarBorderColorSameAsPositive="0">
              <x14:cfvo type="autoMin"/>
              <x14:cfvo type="autoMax"/>
              <x14:borderColor rgb="FF638EC6"/>
              <x14:negativeFillColor rgb="FFFF0000"/>
              <x14:negativeBorderColor rgb="FFFF0000"/>
              <x14:axisColor rgb="FF000000"/>
            </x14:dataBar>
          </x14:cfRule>
          <xm:sqref>T191</xm:sqref>
        </x14:conditionalFormatting>
        <x14:conditionalFormatting xmlns:xm="http://schemas.microsoft.com/office/excel/2006/main">
          <x14:cfRule type="dataBar" id="{F7F41027-A437-DD4B-A1C1-831D18B56889}">
            <x14:dataBar minLength="0" maxLength="100" border="1" negativeBarBorderColorSameAsPositive="0">
              <x14:cfvo type="autoMin"/>
              <x14:cfvo type="autoMax"/>
              <x14:borderColor rgb="FF638EC6"/>
              <x14:negativeFillColor rgb="FFFF0000"/>
              <x14:negativeBorderColor rgb="FFFF0000"/>
              <x14:axisColor rgb="FF000000"/>
            </x14:dataBar>
          </x14:cfRule>
          <xm:sqref>T193</xm:sqref>
        </x14:conditionalFormatting>
        <x14:conditionalFormatting xmlns:xm="http://schemas.microsoft.com/office/excel/2006/main">
          <x14:cfRule type="dataBar" id="{E28B14E5-B470-5D47-B568-976435DD0128}">
            <x14:dataBar minLength="0" maxLength="100" border="1" negativeBarBorderColorSameAsPositive="0">
              <x14:cfvo type="autoMin"/>
              <x14:cfvo type="autoMax"/>
              <x14:borderColor rgb="FF638EC6"/>
              <x14:negativeFillColor rgb="FFFF0000"/>
              <x14:negativeBorderColor rgb="FFFF0000"/>
              <x14:axisColor rgb="FF000000"/>
            </x14:dataBar>
          </x14:cfRule>
          <xm:sqref>T195</xm:sqref>
        </x14:conditionalFormatting>
        <x14:conditionalFormatting xmlns:xm="http://schemas.microsoft.com/office/excel/2006/main">
          <x14:cfRule type="dataBar" id="{8E33FCB4-F6C7-6247-BB5C-8A013A4290C5}">
            <x14:dataBar minLength="0" maxLength="100" border="1" negativeBarBorderColorSameAsPositive="0">
              <x14:cfvo type="autoMin"/>
              <x14:cfvo type="autoMax"/>
              <x14:borderColor rgb="FF638EC6"/>
              <x14:negativeFillColor rgb="FFFF0000"/>
              <x14:negativeBorderColor rgb="FFFF0000"/>
              <x14:axisColor rgb="FF000000"/>
            </x14:dataBar>
          </x14:cfRule>
          <xm:sqref>T219 T221 T217 T215 T213 T211 T209 T207 T205 T203 T201 T199 T197</xm:sqref>
        </x14:conditionalFormatting>
        <x14:conditionalFormatting xmlns:xm="http://schemas.microsoft.com/office/excel/2006/main">
          <x14:cfRule type="dataBar" id="{2B73DAC0-E90B-A145-94B7-B7CB8CFC0122}">
            <x14:dataBar minLength="0" maxLength="100" border="1" negativeBarBorderColorSameAsPositive="0">
              <x14:cfvo type="autoMin"/>
              <x14:cfvo type="autoMax"/>
              <x14:borderColor rgb="FF638EC6"/>
              <x14:negativeFillColor rgb="FFFF0000"/>
              <x14:negativeBorderColor rgb="FFFF0000"/>
              <x14:axisColor rgb="FF000000"/>
            </x14:dataBar>
          </x14:cfRule>
          <xm:sqref>U220 U222 U218 U216 U214 U212 U210 U208 U206 U204 U202 U200 U198 U196 U194 U192 U190 U188 U186 U184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D1572-A847-FC4D-BC1A-C7C0A8D0F8EB}">
  <sheetPr codeName="Sheet2"/>
  <dimension ref="A1:AE135"/>
  <sheetViews>
    <sheetView zoomScale="75" workbookViewId="0">
      <selection activeCell="L86" sqref="L86"/>
    </sheetView>
  </sheetViews>
  <sheetFormatPr baseColWidth="10" defaultColWidth="10.69921875" defaultRowHeight="13.8"/>
  <cols>
    <col min="1" max="31" width="12.796875" customWidth="1"/>
  </cols>
  <sheetData>
    <row r="1" spans="1:31">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row>
    <row r="2" spans="1:31">
      <c r="AE2">
        <v>136.6715639167974</v>
      </c>
    </row>
    <row r="3" spans="1:31">
      <c r="AD3">
        <v>135.25569445161176</v>
      </c>
    </row>
    <row r="4" spans="1:31">
      <c r="AC4">
        <v>133.85449289747496</v>
      </c>
      <c r="AE4">
        <v>133.83982471570263</v>
      </c>
    </row>
    <row r="5" spans="1:31">
      <c r="AB5">
        <v>132.46780729997334</v>
      </c>
      <c r="AD5">
        <v>132.45329107541932</v>
      </c>
    </row>
    <row r="6" spans="1:31">
      <c r="AA6">
        <v>131.0954872788875</v>
      </c>
      <c r="AC6">
        <v>131.08112143732839</v>
      </c>
      <c r="AE6">
        <v>131.06675717002179</v>
      </c>
    </row>
    <row r="7" spans="1:31">
      <c r="Z7">
        <v>129.73738401188447</v>
      </c>
      <c r="AB7">
        <v>129.72316699540514</v>
      </c>
      <c r="AD7">
        <v>129.70895153686968</v>
      </c>
    </row>
    <row r="8" spans="1:31">
      <c r="Y8">
        <v>128.3933502183784</v>
      </c>
      <c r="AA8">
        <v>128.37928048520325</v>
      </c>
      <c r="AC8">
        <v>128.3652122938322</v>
      </c>
      <c r="AE8">
        <v>128.35114564409625</v>
      </c>
    </row>
    <row r="9" spans="1:31">
      <c r="X9">
        <v>127.06324014355874</v>
      </c>
      <c r="Z9">
        <v>127.04931616788437</v>
      </c>
      <c r="AB9">
        <v>127.03539371804155</v>
      </c>
      <c r="AD9">
        <v>127.02147279386305</v>
      </c>
    </row>
    <row r="10" spans="1:31">
      <c r="W10">
        <v>125.74690954258352</v>
      </c>
      <c r="Y10">
        <v>125.73312981441337</v>
      </c>
      <c r="AA10">
        <v>125.71935159626766</v>
      </c>
      <c r="AC10">
        <v>125.70557488798094</v>
      </c>
      <c r="AE10">
        <v>125.69179968938776</v>
      </c>
    </row>
    <row r="11" spans="1:31">
      <c r="V11">
        <v>124.44421566493685</v>
      </c>
      <c r="X11">
        <v>124.43057868991734</v>
      </c>
      <c r="Z11">
        <v>124.41694320927897</v>
      </c>
      <c r="AB11">
        <v>124.40330922285797</v>
      </c>
      <c r="AD11">
        <v>124.38967673049062</v>
      </c>
    </row>
    <row r="12" spans="1:31">
      <c r="U12">
        <v>123.15501723894802</v>
      </c>
      <c r="W12">
        <v>123.14152153820662</v>
      </c>
      <c r="Y12">
        <v>123.12802731636506</v>
      </c>
      <c r="AA12">
        <v>123.11453457326132</v>
      </c>
      <c r="AC12">
        <v>123.10104330873334</v>
      </c>
      <c r="AE12">
        <v>123.0875535226191</v>
      </c>
    </row>
    <row r="13" spans="1:31">
      <c r="T13">
        <v>121.87917445647136</v>
      </c>
      <c r="V13">
        <v>121.86581856645607</v>
      </c>
      <c r="X13">
        <v>121.85246414001976</v>
      </c>
      <c r="Z13">
        <v>121.83911117700205</v>
      </c>
      <c r="AB13">
        <v>121.82575967724257</v>
      </c>
      <c r="AD13">
        <v>121.81240964058098</v>
      </c>
    </row>
    <row r="14" spans="1:31">
      <c r="S14">
        <v>120.61654895772453</v>
      </c>
      <c r="U14">
        <v>120.60333143004527</v>
      </c>
      <c r="W14">
        <v>120.59011535078284</v>
      </c>
      <c r="Y14">
        <v>120.57690071977849</v>
      </c>
      <c r="AA14">
        <v>120.56368753687353</v>
      </c>
      <c r="AC14">
        <v>120.55047580190929</v>
      </c>
      <c r="AE14">
        <v>120.53726551472707</v>
      </c>
    </row>
    <row r="15" spans="1:31">
      <c r="R15">
        <v>119.36700381628398</v>
      </c>
      <c r="T15">
        <v>119.35392321755549</v>
      </c>
      <c r="V15">
        <v>119.34084405223872</v>
      </c>
      <c r="X15">
        <v>119.32776632017661</v>
      </c>
      <c r="Z15">
        <v>119.31469002121207</v>
      </c>
      <c r="AB15">
        <v>119.30161515518809</v>
      </c>
      <c r="AD15">
        <v>119.28854172194764</v>
      </c>
    </row>
    <row r="16" spans="1:31">
      <c r="Q16">
        <v>118.13040352423589</v>
      </c>
      <c r="S16">
        <v>118.11745843592227</v>
      </c>
      <c r="U16">
        <v>118.10451476617072</v>
      </c>
      <c r="W16">
        <v>118.0915725148258</v>
      </c>
      <c r="Y16">
        <v>118.07863168173209</v>
      </c>
      <c r="AA16">
        <v>118.06569226673416</v>
      </c>
      <c r="AC16">
        <v>118.05275426967661</v>
      </c>
      <c r="AE16">
        <v>118.03981769040408</v>
      </c>
    </row>
    <row r="17" spans="1:31">
      <c r="P17">
        <v>116.90661397748094</v>
      </c>
      <c r="R17">
        <v>116.89380299574179</v>
      </c>
      <c r="T17">
        <v>116.88099341786895</v>
      </c>
      <c r="V17">
        <v>116.86818524370852</v>
      </c>
      <c r="X17">
        <v>116.85537847310671</v>
      </c>
      <c r="Z17">
        <v>116.84257310590971</v>
      </c>
      <c r="AB17">
        <v>116.82976914196374</v>
      </c>
      <c r="AD17">
        <v>116.816966581115</v>
      </c>
    </row>
    <row r="18" spans="1:31">
      <c r="O18">
        <v>115.69550246119118</v>
      </c>
      <c r="Q18">
        <v>115.68282419672947</v>
      </c>
      <c r="S18">
        <v>115.67014732159045</v>
      </c>
      <c r="U18">
        <v>115.65747183562193</v>
      </c>
      <c r="W18">
        <v>115.64479773867164</v>
      </c>
      <c r="Y18">
        <v>115.63212503058736</v>
      </c>
      <c r="AA18">
        <v>115.61945371121693</v>
      </c>
      <c r="AC18">
        <v>115.60678378040815</v>
      </c>
      <c r="AE18">
        <v>115.59411523800884</v>
      </c>
    </row>
    <row r="19" spans="1:31">
      <c r="N19">
        <v>114.49693763541779</v>
      </c>
      <c r="P19">
        <v>114.48439071332902</v>
      </c>
      <c r="R19">
        <v>114.47184516617011</v>
      </c>
      <c r="T19">
        <v>114.45930099379032</v>
      </c>
      <c r="V19">
        <v>114.44675819603906</v>
      </c>
      <c r="X19">
        <v>114.43421677276564</v>
      </c>
      <c r="Z19">
        <v>114.42167672381947</v>
      </c>
      <c r="AB19">
        <v>114.40913804904993</v>
      </c>
      <c r="AD19">
        <v>114.39660074830645</v>
      </c>
    </row>
    <row r="20" spans="1:31">
      <c r="M20">
        <v>113.31078952084768</v>
      </c>
      <c r="O20">
        <v>113.298372580471</v>
      </c>
      <c r="Q20">
        <v>113.28595700078031</v>
      </c>
      <c r="S20">
        <v>113.27354278162659</v>
      </c>
      <c r="U20">
        <v>113.26112992286066</v>
      </c>
      <c r="W20">
        <v>113.24871842433352</v>
      </c>
      <c r="Y20">
        <v>113.23630828589607</v>
      </c>
      <c r="AA20">
        <v>113.22389950739925</v>
      </c>
      <c r="AC20">
        <v>113.21149208869407</v>
      </c>
      <c r="AE20">
        <v>113.1990860296315</v>
      </c>
    </row>
    <row r="21" spans="1:31">
      <c r="L21">
        <v>112.13692948470792</v>
      </c>
      <c r="N21">
        <v>112.12464117947833</v>
      </c>
      <c r="P21">
        <v>112.11235422083857</v>
      </c>
      <c r="R21">
        <v>112.100068608641</v>
      </c>
      <c r="T21">
        <v>112.08778434273816</v>
      </c>
      <c r="V21">
        <v>112.07550142298246</v>
      </c>
      <c r="X21">
        <v>112.06321984922641</v>
      </c>
      <c r="Z21">
        <v>112.0509396213225</v>
      </c>
      <c r="AB21">
        <v>112.03866073912324</v>
      </c>
      <c r="AD21">
        <v>112.02638320248118</v>
      </c>
    </row>
    <row r="22" spans="1:31">
      <c r="K22">
        <v>110.97523022681595</v>
      </c>
      <c r="M22">
        <v>110.96306922411848</v>
      </c>
      <c r="O22">
        <v>110.9509095540606</v>
      </c>
      <c r="Q22">
        <v>110.93875121649631</v>
      </c>
      <c r="S22">
        <v>110.92659421127954</v>
      </c>
      <c r="U22">
        <v>110.91443853826432</v>
      </c>
      <c r="W22">
        <v>110.90228419730468</v>
      </c>
      <c r="Y22">
        <v>110.89013118825461</v>
      </c>
      <c r="AA22">
        <v>110.87797951096819</v>
      </c>
      <c r="AC22">
        <v>110.86582916529943</v>
      </c>
      <c r="AE22">
        <v>110.85368015110248</v>
      </c>
    </row>
    <row r="23" spans="1:31">
      <c r="J23">
        <v>109.82556576577447</v>
      </c>
      <c r="L23">
        <v>109.81353074679953</v>
      </c>
      <c r="N23">
        <v>109.80149704665851</v>
      </c>
      <c r="P23">
        <v>109.78946466520688</v>
      </c>
      <c r="R23">
        <v>109.77743360230015</v>
      </c>
      <c r="T23">
        <v>109.76540385779381</v>
      </c>
      <c r="V23">
        <v>109.75337543154343</v>
      </c>
      <c r="X23">
        <v>109.74134832340449</v>
      </c>
      <c r="Z23">
        <v>109.7293225332326</v>
      </c>
      <c r="AB23">
        <v>109.71729806088331</v>
      </c>
      <c r="AD23">
        <v>109.70527490621221</v>
      </c>
    </row>
    <row r="24" spans="1:31">
      <c r="I24">
        <v>108.68781142530928</v>
      </c>
      <c r="K24">
        <v>108.67590108490968</v>
      </c>
      <c r="M24">
        <v>108.66399204968134</v>
      </c>
      <c r="O24">
        <v>108.65208431948126</v>
      </c>
      <c r="Q24">
        <v>108.64017789416638</v>
      </c>
      <c r="S24">
        <v>108.62827277359378</v>
      </c>
      <c r="U24">
        <v>108.6163689576204</v>
      </c>
      <c r="W24">
        <v>108.60446644610333</v>
      </c>
      <c r="Y24">
        <v>108.59256523889962</v>
      </c>
      <c r="AA24">
        <v>108.58066533586633</v>
      </c>
      <c r="AC24">
        <v>108.56876673686057</v>
      </c>
      <c r="AE24">
        <v>108.55686944173938</v>
      </c>
    </row>
    <row r="25" spans="1:31">
      <c r="H25">
        <v>107.56184382074862</v>
      </c>
      <c r="J25">
        <v>107.55005686729805</v>
      </c>
      <c r="L25">
        <v>107.53827120549764</v>
      </c>
      <c r="N25">
        <v>107.52648683520584</v>
      </c>
      <c r="P25">
        <v>107.51470375628112</v>
      </c>
      <c r="R25">
        <v>107.50292196858194</v>
      </c>
      <c r="T25">
        <v>107.49114147196687</v>
      </c>
      <c r="V25">
        <v>107.47936226629433</v>
      </c>
      <c r="X25">
        <v>107.46758435142296</v>
      </c>
      <c r="Z25">
        <v>107.45580772721125</v>
      </c>
      <c r="AB25">
        <v>107.4440323935178</v>
      </c>
      <c r="AD25">
        <v>107.43225835020115</v>
      </c>
    </row>
    <row r="26" spans="1:31">
      <c r="G26">
        <v>106.44754084564268</v>
      </c>
      <c r="I26">
        <v>106.43587600089565</v>
      </c>
      <c r="K26">
        <v>106.4242124344177</v>
      </c>
      <c r="M26">
        <v>106.4125501460688</v>
      </c>
      <c r="O26">
        <v>106.40088913570887</v>
      </c>
      <c r="Q26">
        <v>106.38922940319786</v>
      </c>
      <c r="S26">
        <v>106.37757094839573</v>
      </c>
      <c r="U26">
        <v>106.3659137711625</v>
      </c>
      <c r="W26">
        <v>106.3542578713581</v>
      </c>
      <c r="Y26">
        <v>106.34260324884264</v>
      </c>
      <c r="AA26">
        <v>106.33094990347608</v>
      </c>
      <c r="AC26">
        <v>106.3192978351185</v>
      </c>
      <c r="AE26">
        <v>106.30764704362997</v>
      </c>
    </row>
    <row r="27" spans="1:31">
      <c r="F27">
        <v>105.34478165852164</v>
      </c>
      <c r="H27">
        <v>105.33323765747475</v>
      </c>
      <c r="J27">
        <v>105.32169492145459</v>
      </c>
      <c r="L27">
        <v>105.31015345032249</v>
      </c>
      <c r="N27">
        <v>105.29861324393983</v>
      </c>
      <c r="P27">
        <v>105.28707430216802</v>
      </c>
      <c r="R27">
        <v>105.27553662486851</v>
      </c>
      <c r="T27">
        <v>105.26400021190268</v>
      </c>
      <c r="V27">
        <v>105.25246506313204</v>
      </c>
      <c r="X27">
        <v>105.24093117841798</v>
      </c>
      <c r="Z27">
        <v>105.22939855762209</v>
      </c>
      <c r="AB27">
        <v>105.21786720060577</v>
      </c>
      <c r="AD27">
        <v>105.20633710723058</v>
      </c>
    </row>
    <row r="28" spans="1:31">
      <c r="E28">
        <v>104.25344666979086</v>
      </c>
      <c r="G28">
        <v>104.24202226054585</v>
      </c>
      <c r="I28">
        <v>104.23059910322226</v>
      </c>
      <c r="K28">
        <v>104.21917719768297</v>
      </c>
      <c r="M28">
        <v>104.20775654379075</v>
      </c>
      <c r="O28">
        <v>104.19633714140846</v>
      </c>
      <c r="Q28">
        <v>104.18491899039897</v>
      </c>
      <c r="S28">
        <v>104.17350209062513</v>
      </c>
      <c r="U28">
        <v>104.16208644194984</v>
      </c>
      <c r="W28">
        <v>104.15067204423599</v>
      </c>
      <c r="Y28">
        <v>104.13925889734649</v>
      </c>
      <c r="AA28">
        <v>104.12784700114429</v>
      </c>
      <c r="AC28">
        <v>104.11643635549233</v>
      </c>
      <c r="AE28">
        <v>104.10502696025357</v>
      </c>
    </row>
    <row r="29" spans="1:31">
      <c r="D29">
        <v>103.17341752876207</v>
      </c>
      <c r="F29">
        <v>103.16211147238975</v>
      </c>
      <c r="H29">
        <v>103.15080665496944</v>
      </c>
      <c r="J29">
        <v>103.13950307636532</v>
      </c>
      <c r="L29">
        <v>103.12820073644168</v>
      </c>
      <c r="N29">
        <v>103.11689963506278</v>
      </c>
      <c r="P29">
        <v>103.10559977209287</v>
      </c>
      <c r="R29">
        <v>103.09430114739625</v>
      </c>
      <c r="T29">
        <v>103.08300376083726</v>
      </c>
      <c r="V29">
        <v>103.07170761228015</v>
      </c>
      <c r="X29">
        <v>103.06041270158934</v>
      </c>
      <c r="Z29">
        <v>103.04911902862909</v>
      </c>
      <c r="AB29">
        <v>103.03782659326387</v>
      </c>
      <c r="AD29">
        <v>103.02653539535797</v>
      </c>
    </row>
    <row r="30" spans="1:31">
      <c r="C30">
        <v>102.10457711081852</v>
      </c>
      <c r="E30">
        <v>102.09338818122468</v>
      </c>
      <c r="G30">
        <v>102.0822004777477</v>
      </c>
      <c r="I30">
        <v>102.07101400025327</v>
      </c>
      <c r="K30">
        <v>102.05982874860698</v>
      </c>
      <c r="M30">
        <v>102.04864472267454</v>
      </c>
      <c r="O30">
        <v>102.03746192232161</v>
      </c>
      <c r="Q30">
        <v>102.02628034741392</v>
      </c>
      <c r="S30">
        <v>102.01509999781715</v>
      </c>
      <c r="U30">
        <v>102.00392087339704</v>
      </c>
      <c r="W30">
        <v>101.99274297401932</v>
      </c>
      <c r="Y30">
        <v>101.98156629954975</v>
      </c>
      <c r="AA30">
        <v>101.97039084985411</v>
      </c>
      <c r="AC30">
        <v>101.95921662479819</v>
      </c>
      <c r="AE30">
        <v>101.94804362424777</v>
      </c>
    </row>
    <row r="31" spans="1:31">
      <c r="B31">
        <v>101.04680950471348</v>
      </c>
      <c r="D31">
        <v>101.03573648850575</v>
      </c>
      <c r="F31">
        <v>101.02466468571276</v>
      </c>
      <c r="H31">
        <v>101.01359409620153</v>
      </c>
      <c r="J31">
        <v>101.00252471983914</v>
      </c>
      <c r="L31">
        <v>100.99145655649259</v>
      </c>
      <c r="N31">
        <v>100.98038960602902</v>
      </c>
      <c r="P31">
        <v>100.96932386831546</v>
      </c>
      <c r="R31">
        <v>100.95825934321904</v>
      </c>
      <c r="T31">
        <v>100.94719603060689</v>
      </c>
      <c r="V31">
        <v>100.93613393034614</v>
      </c>
      <c r="X31">
        <v>100.92507304230391</v>
      </c>
      <c r="Z31">
        <v>100.91401336634739</v>
      </c>
      <c r="AB31">
        <v>100.90295490234371</v>
      </c>
      <c r="AD31">
        <v>100.89189765016012</v>
      </c>
    </row>
    <row r="32" spans="1:31">
      <c r="A32">
        <v>100</v>
      </c>
      <c r="C32">
        <v>99.989041696356381</v>
      </c>
      <c r="E32">
        <v>99.978084593556929</v>
      </c>
      <c r="G32">
        <v>99.967128691470094</v>
      </c>
      <c r="I32">
        <v>99.956173989964242</v>
      </c>
      <c r="K32">
        <v>99.945220488907879</v>
      </c>
      <c r="M32">
        <v>99.934268188169398</v>
      </c>
      <c r="O32">
        <v>99.923317087617306</v>
      </c>
      <c r="Q32">
        <v>99.912367187120054</v>
      </c>
      <c r="S32">
        <v>99.901418486546149</v>
      </c>
      <c r="U32">
        <v>99.890470985764111</v>
      </c>
      <c r="W32">
        <v>99.879524684642433</v>
      </c>
      <c r="Y32">
        <v>99.86857958304968</v>
      </c>
      <c r="AA32">
        <v>99.857635680854386</v>
      </c>
      <c r="AC32">
        <v>99.846692977925116</v>
      </c>
      <c r="AE32">
        <v>99.835751474130475</v>
      </c>
    </row>
    <row r="33" spans="2:31">
      <c r="B33">
        <v>98.953190295129744</v>
      </c>
      <c r="D33">
        <v>98.94234670407215</v>
      </c>
      <c r="F33">
        <v>98.931504301288186</v>
      </c>
      <c r="H33">
        <v>98.920663086647636</v>
      </c>
      <c r="J33">
        <v>98.909823060020301</v>
      </c>
      <c r="L33">
        <v>98.898984221276024</v>
      </c>
      <c r="N33">
        <v>98.888146570284562</v>
      </c>
      <c r="P33">
        <v>98.877310106915843</v>
      </c>
      <c r="R33">
        <v>98.866474831039667</v>
      </c>
      <c r="T33">
        <v>98.855640742525935</v>
      </c>
      <c r="V33">
        <v>98.844807841244517</v>
      </c>
      <c r="X33">
        <v>98.833976127065327</v>
      </c>
      <c r="Z33">
        <v>98.823145599858236</v>
      </c>
      <c r="AB33">
        <v>98.81231625949323</v>
      </c>
      <c r="AD33">
        <v>98.801488105840178</v>
      </c>
    </row>
    <row r="34" spans="2:31">
      <c r="C34">
        <v>97.917338695841593</v>
      </c>
      <c r="E34">
        <v>97.906608616547544</v>
      </c>
      <c r="G34">
        <v>97.895879713088163</v>
      </c>
      <c r="I34">
        <v>97.885151985334602</v>
      </c>
      <c r="K34">
        <v>97.874425433158009</v>
      </c>
      <c r="M34">
        <v>97.863700056429593</v>
      </c>
      <c r="O34">
        <v>97.852975855020503</v>
      </c>
      <c r="Q34">
        <v>97.842252828801989</v>
      </c>
      <c r="S34">
        <v>97.831530977645244</v>
      </c>
      <c r="U34">
        <v>97.820810301421488</v>
      </c>
      <c r="W34">
        <v>97.810090800002015</v>
      </c>
      <c r="Y34">
        <v>97.799372473258046</v>
      </c>
      <c r="AA34">
        <v>97.788655321060858</v>
      </c>
      <c r="AC34">
        <v>97.777939343281759</v>
      </c>
      <c r="AE34">
        <v>97.767224539792011</v>
      </c>
    </row>
    <row r="35" spans="2:31">
      <c r="D35">
        <v>96.892330491622843</v>
      </c>
      <c r="F35">
        <v>96.881712735840182</v>
      </c>
      <c r="H35">
        <v>96.871096143583443</v>
      </c>
      <c r="J35">
        <v>96.860480714725128</v>
      </c>
      <c r="L35">
        <v>96.849866449137707</v>
      </c>
      <c r="N35">
        <v>96.839253346693766</v>
      </c>
      <c r="P35">
        <v>96.828641407265792</v>
      </c>
      <c r="R35">
        <v>96.818030630726412</v>
      </c>
      <c r="T35">
        <v>96.807421016948098</v>
      </c>
      <c r="V35">
        <v>96.796812565803492</v>
      </c>
      <c r="X35">
        <v>96.78620527716518</v>
      </c>
      <c r="Z35">
        <v>96.775599150905776</v>
      </c>
      <c r="AB35">
        <v>96.764994186897866</v>
      </c>
      <c r="AD35">
        <v>96.754390385014119</v>
      </c>
    </row>
    <row r="36" spans="2:31">
      <c r="E36">
        <v>95.878052172761571</v>
      </c>
      <c r="G36">
        <v>95.867545564676888</v>
      </c>
      <c r="I36">
        <v>95.857040107938218</v>
      </c>
      <c r="K36">
        <v>95.846535802419396</v>
      </c>
      <c r="M36">
        <v>95.836032647994244</v>
      </c>
      <c r="O36">
        <v>95.825530644536684</v>
      </c>
      <c r="Q36">
        <v>95.815029791920523</v>
      </c>
      <c r="S36">
        <v>95.804530090019696</v>
      </c>
      <c r="U36">
        <v>95.794031538708083</v>
      </c>
      <c r="W36">
        <v>95.78353413785959</v>
      </c>
      <c r="Y36">
        <v>95.773037887348181</v>
      </c>
      <c r="AA36">
        <v>95.762542787047749</v>
      </c>
      <c r="AC36">
        <v>95.752048836832273</v>
      </c>
      <c r="AE36">
        <v>95.74155603657573</v>
      </c>
    </row>
    <row r="37" spans="2:31">
      <c r="F37">
        <v>94.874391417776536</v>
      </c>
      <c r="H37">
        <v>94.863994793884942</v>
      </c>
      <c r="J37">
        <v>94.853599309286935</v>
      </c>
      <c r="L37">
        <v>94.843204963857715</v>
      </c>
      <c r="N37">
        <v>94.832811757472413</v>
      </c>
      <c r="P37">
        <v>94.822419690006257</v>
      </c>
      <c r="R37">
        <v>94.812028761334375</v>
      </c>
      <c r="T37">
        <v>94.801638971332025</v>
      </c>
      <c r="V37">
        <v>94.791250319874408</v>
      </c>
      <c r="X37">
        <v>94.780862806836765</v>
      </c>
      <c r="Z37">
        <v>94.770476432094341</v>
      </c>
      <c r="AB37">
        <v>94.760091195522406</v>
      </c>
      <c r="AD37">
        <v>94.749707096996204</v>
      </c>
    </row>
    <row r="38" spans="2:31">
      <c r="G38">
        <v>93.881237080978664</v>
      </c>
      <c r="I38">
        <v>93.870949289954936</v>
      </c>
      <c r="K38">
        <v>93.860662626298577</v>
      </c>
      <c r="M38">
        <v>93.850377089886067</v>
      </c>
      <c r="O38">
        <v>93.84009268059387</v>
      </c>
      <c r="Q38">
        <v>93.829809398298465</v>
      </c>
      <c r="S38">
        <v>93.819527242876347</v>
      </c>
      <c r="U38">
        <v>93.809246214204066</v>
      </c>
      <c r="W38">
        <v>93.798966312158115</v>
      </c>
      <c r="Y38">
        <v>93.788687536615029</v>
      </c>
      <c r="AA38">
        <v>93.778409887451389</v>
      </c>
      <c r="AC38">
        <v>93.768133364543758</v>
      </c>
      <c r="AE38">
        <v>93.7578579677687</v>
      </c>
    </row>
    <row r="39" spans="2:31">
      <c r="H39">
        <v>92.898479180162724</v>
      </c>
      <c r="J39">
        <v>92.888299082733852</v>
      </c>
      <c r="L39">
        <v>92.878120100870944</v>
      </c>
      <c r="N39">
        <v>92.867942234451817</v>
      </c>
      <c r="P39">
        <v>92.857765483354157</v>
      </c>
      <c r="R39">
        <v>92.847589847455822</v>
      </c>
      <c r="T39">
        <v>92.837415326634527</v>
      </c>
      <c r="V39">
        <v>92.827241920768145</v>
      </c>
      <c r="X39">
        <v>92.817069629734448</v>
      </c>
      <c r="Z39">
        <v>92.806898453411293</v>
      </c>
      <c r="AB39">
        <v>92.796728391676538</v>
      </c>
      <c r="AD39">
        <v>92.786559444408041</v>
      </c>
    </row>
    <row r="40" spans="2:31">
      <c r="I40">
        <v>91.926008884427901</v>
      </c>
      <c r="K40">
        <v>91.91593535324688</v>
      </c>
      <c r="M40">
        <v>91.905862925953997</v>
      </c>
      <c r="O40">
        <v>91.895791602428261</v>
      </c>
      <c r="Q40">
        <v>91.885721382548752</v>
      </c>
      <c r="S40">
        <v>91.875652266194521</v>
      </c>
      <c r="U40">
        <v>91.865584253244606</v>
      </c>
      <c r="W40">
        <v>91.855517343578143</v>
      </c>
      <c r="Y40">
        <v>91.845451537074197</v>
      </c>
      <c r="AA40">
        <v>91.835386833611892</v>
      </c>
      <c r="AC40">
        <v>91.825323233070378</v>
      </c>
      <c r="AE40">
        <v>91.815260735328764</v>
      </c>
    </row>
    <row r="41" spans="2:31">
      <c r="J41">
        <v>90.963718502125815</v>
      </c>
      <c r="L41">
        <v>90.953750421646831</v>
      </c>
      <c r="N41">
        <v>90.943783433500343</v>
      </c>
      <c r="P41">
        <v>90.933817537566711</v>
      </c>
      <c r="R41">
        <v>90.923852733726179</v>
      </c>
      <c r="T41">
        <v>90.913889021859148</v>
      </c>
      <c r="V41">
        <v>90.903926401845879</v>
      </c>
      <c r="X41">
        <v>90.893964873566787</v>
      </c>
      <c r="Z41">
        <v>90.884004436902188</v>
      </c>
      <c r="AB41">
        <v>90.874045091732512</v>
      </c>
      <c r="AD41">
        <v>90.864086837938117</v>
      </c>
    </row>
    <row r="42" spans="2:31">
      <c r="K42">
        <v>90.011501468934711</v>
      </c>
      <c r="M42">
        <v>90.001637735289549</v>
      </c>
      <c r="O42">
        <v>89.991775082542276</v>
      </c>
      <c r="Q42">
        <v>89.981913510574444</v>
      </c>
      <c r="S42">
        <v>89.972053019267605</v>
      </c>
      <c r="U42">
        <v>89.962193608503341</v>
      </c>
      <c r="W42">
        <v>89.952335278163233</v>
      </c>
      <c r="Y42">
        <v>89.942478028128917</v>
      </c>
      <c r="AA42">
        <v>89.932621858281991</v>
      </c>
      <c r="AC42">
        <v>89.92276676850409</v>
      </c>
      <c r="AE42">
        <v>89.912912758676839</v>
      </c>
    </row>
    <row r="43" spans="2:31">
      <c r="L43">
        <v>89.069252336058454</v>
      </c>
      <c r="N43">
        <v>89.059491856934372</v>
      </c>
      <c r="P43">
        <v>89.049732447393211</v>
      </c>
      <c r="R43">
        <v>89.039974107317789</v>
      </c>
      <c r="T43">
        <v>89.030216836590881</v>
      </c>
      <c r="V43">
        <v>89.020460635095361</v>
      </c>
      <c r="X43">
        <v>89.010705502713989</v>
      </c>
      <c r="Z43">
        <v>89.000951439329668</v>
      </c>
      <c r="AB43">
        <v>88.99119844482523</v>
      </c>
      <c r="AD43">
        <v>88.981446519083534</v>
      </c>
    </row>
    <row r="44" spans="2:31">
      <c r="M44">
        <v>88.136866758549232</v>
      </c>
      <c r="O44">
        <v>88.127208453067851</v>
      </c>
      <c r="Q44">
        <v>88.117551205972902</v>
      </c>
      <c r="S44">
        <v>88.107895017148422</v>
      </c>
      <c r="U44">
        <v>88.09823988647841</v>
      </c>
      <c r="W44">
        <v>88.088585813846962</v>
      </c>
      <c r="Y44">
        <v>88.078932799138087</v>
      </c>
      <c r="AA44">
        <v>88.069280842235912</v>
      </c>
      <c r="AC44">
        <v>88.059629943024447</v>
      </c>
      <c r="AE44">
        <v>88.049980101387831</v>
      </c>
    </row>
    <row r="45" spans="2:31">
      <c r="N45">
        <v>87.214241483752161</v>
      </c>
      <c r="P45">
        <v>87.204684282349888</v>
      </c>
      <c r="R45">
        <v>87.195128128254751</v>
      </c>
      <c r="T45">
        <v>87.185573021352013</v>
      </c>
      <c r="V45">
        <v>87.176018961526879</v>
      </c>
      <c r="X45">
        <v>87.166465948664651</v>
      </c>
      <c r="Z45">
        <v>87.156913982650565</v>
      </c>
      <c r="AB45">
        <v>87.147363063369937</v>
      </c>
      <c r="AD45">
        <v>87.13781319070803</v>
      </c>
    </row>
    <row r="46" spans="2:31">
      <c r="O46">
        <v>86.30127433987127</v>
      </c>
      <c r="Q46">
        <v>86.291817184180786</v>
      </c>
      <c r="S46">
        <v>86.28236106483412</v>
      </c>
      <c r="U46">
        <v>86.272905981717741</v>
      </c>
      <c r="W46">
        <v>86.263451934718077</v>
      </c>
      <c r="Y46">
        <v>86.25399892372161</v>
      </c>
      <c r="AA46">
        <v>86.244546948614754</v>
      </c>
      <c r="AC46">
        <v>86.235096009284064</v>
      </c>
      <c r="AE46">
        <v>86.225646105615994</v>
      </c>
    </row>
    <row r="47" spans="2:31">
      <c r="P47">
        <v>85.397864224654782</v>
      </c>
      <c r="R47">
        <v>85.388506067387866</v>
      </c>
      <c r="T47">
        <v>85.379148935616243</v>
      </c>
      <c r="V47">
        <v>85.369792829227535</v>
      </c>
      <c r="X47">
        <v>85.360437748109362</v>
      </c>
      <c r="Z47">
        <v>85.351083692149402</v>
      </c>
      <c r="AB47">
        <v>85.341730661235275</v>
      </c>
      <c r="AD47">
        <v>85.332378655254701</v>
      </c>
    </row>
    <row r="48" spans="2:31">
      <c r="Q48">
        <v>84.503911094199168</v>
      </c>
      <c r="S48">
        <v>84.494650899030717</v>
      </c>
      <c r="U48">
        <v>84.48539171862258</v>
      </c>
      <c r="W48">
        <v>84.476133552863558</v>
      </c>
      <c r="Y48">
        <v>84.466876401642423</v>
      </c>
      <c r="AA48">
        <v>84.457620264848046</v>
      </c>
      <c r="AC48">
        <v>84.448365142369241</v>
      </c>
      <c r="AE48">
        <v>84.43911103409485</v>
      </c>
    </row>
    <row r="49" spans="18:31">
      <c r="R49">
        <v>83.619315951870149</v>
      </c>
      <c r="T49">
        <v>83.610152693323428</v>
      </c>
      <c r="V49">
        <v>83.600990438914394</v>
      </c>
      <c r="X49">
        <v>83.591829188533026</v>
      </c>
      <c r="Z49">
        <v>83.582668942069262</v>
      </c>
      <c r="AB49">
        <v>83.573509699413151</v>
      </c>
      <c r="AD49">
        <v>83.564351460454631</v>
      </c>
    </row>
    <row r="50" spans="18:31">
      <c r="S50">
        <v>82.743980837339862</v>
      </c>
      <c r="U50">
        <v>82.734913500672889</v>
      </c>
      <c r="W50">
        <v>82.725847157632188</v>
      </c>
      <c r="Y50">
        <v>82.716781808108877</v>
      </c>
      <c r="AA50">
        <v>82.707717451994114</v>
      </c>
      <c r="AC50">
        <v>82.698654089179016</v>
      </c>
      <c r="AE50">
        <v>82.689591719554699</v>
      </c>
    </row>
    <row r="51" spans="18:31">
      <c r="T51">
        <v>81.877808815738604</v>
      </c>
      <c r="V51">
        <v>81.868836396831824</v>
      </c>
      <c r="X51">
        <v>81.859864961149952</v>
      </c>
      <c r="Z51">
        <v>81.850894508585256</v>
      </c>
      <c r="AB51">
        <v>81.84192503902996</v>
      </c>
      <c r="AD51">
        <v>81.832956552376402</v>
      </c>
    </row>
    <row r="52" spans="18:31">
      <c r="U52">
        <v>81.020703966920337</v>
      </c>
      <c r="W52">
        <v>81.011825472165427</v>
      </c>
      <c r="Y52">
        <v>81.002947950342957</v>
      </c>
      <c r="AA52">
        <v>80.994071401346261</v>
      </c>
      <c r="AC52">
        <v>80.985195825068757</v>
      </c>
      <c r="AE52">
        <v>80.976321221403865</v>
      </c>
    </row>
    <row r="53" spans="18:31">
      <c r="V53">
        <v>80.172571374840402</v>
      </c>
      <c r="X53">
        <v>80.16378582103026</v>
      </c>
      <c r="Z53">
        <v>80.155001229967752</v>
      </c>
      <c r="AB53">
        <v>80.14621760154742</v>
      </c>
      <c r="AD53">
        <v>80.137434935663748</v>
      </c>
    </row>
    <row r="54" spans="18:31">
      <c r="W54">
        <v>79.333317117044558</v>
      </c>
      <c r="Y54">
        <v>79.324623531264308</v>
      </c>
      <c r="AA54">
        <v>79.315930898153582</v>
      </c>
      <c r="AC54">
        <v>79.307239217607986</v>
      </c>
      <c r="AE54">
        <v>79.298548489523142</v>
      </c>
    </row>
    <row r="55" spans="18:31">
      <c r="X55">
        <v>78.502848254267832</v>
      </c>
      <c r="Z55">
        <v>78.494245673787233</v>
      </c>
      <c r="AB55">
        <v>78.485644036003521</v>
      </c>
      <c r="AD55">
        <v>78.47704334081341</v>
      </c>
    </row>
    <row r="56" spans="18:31">
      <c r="Y56">
        <v>77.681072820142589</v>
      </c>
      <c r="AA56">
        <v>77.672560292309328</v>
      </c>
      <c r="AC56">
        <v>77.664048697304708</v>
      </c>
      <c r="AE56">
        <v>77.655538035026524</v>
      </c>
    </row>
    <row r="57" spans="18:31">
      <c r="Z57">
        <v>76.867899811013999</v>
      </c>
      <c r="AB57">
        <v>76.859476393148228</v>
      </c>
      <c r="AD57">
        <v>76.851053898346166</v>
      </c>
    </row>
    <row r="58" spans="18:31">
      <c r="AA58">
        <v>76.063239175862364</v>
      </c>
      <c r="AC58">
        <v>76.054903935152296</v>
      </c>
      <c r="AE58">
        <v>76.04656960784321</v>
      </c>
    </row>
    <row r="59" spans="18:31">
      <c r="AB59">
        <v>75.267001806330754</v>
      </c>
      <c r="AD59">
        <v>75.258753819729364</v>
      </c>
    </row>
    <row r="60" spans="18:31">
      <c r="AC60">
        <v>74.479099526857212</v>
      </c>
      <c r="AE60">
        <v>74.470937880980031</v>
      </c>
    </row>
    <row r="61" spans="18:31">
      <c r="AD61">
        <v>73.699445084910096</v>
      </c>
    </row>
    <row r="62" spans="18:31">
      <c r="AE62">
        <v>72.927952141325733</v>
      </c>
    </row>
    <row r="75" spans="26:31">
      <c r="AE75">
        <v>0</v>
      </c>
    </row>
    <row r="76" spans="26:31">
      <c r="AD76">
        <v>135.2032081355585</v>
      </c>
    </row>
    <row r="77" spans="26:31">
      <c r="AC77">
        <v>133.80255032124668</v>
      </c>
      <c r="AE77">
        <v>0</v>
      </c>
    </row>
    <row r="78" spans="26:31">
      <c r="AB78">
        <v>132.41640283061614</v>
      </c>
      <c r="AD78">
        <v>132.40189223911997</v>
      </c>
    </row>
    <row r="79" spans="26:31">
      <c r="AA79">
        <v>131.04461534180294</v>
      </c>
      <c r="AC79">
        <v>131.03025507494513</v>
      </c>
      <c r="AE79">
        <v>0</v>
      </c>
    </row>
    <row r="80" spans="26:31">
      <c r="Z80">
        <v>129.68703909022497</v>
      </c>
      <c r="AB80">
        <v>129.67282759069505</v>
      </c>
      <c r="AD80">
        <v>129.65861764850436</v>
      </c>
    </row>
    <row r="81" spans="10:31">
      <c r="Y81">
        <v>128.34352685244903</v>
      </c>
      <c r="AA81">
        <v>128.3294625790696</v>
      </c>
      <c r="AC81">
        <v>128.31539984689599</v>
      </c>
      <c r="AE81">
        <v>0</v>
      </c>
    </row>
    <row r="82" spans="10:31">
      <c r="X82">
        <v>127.01393293022504</v>
      </c>
      <c r="Z82">
        <v>127.00001435778483</v>
      </c>
      <c r="AB82">
        <v>126.98609731058407</v>
      </c>
      <c r="AD82">
        <v>126.97218178845559</v>
      </c>
    </row>
    <row r="83" spans="10:31">
      <c r="W83">
        <v>125.69811313468567</v>
      </c>
      <c r="Y83">
        <v>125.68433875377404</v>
      </c>
      <c r="AA83">
        <v>125.67056588230092</v>
      </c>
      <c r="AC83">
        <v>125.65679452010089</v>
      </c>
      <c r="AE83">
        <v>0</v>
      </c>
    </row>
    <row r="84" spans="10:31">
      <c r="V84">
        <v>124.39592477070967</v>
      </c>
      <c r="X84">
        <v>124.38229308755298</v>
      </c>
      <c r="Z84">
        <v>124.36866289819753</v>
      </c>
      <c r="AB84">
        <v>124.35503420247963</v>
      </c>
      <c r="AD84">
        <v>124.34140700023559</v>
      </c>
    </row>
    <row r="85" spans="10:31">
      <c r="U85">
        <v>123.1072266214472</v>
      </c>
      <c r="W85">
        <v>123.09373615774676</v>
      </c>
      <c r="Y85">
        <v>123.08024717237231</v>
      </c>
      <c r="AA85">
        <v>123.06675966516183</v>
      </c>
      <c r="AC85">
        <v>123.05327363595335</v>
      </c>
      <c r="AE85">
        <v>0</v>
      </c>
    </row>
    <row r="86" spans="10:31">
      <c r="T86">
        <v>121.83187893300548</v>
      </c>
      <c r="V86">
        <v>121.81852822577727</v>
      </c>
      <c r="X86">
        <v>121.80517898156009</v>
      </c>
      <c r="Z86">
        <v>121.79183120019361</v>
      </c>
      <c r="AB86">
        <v>121.77848488151756</v>
      </c>
      <c r="AD86">
        <v>121.76514002537164</v>
      </c>
    </row>
    <row r="87" spans="10:31">
      <c r="S87">
        <v>120.56974339929305</v>
      </c>
      <c r="U87">
        <v>120.556531000709</v>
      </c>
      <c r="W87">
        <v>120.54332004997973</v>
      </c>
      <c r="Y87">
        <v>120.53011054694653</v>
      </c>
      <c r="AA87">
        <v>120.51690249145079</v>
      </c>
      <c r="AC87">
        <v>120.50369588333388</v>
      </c>
      <c r="AE87">
        <v>0</v>
      </c>
    </row>
    <row r="88" spans="10:31">
      <c r="R88">
        <v>119.320683147021</v>
      </c>
      <c r="T88">
        <v>119.30760762425209</v>
      </c>
      <c r="V88">
        <v>119.29453353433867</v>
      </c>
      <c r="X88">
        <v>119.28146087712372</v>
      </c>
      <c r="Z88">
        <v>119.26838965245024</v>
      </c>
      <c r="AB88">
        <v>119.25531986016125</v>
      </c>
      <c r="AD88">
        <v>119.2422515000998</v>
      </c>
    </row>
    <row r="89" spans="10:31">
      <c r="Q89">
        <v>118.08456272085969</v>
      </c>
      <c r="S89">
        <v>118.07162265592049</v>
      </c>
      <c r="U89">
        <v>118.05868400899288</v>
      </c>
      <c r="W89">
        <v>118.04574677992152</v>
      </c>
      <c r="Y89">
        <v>118.03281096855096</v>
      </c>
      <c r="AA89">
        <v>118.01987657472593</v>
      </c>
      <c r="AC89">
        <v>118.00694359829103</v>
      </c>
      <c r="AE89">
        <v>0</v>
      </c>
    </row>
    <row r="90" spans="10:31">
      <c r="P90">
        <v>116.86124806874923</v>
      </c>
      <c r="R90">
        <v>116.84844205834412</v>
      </c>
      <c r="T90">
        <v>116.83563745126052</v>
      </c>
      <c r="V90">
        <v>116.82283424734464</v>
      </c>
      <c r="X90">
        <v>116.81003244644272</v>
      </c>
      <c r="Z90">
        <v>116.79723204840101</v>
      </c>
      <c r="AB90">
        <v>116.7844330530658</v>
      </c>
      <c r="AD90">
        <v>116.77163546028333</v>
      </c>
    </row>
    <row r="91" spans="10:31">
      <c r="O91">
        <v>115.65060652736203</v>
      </c>
      <c r="Q91">
        <v>115.63793318273306</v>
      </c>
      <c r="S91">
        <v>115.62526122688769</v>
      </c>
      <c r="U91">
        <v>115.6125906596737</v>
      </c>
      <c r="W91">
        <v>115.59992148093895</v>
      </c>
      <c r="Y91">
        <v>115.58725369053126</v>
      </c>
      <c r="AA91">
        <v>115.57458728829852</v>
      </c>
      <c r="AC91">
        <v>115.56192227408859</v>
      </c>
      <c r="AE91">
        <v>0</v>
      </c>
    </row>
    <row r="92" spans="10:31">
      <c r="N92">
        <v>114.45250680771603</v>
      </c>
      <c r="P92">
        <v>114.43996475449229</v>
      </c>
      <c r="R92">
        <v>114.42742407566483</v>
      </c>
      <c r="T92">
        <v>114.41488477108304</v>
      </c>
      <c r="V92">
        <v>114.40234684059632</v>
      </c>
      <c r="X92">
        <v>114.38981028405408</v>
      </c>
      <c r="Z92">
        <v>114.37727510130578</v>
      </c>
      <c r="AB92">
        <v>114.36474129220086</v>
      </c>
      <c r="AD92">
        <v>114.3522088565888</v>
      </c>
    </row>
    <row r="93" spans="10:31">
      <c r="M93">
        <v>113.26681898093699</v>
      </c>
      <c r="O93">
        <v>113.25440685898558</v>
      </c>
      <c r="Q93">
        <v>113.24199609719217</v>
      </c>
      <c r="S93">
        <v>113.22958669540773</v>
      </c>
      <c r="U93">
        <v>113.21717865348322</v>
      </c>
      <c r="W93">
        <v>113.20477197126962</v>
      </c>
      <c r="Y93">
        <v>113.19236664861793</v>
      </c>
      <c r="AA93">
        <v>113.17996268537915</v>
      </c>
      <c r="AC93">
        <v>113.16756008140433</v>
      </c>
      <c r="AE93">
        <v>0</v>
      </c>
    </row>
    <row r="94" spans="10:31">
      <c r="L94">
        <v>112.09341446416822</v>
      </c>
      <c r="N94">
        <v>112.08113092744672</v>
      </c>
      <c r="P94">
        <v>112.06884873679248</v>
      </c>
      <c r="R94">
        <v>112.05656789205797</v>
      </c>
      <c r="T94">
        <v>112.04428839309571</v>
      </c>
      <c r="V94">
        <v>112.03201023975826</v>
      </c>
      <c r="X94">
        <v>112.01973343189813</v>
      </c>
      <c r="Z94">
        <v>112.00745796936788</v>
      </c>
      <c r="AB94">
        <v>111.99518385202006</v>
      </c>
      <c r="AD94">
        <v>111.98291107970732</v>
      </c>
    </row>
    <row r="95" spans="10:31">
      <c r="K95">
        <v>110.93216600662633</v>
      </c>
      <c r="M95">
        <v>110.92000972303686</v>
      </c>
      <c r="O95">
        <v>110.90785477156987</v>
      </c>
      <c r="Q95">
        <v>110.89570115207935</v>
      </c>
      <c r="S95">
        <v>110.88354886441938</v>
      </c>
      <c r="U95">
        <v>110.87139790844398</v>
      </c>
      <c r="W95">
        <v>110.85924828400724</v>
      </c>
      <c r="Y95">
        <v>110.84709999096323</v>
      </c>
      <c r="AA95">
        <v>110.83495302916604</v>
      </c>
      <c r="AC95">
        <v>110.82280739846983</v>
      </c>
      <c r="AE95">
        <v>0</v>
      </c>
    </row>
    <row r="96" spans="10:31">
      <c r="J96">
        <v>109.78294767580142</v>
      </c>
      <c r="L96">
        <v>109.77091732704618</v>
      </c>
      <c r="N96">
        <v>109.75888829661308</v>
      </c>
      <c r="P96">
        <v>109.74686058435766</v>
      </c>
      <c r="R96">
        <v>109.73483419013547</v>
      </c>
      <c r="T96">
        <v>109.72280911380207</v>
      </c>
      <c r="V96">
        <v>109.71078535521306</v>
      </c>
      <c r="X96">
        <v>109.69876291422403</v>
      </c>
      <c r="Z96">
        <v>109.68674179069058</v>
      </c>
      <c r="AB96">
        <v>109.67472198446835</v>
      </c>
      <c r="AD96">
        <v>109.66270349541298</v>
      </c>
    </row>
    <row r="97" spans="1:31">
      <c r="I97">
        <v>108.64563484380022</v>
      </c>
      <c r="K97">
        <v>108.63372912523849</v>
      </c>
      <c r="M97">
        <v>108.62182471134156</v>
      </c>
      <c r="O97">
        <v>108.60992160196643</v>
      </c>
      <c r="Q97">
        <v>108.59801979697018</v>
      </c>
      <c r="S97">
        <v>108.58611929620986</v>
      </c>
      <c r="U97">
        <v>108.57422009954253</v>
      </c>
      <c r="W97">
        <v>108.56232220682531</v>
      </c>
      <c r="Y97">
        <v>108.55042561791531</v>
      </c>
      <c r="AA97">
        <v>108.53853033266965</v>
      </c>
      <c r="AC97">
        <v>108.52663635094547</v>
      </c>
      <c r="AE97">
        <v>0</v>
      </c>
    </row>
    <row r="98" spans="1:31">
      <c r="H98">
        <v>107.52010417383073</v>
      </c>
      <c r="J98">
        <v>107.50832179433742</v>
      </c>
      <c r="L98">
        <v>107.49654070599303</v>
      </c>
      <c r="N98">
        <v>107.48476090865607</v>
      </c>
      <c r="P98">
        <v>107.47298240218507</v>
      </c>
      <c r="R98">
        <v>107.46120518643858</v>
      </c>
      <c r="T98">
        <v>107.44942926127513</v>
      </c>
      <c r="V98">
        <v>107.43765462655332</v>
      </c>
      <c r="X98">
        <v>107.42588128213175</v>
      </c>
      <c r="Z98">
        <v>107.41410922786901</v>
      </c>
      <c r="AB98">
        <v>107.40233846362372</v>
      </c>
      <c r="AD98">
        <v>107.39056898925452</v>
      </c>
    </row>
    <row r="99" spans="1:31">
      <c r="G99">
        <v>106.40623360682685</v>
      </c>
      <c r="I99">
        <v>106.39457328865247</v>
      </c>
      <c r="K99">
        <v>106.38291424825115</v>
      </c>
      <c r="M99">
        <v>106.37125648548289</v>
      </c>
      <c r="O99">
        <v>106.35960000020766</v>
      </c>
      <c r="Q99">
        <v>106.34794479228549</v>
      </c>
      <c r="S99">
        <v>106.3362908615764</v>
      </c>
      <c r="U99">
        <v>106.3246382079404</v>
      </c>
      <c r="W99">
        <v>106.31298683123757</v>
      </c>
      <c r="Y99">
        <v>106.30133673132799</v>
      </c>
      <c r="AA99">
        <v>106.28968790807174</v>
      </c>
      <c r="AC99">
        <v>106.27804036132891</v>
      </c>
      <c r="AE99">
        <v>0</v>
      </c>
    </row>
    <row r="100" spans="1:31">
      <c r="F100">
        <v>105.30390234821158</v>
      </c>
      <c r="H100">
        <v>105.29236282684367</v>
      </c>
      <c r="J100">
        <v>105.28082457001155</v>
      </c>
      <c r="L100">
        <v>105.26928757757666</v>
      </c>
      <c r="N100">
        <v>105.25775184940042</v>
      </c>
      <c r="P100">
        <v>105.24621738534431</v>
      </c>
      <c r="R100">
        <v>105.23468418526978</v>
      </c>
      <c r="T100">
        <v>105.22315224903835</v>
      </c>
      <c r="V100">
        <v>105.21162157651149</v>
      </c>
      <c r="X100">
        <v>105.20009216755075</v>
      </c>
      <c r="Z100">
        <v>105.18856402201764</v>
      </c>
      <c r="AB100">
        <v>105.17703713977373</v>
      </c>
      <c r="AD100">
        <v>105.1655115206806</v>
      </c>
    </row>
    <row r="101" spans="1:31">
      <c r="E101">
        <v>104.21299085479738</v>
      </c>
      <c r="G101">
        <v>104.2015708788234</v>
      </c>
      <c r="I101">
        <v>104.19015215428506</v>
      </c>
      <c r="K101">
        <v>104.17873468104524</v>
      </c>
      <c r="M101">
        <v>104.1673184589668</v>
      </c>
      <c r="O101">
        <v>104.15590348791265</v>
      </c>
      <c r="Q101">
        <v>104.14448976774568</v>
      </c>
      <c r="S101">
        <v>104.13307729832881</v>
      </c>
      <c r="U101">
        <v>104.121666079525</v>
      </c>
      <c r="W101">
        <v>104.1102561111972</v>
      </c>
      <c r="Y101">
        <v>104.09884739320837</v>
      </c>
      <c r="AA101">
        <v>104.08743992542151</v>
      </c>
      <c r="AC101">
        <v>104.07603370769959</v>
      </c>
      <c r="AE101">
        <v>0</v>
      </c>
    </row>
    <row r="102" spans="1:31">
      <c r="D102">
        <v>103.13338082182221</v>
      </c>
      <c r="F102">
        <v>103.12207915279382</v>
      </c>
      <c r="H102">
        <v>103.11077872223663</v>
      </c>
      <c r="J102">
        <v>103.09947953001493</v>
      </c>
      <c r="L102">
        <v>103.08818157599303</v>
      </c>
      <c r="N102">
        <v>103.07688486003524</v>
      </c>
      <c r="P102">
        <v>103.06558938200588</v>
      </c>
      <c r="R102">
        <v>103.0542951417693</v>
      </c>
      <c r="T102">
        <v>103.04300213918987</v>
      </c>
      <c r="V102">
        <v>103.03171037413195</v>
      </c>
      <c r="X102">
        <v>103.02041984645992</v>
      </c>
      <c r="Z102">
        <v>103.00913055603819</v>
      </c>
      <c r="AB102">
        <v>102.99784250273119</v>
      </c>
      <c r="AD102">
        <v>102.98655568640335</v>
      </c>
    </row>
    <row r="103" spans="1:31">
      <c r="C103">
        <v>102.06495517011986</v>
      </c>
      <c r="E103">
        <v>102.05377058241858</v>
      </c>
      <c r="G103">
        <v>102.04258722035839</v>
      </c>
      <c r="I103">
        <v>102.03140508380496</v>
      </c>
      <c r="K103">
        <v>102.02022417262401</v>
      </c>
      <c r="M103">
        <v>102.00904448668126</v>
      </c>
      <c r="O103">
        <v>101.99786602584244</v>
      </c>
      <c r="Q103">
        <v>101.9866887899733</v>
      </c>
      <c r="S103">
        <v>101.97551277893962</v>
      </c>
      <c r="U103">
        <v>101.96433799260716</v>
      </c>
      <c r="W103">
        <v>101.95316443084171</v>
      </c>
      <c r="Y103">
        <v>101.94199209350909</v>
      </c>
      <c r="AA103">
        <v>101.93082098047512</v>
      </c>
      <c r="AC103">
        <v>101.91965109160562</v>
      </c>
      <c r="AE103">
        <v>0</v>
      </c>
    </row>
    <row r="104" spans="1:31">
      <c r="B104">
        <v>101.00759803342321</v>
      </c>
      <c r="D104">
        <v>100.99652931412756</v>
      </c>
      <c r="F104">
        <v>100.98546180777579</v>
      </c>
      <c r="H104">
        <v>100.97439551423497</v>
      </c>
      <c r="J104">
        <v>100.96333043337221</v>
      </c>
      <c r="L104">
        <v>100.95226656505459</v>
      </c>
      <c r="N104">
        <v>100.94120390914927</v>
      </c>
      <c r="P104">
        <v>100.93014246552336</v>
      </c>
      <c r="R104">
        <v>100.91908223404404</v>
      </c>
      <c r="T104">
        <v>100.90802321457848</v>
      </c>
      <c r="V104">
        <v>100.89696540699384</v>
      </c>
      <c r="X104">
        <v>100.88590881115734</v>
      </c>
      <c r="Z104">
        <v>100.87485342693616</v>
      </c>
      <c r="AB104">
        <v>100.86379925419756</v>
      </c>
      <c r="AD104">
        <v>100.85274629280879</v>
      </c>
    </row>
    <row r="105" spans="1:31">
      <c r="A105">
        <v>99.961194745799034</v>
      </c>
      <c r="C105">
        <v>99.950240694552988</v>
      </c>
      <c r="E105">
        <v>99.93928784368515</v>
      </c>
      <c r="G105">
        <v>99.928336193063942</v>
      </c>
      <c r="I105">
        <v>99.917385742557883</v>
      </c>
      <c r="K105">
        <v>99.906436492035439</v>
      </c>
      <c r="M105">
        <v>99.895488441365103</v>
      </c>
      <c r="O105">
        <v>99.884541590415409</v>
      </c>
      <c r="Q105">
        <v>99.87359593905488</v>
      </c>
      <c r="S105">
        <v>99.862651487152064</v>
      </c>
      <c r="U105">
        <v>99.85170823457554</v>
      </c>
      <c r="W105">
        <v>99.840766181193842</v>
      </c>
      <c r="Y105">
        <v>99.829825326875579</v>
      </c>
      <c r="AA105">
        <v>99.818885671489355</v>
      </c>
      <c r="AC105">
        <v>99.807947214903777</v>
      </c>
      <c r="AE105">
        <v>0</v>
      </c>
    </row>
    <row r="106" spans="1:31">
      <c r="B106">
        <v>98.914791258095761</v>
      </c>
      <c r="D106">
        <v>98.903951874921233</v>
      </c>
      <c r="F106">
        <v>98.893113679559235</v>
      </c>
      <c r="H106">
        <v>98.88227667187958</v>
      </c>
      <c r="J106">
        <v>98.871440851752141</v>
      </c>
      <c r="L106">
        <v>98.860606219046772</v>
      </c>
      <c r="N106">
        <v>98.849772773633347</v>
      </c>
      <c r="P106">
        <v>98.838940515381779</v>
      </c>
      <c r="R106">
        <v>98.828109444161953</v>
      </c>
      <c r="T106">
        <v>98.817279559843797</v>
      </c>
      <c r="V106">
        <v>98.806450862297268</v>
      </c>
      <c r="X106">
        <v>98.79562335139228</v>
      </c>
      <c r="Z106">
        <v>98.784797026998817</v>
      </c>
      <c r="AB106">
        <v>98.77397188898685</v>
      </c>
      <c r="AD106">
        <v>98.763147937226378</v>
      </c>
    </row>
    <row r="107" spans="1:31">
      <c r="C107">
        <v>97.879341623653858</v>
      </c>
      <c r="E107">
        <v>97.868615708194341</v>
      </c>
      <c r="G107">
        <v>97.857890968113225</v>
      </c>
      <c r="I107">
        <v>97.847167403281688</v>
      </c>
      <c r="K107">
        <v>97.836445013570938</v>
      </c>
      <c r="M107">
        <v>97.825723798852209</v>
      </c>
      <c r="O107">
        <v>97.815003758996752</v>
      </c>
      <c r="Q107">
        <v>97.804284893875817</v>
      </c>
      <c r="S107">
        <v>97.793567203360666</v>
      </c>
      <c r="U107">
        <v>97.782850687322579</v>
      </c>
      <c r="W107">
        <v>97.772135345632876</v>
      </c>
      <c r="Y107">
        <v>97.761421178162848</v>
      </c>
      <c r="AA107">
        <v>97.750708184783818</v>
      </c>
      <c r="AC107">
        <v>97.739996365367105</v>
      </c>
      <c r="AE107">
        <v>0</v>
      </c>
    </row>
    <row r="108" spans="1:31">
      <c r="D108">
        <v>96.854731176474331</v>
      </c>
      <c r="F108">
        <v>96.844117540938797</v>
      </c>
      <c r="H108">
        <v>96.833505068477663</v>
      </c>
      <c r="J108">
        <v>96.822893758963488</v>
      </c>
      <c r="L108">
        <v>96.812283612268828</v>
      </c>
      <c r="N108">
        <v>96.801674628266255</v>
      </c>
      <c r="P108">
        <v>96.791066806828368</v>
      </c>
      <c r="R108">
        <v>96.780460147827782</v>
      </c>
      <c r="T108">
        <v>96.769854651137067</v>
      </c>
      <c r="V108">
        <v>96.759250316628908</v>
      </c>
      <c r="X108">
        <v>96.748647144175919</v>
      </c>
      <c r="Z108">
        <v>96.738045133650743</v>
      </c>
      <c r="AB108">
        <v>96.727444284926094</v>
      </c>
      <c r="AD108">
        <v>96.716844597874612</v>
      </c>
    </row>
    <row r="109" spans="1:31">
      <c r="E109">
        <v>95.840846450892997</v>
      </c>
      <c r="G109">
        <v>95.830343919924289</v>
      </c>
      <c r="I109">
        <v>95.819842539854804</v>
      </c>
      <c r="K109">
        <v>95.809342310558435</v>
      </c>
      <c r="M109">
        <v>95.798843231909075</v>
      </c>
      <c r="O109">
        <v>95.788345303780631</v>
      </c>
      <c r="Q109">
        <v>95.777848526047052</v>
      </c>
      <c r="S109">
        <v>95.767352898582217</v>
      </c>
      <c r="U109">
        <v>95.756858421260119</v>
      </c>
      <c r="W109">
        <v>95.746365093954722</v>
      </c>
      <c r="Y109">
        <v>95.735872916540004</v>
      </c>
      <c r="AA109">
        <v>95.725381888889927</v>
      </c>
      <c r="AC109">
        <v>95.714892010878501</v>
      </c>
      <c r="AE109">
        <v>0</v>
      </c>
    </row>
    <row r="110" spans="1:31">
      <c r="F110">
        <v>94.837575169015253</v>
      </c>
      <c r="H110">
        <v>94.827182579559974</v>
      </c>
      <c r="J110">
        <v>94.816791128956211</v>
      </c>
      <c r="L110">
        <v>94.806400817079137</v>
      </c>
      <c r="N110">
        <v>94.796011643804022</v>
      </c>
      <c r="P110">
        <v>94.785623609006038</v>
      </c>
      <c r="R110">
        <v>94.775236712560442</v>
      </c>
      <c r="T110">
        <v>94.764850954342521</v>
      </c>
      <c r="V110">
        <v>94.754466334227516</v>
      </c>
      <c r="X110">
        <v>94.744082852090699</v>
      </c>
      <c r="Z110">
        <v>94.733700507807399</v>
      </c>
      <c r="AB110">
        <v>94.7233193012529</v>
      </c>
      <c r="AD110">
        <v>94.712939232302531</v>
      </c>
    </row>
    <row r="111" spans="1:31">
      <c r="G111">
        <v>93.84480622828238</v>
      </c>
      <c r="I111">
        <v>93.834522429462098</v>
      </c>
      <c r="K111">
        <v>93.824239757571718</v>
      </c>
      <c r="M111">
        <v>93.813958212487762</v>
      </c>
      <c r="O111">
        <v>93.803677794086738</v>
      </c>
      <c r="Q111">
        <v>93.793398502245168</v>
      </c>
      <c r="S111">
        <v>93.783120336839602</v>
      </c>
      <c r="U111">
        <v>93.772843297746633</v>
      </c>
      <c r="W111">
        <v>93.762567384842797</v>
      </c>
      <c r="Y111">
        <v>93.752292598004686</v>
      </c>
      <c r="AA111">
        <v>93.742018937108952</v>
      </c>
      <c r="AC111">
        <v>93.731746402032144</v>
      </c>
      <c r="AE111">
        <v>0</v>
      </c>
    </row>
    <row r="112" spans="1:31">
      <c r="H112">
        <v>92.862429689168025</v>
      </c>
      <c r="J112">
        <v>92.852253542151828</v>
      </c>
      <c r="L112">
        <v>92.842078510268735</v>
      </c>
      <c r="N112">
        <v>92.831904593396516</v>
      </c>
      <c r="P112">
        <v>92.821731791413015</v>
      </c>
      <c r="R112">
        <v>92.811560104196033</v>
      </c>
      <c r="T112">
        <v>92.801389531623414</v>
      </c>
      <c r="V112">
        <v>92.791220073573044</v>
      </c>
      <c r="X112">
        <v>92.781051729922737</v>
      </c>
      <c r="Z112">
        <v>92.770884500550409</v>
      </c>
      <c r="AB112">
        <v>92.760718385333973</v>
      </c>
      <c r="AD112">
        <v>92.750553384151289</v>
      </c>
    </row>
    <row r="113" spans="9:31">
      <c r="I113">
        <v>91.890336763003504</v>
      </c>
      <c r="K113">
        <v>91.880267140881855</v>
      </c>
      <c r="M113">
        <v>91.870198622219988</v>
      </c>
      <c r="O113">
        <v>91.860131206896952</v>
      </c>
      <c r="Q113">
        <v>91.850064894791856</v>
      </c>
      <c r="S113">
        <v>91.839999685783823</v>
      </c>
      <c r="U113">
        <v>91.829935579751933</v>
      </c>
      <c r="W113">
        <v>91.819872576575349</v>
      </c>
      <c r="Y113">
        <v>91.80981067613321</v>
      </c>
      <c r="AA113">
        <v>91.799749878304681</v>
      </c>
      <c r="AC113">
        <v>91.78969018296894</v>
      </c>
      <c r="AE113">
        <v>0</v>
      </c>
    </row>
    <row r="114" spans="9:31">
      <c r="J114">
        <v>90.928419799930424</v>
      </c>
      <c r="L114">
        <v>90.918455587590387</v>
      </c>
      <c r="N114">
        <v>90.908492467158993</v>
      </c>
      <c r="P114">
        <v>90.898530438516602</v>
      </c>
      <c r="R114">
        <v>90.888569501543557</v>
      </c>
      <c r="T114">
        <v>90.878609656120219</v>
      </c>
      <c r="V114">
        <v>90.868650902126973</v>
      </c>
      <c r="X114">
        <v>90.85869323944425</v>
      </c>
      <c r="Z114">
        <v>90.848736667952437</v>
      </c>
      <c r="AB114">
        <v>90.838781187531964</v>
      </c>
      <c r="AD114">
        <v>90.828826798063275</v>
      </c>
    </row>
    <row r="115" spans="9:31">
      <c r="K115">
        <v>89.976572276979581</v>
      </c>
      <c r="M115">
        <v>89.966712370981341</v>
      </c>
      <c r="O115">
        <v>89.956853545461541</v>
      </c>
      <c r="Q115">
        <v>89.946995800301764</v>
      </c>
      <c r="S115">
        <v>89.937139135383646</v>
      </c>
      <c r="U115">
        <v>89.927283550588797</v>
      </c>
      <c r="W115">
        <v>89.917429045798841</v>
      </c>
      <c r="Y115">
        <v>89.907575620895443</v>
      </c>
      <c r="AA115">
        <v>89.897723275760285</v>
      </c>
      <c r="AC115">
        <v>89.887872010275018</v>
      </c>
      <c r="AE115">
        <v>0</v>
      </c>
    </row>
    <row r="116" spans="9:31">
      <c r="L116">
        <v>89.034688786274558</v>
      </c>
      <c r="N116">
        <v>89.024932094729195</v>
      </c>
      <c r="P116">
        <v>89.015176472351726</v>
      </c>
      <c r="R116">
        <v>89.005421919024968</v>
      </c>
      <c r="T116">
        <v>88.995668434631767</v>
      </c>
      <c r="V116">
        <v>88.985916019055026</v>
      </c>
      <c r="X116">
        <v>88.976164672177589</v>
      </c>
      <c r="Z116">
        <v>88.96641439388236</v>
      </c>
      <c r="AB116">
        <v>88.956665184052227</v>
      </c>
      <c r="AD116">
        <v>88.946917042570107</v>
      </c>
    </row>
    <row r="117" spans="9:31">
      <c r="M117">
        <v>88.10266502335881</v>
      </c>
      <c r="O117">
        <v>88.09301046580741</v>
      </c>
      <c r="Q117">
        <v>88.083356966231747</v>
      </c>
      <c r="S117">
        <v>88.07370452451589</v>
      </c>
      <c r="U117">
        <v>88.064053140543891</v>
      </c>
      <c r="W117">
        <v>88.054402814199861</v>
      </c>
      <c r="Y117">
        <v>88.044753545367897</v>
      </c>
      <c r="AA117">
        <v>88.035105333932108</v>
      </c>
      <c r="AC117">
        <v>88.025458179776621</v>
      </c>
      <c r="AE117">
        <v>0</v>
      </c>
    </row>
    <row r="118" spans="9:31">
      <c r="N118">
        <v>87.180397775644963</v>
      </c>
      <c r="P118">
        <v>87.170844282938972</v>
      </c>
      <c r="R118">
        <v>87.161291837133732</v>
      </c>
      <c r="T118">
        <v>87.151740438114487</v>
      </c>
      <c r="V118">
        <v>87.142190085766572</v>
      </c>
      <c r="X118">
        <v>87.132640779975262</v>
      </c>
      <c r="Z118">
        <v>87.123092520625889</v>
      </c>
      <c r="AB118">
        <v>87.113545307603758</v>
      </c>
      <c r="AD118">
        <v>87.103999140794215</v>
      </c>
    </row>
    <row r="119" spans="9:31">
      <c r="O119">
        <v>86.267784910985</v>
      </c>
      <c r="Q119">
        <v>86.25833142516781</v>
      </c>
      <c r="S119">
        <v>86.248878975292328</v>
      </c>
      <c r="U119">
        <v>86.23942756124498</v>
      </c>
      <c r="W119">
        <v>86.229977182912279</v>
      </c>
      <c r="Y119">
        <v>86.22052784018075</v>
      </c>
      <c r="AA119">
        <v>86.211079532936878</v>
      </c>
      <c r="AC119">
        <v>86.201632261067218</v>
      </c>
      <c r="AE119">
        <v>0</v>
      </c>
    </row>
    <row r="120" spans="9:31">
      <c r="P120">
        <v>85.364725366360219</v>
      </c>
      <c r="R120">
        <v>85.355370840550009</v>
      </c>
      <c r="T120">
        <v>85.346017339837147</v>
      </c>
      <c r="V120">
        <v>85.336664864109309</v>
      </c>
      <c r="X120">
        <v>85.32731341325416</v>
      </c>
      <c r="Z120">
        <v>85.317962987159376</v>
      </c>
      <c r="AB120">
        <v>85.308613585712692</v>
      </c>
      <c r="AD120">
        <v>85.299265208801785</v>
      </c>
    </row>
    <row r="121" spans="9:31">
      <c r="Q121">
        <v>84.471119136689296</v>
      </c>
      <c r="S121">
        <v>84.461862534963132</v>
      </c>
      <c r="U121">
        <v>84.452606947603485</v>
      </c>
      <c r="W121">
        <v>84.443352374499213</v>
      </c>
      <c r="Y121">
        <v>84.434098815539144</v>
      </c>
      <c r="AA121">
        <v>84.424846270612179</v>
      </c>
      <c r="AC121">
        <v>84.415594739607172</v>
      </c>
      <c r="AE121">
        <v>0</v>
      </c>
    </row>
    <row r="122" spans="9:31">
      <c r="R122">
        <v>83.586867263753916</v>
      </c>
      <c r="T122">
        <v>83.577707561032966</v>
      </c>
      <c r="V122">
        <v>83.568548862060055</v>
      </c>
      <c r="X122">
        <v>83.559391166725163</v>
      </c>
      <c r="Z122">
        <v>83.550234474918355</v>
      </c>
      <c r="AB122">
        <v>83.541078786529624</v>
      </c>
      <c r="AD122">
        <v>83.531924101449007</v>
      </c>
    </row>
    <row r="123" spans="9:31">
      <c r="S123">
        <v>82.711871825239939</v>
      </c>
      <c r="U123">
        <v>82.702808007175989</v>
      </c>
      <c r="W123">
        <v>82.693745182352771</v>
      </c>
      <c r="Y123">
        <v>82.684683350661388</v>
      </c>
      <c r="AA123">
        <v>82.675622511993041</v>
      </c>
      <c r="AC123">
        <v>82.666562666238917</v>
      </c>
      <c r="AE123">
        <v>0</v>
      </c>
    </row>
    <row r="124" spans="9:31">
      <c r="T124">
        <v>81.846035923893481</v>
      </c>
      <c r="V124">
        <v>81.837066986756653</v>
      </c>
      <c r="X124">
        <v>81.828099032463214</v>
      </c>
      <c r="Z124">
        <v>81.819132060905432</v>
      </c>
      <c r="AB124">
        <v>81.810166071975615</v>
      </c>
      <c r="AD124">
        <v>81.801201065566076</v>
      </c>
    </row>
    <row r="125" spans="9:31">
      <c r="U125">
        <v>80.989263676790557</v>
      </c>
      <c r="W125">
        <v>80.980388627358124</v>
      </c>
      <c r="Y125">
        <v>80.971514550480549</v>
      </c>
      <c r="AA125">
        <v>80.962641446051251</v>
      </c>
      <c r="AC125">
        <v>80.95376931396369</v>
      </c>
      <c r="AE125">
        <v>0</v>
      </c>
    </row>
    <row r="126" spans="9:31">
      <c r="V126">
        <v>80.141460204718953</v>
      </c>
      <c r="X126">
        <v>80.13267806016529</v>
      </c>
      <c r="Z126">
        <v>80.123896877985686</v>
      </c>
      <c r="AB126">
        <v>80.115116658074683</v>
      </c>
      <c r="AD126">
        <v>80.106337400326836</v>
      </c>
    </row>
    <row r="127" spans="9:31">
      <c r="W127">
        <v>79.302531621671221</v>
      </c>
      <c r="Y127">
        <v>79.293841409459034</v>
      </c>
      <c r="AA127">
        <v>79.28515214954669</v>
      </c>
      <c r="AC127">
        <v>79.276463841829823</v>
      </c>
      <c r="AE127">
        <v>0</v>
      </c>
    </row>
    <row r="128" spans="9:31">
      <c r="X128">
        <v>78.472385024447775</v>
      </c>
      <c r="Z128">
        <v>78.463785782220384</v>
      </c>
      <c r="AB128">
        <v>78.455187482324078</v>
      </c>
      <c r="AD128">
        <v>78.446590124655586</v>
      </c>
    </row>
    <row r="129" spans="25:31">
      <c r="Y129">
        <v>77.650928482368684</v>
      </c>
      <c r="AA129">
        <v>77.6424192578435</v>
      </c>
      <c r="AC129">
        <v>77.633910965784963</v>
      </c>
      <c r="AE129">
        <v>0</v>
      </c>
    </row>
    <row r="130" spans="25:31">
      <c r="Z130">
        <v>76.838071027093392</v>
      </c>
      <c r="AB130">
        <v>76.82965087795634</v>
      </c>
      <c r="AD130">
        <v>76.821231651524798</v>
      </c>
    </row>
    <row r="131" spans="25:31">
      <c r="AA131">
        <v>76.033722642546678</v>
      </c>
      <c r="AC131">
        <v>76.02539063634795</v>
      </c>
      <c r="AE131">
        <v>0</v>
      </c>
    </row>
    <row r="132" spans="25:31">
      <c r="AB132">
        <v>75.237794254950373</v>
      </c>
      <c r="AD132">
        <v>75.229549469001142</v>
      </c>
    </row>
    <row r="133" spans="25:31">
      <c r="AC133">
        <v>74.450197722959231</v>
      </c>
      <c r="AE133">
        <v>0</v>
      </c>
    </row>
    <row r="134" spans="25:31">
      <c r="AD134">
        <v>73.670845827900195</v>
      </c>
    </row>
    <row r="135" spans="25:31">
      <c r="AE135">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64F8-91F5-4557-8033-7BBDBE436BB9}">
  <sheetPr codeName="Feuil3"/>
  <dimension ref="A1:H18100"/>
  <sheetViews>
    <sheetView showGridLines="0" zoomScale="106" zoomScaleNormal="115" workbookViewId="0">
      <selection activeCell="D13" sqref="D13"/>
    </sheetView>
  </sheetViews>
  <sheetFormatPr baseColWidth="10" defaultColWidth="10.69921875" defaultRowHeight="13.8"/>
  <cols>
    <col min="1" max="1" width="9.19921875" bestFit="1" customWidth="1"/>
    <col min="2" max="2" width="13.796875" bestFit="1" customWidth="1"/>
    <col min="3" max="3" width="39.69921875" bestFit="1" customWidth="1"/>
    <col min="4" max="4" width="29.19921875" bestFit="1" customWidth="1"/>
    <col min="5" max="5" width="7.09765625" bestFit="1" customWidth="1"/>
  </cols>
  <sheetData>
    <row r="1" spans="1:8" ht="14.4" thickBot="1"/>
    <row r="2" spans="1:8" ht="14.4" thickBot="1">
      <c r="D2" s="78" t="s">
        <v>82</v>
      </c>
      <c r="E2" s="79">
        <v>6.3224999999999998</v>
      </c>
    </row>
    <row r="3" spans="1:8">
      <c r="D3" t="s">
        <v>83</v>
      </c>
    </row>
    <row r="8" spans="1:8" ht="14.4" thickBot="1"/>
    <row r="9" spans="1:8">
      <c r="A9" s="120" t="s">
        <v>84</v>
      </c>
      <c r="B9" s="119" t="s">
        <v>85</v>
      </c>
      <c r="C9" s="121" t="s">
        <v>86</v>
      </c>
    </row>
    <row r="10" spans="1:8" ht="14.4" thickBot="1">
      <c r="A10" s="82">
        <v>1</v>
      </c>
      <c r="B10" s="145">
        <v>115.42640549980304</v>
      </c>
      <c r="C10" s="84">
        <v>0</v>
      </c>
    </row>
    <row r="11" spans="1:8">
      <c r="A11" s="82">
        <v>2</v>
      </c>
      <c r="B11" s="145">
        <v>165.60307784499412</v>
      </c>
      <c r="C11" s="84">
        <v>0</v>
      </c>
      <c r="G11" s="86"/>
      <c r="H11" s="89" t="s">
        <v>75</v>
      </c>
    </row>
    <row r="12" spans="1:8">
      <c r="A12" s="82">
        <v>3</v>
      </c>
      <c r="B12" s="145">
        <v>95.034017433232862</v>
      </c>
      <c r="C12" s="84">
        <v>4.9659825667671385</v>
      </c>
      <c r="G12" s="87" t="s">
        <v>44</v>
      </c>
      <c r="H12" s="90">
        <v>114.9</v>
      </c>
    </row>
    <row r="13" spans="1:8">
      <c r="A13" s="82">
        <v>4</v>
      </c>
      <c r="B13" s="145">
        <v>91.476250975685275</v>
      </c>
      <c r="C13" s="84">
        <v>8.5237490243147249</v>
      </c>
      <c r="G13" s="87" t="s">
        <v>76</v>
      </c>
      <c r="H13" s="90">
        <v>100</v>
      </c>
    </row>
    <row r="14" spans="1:8">
      <c r="A14" s="82">
        <v>5</v>
      </c>
      <c r="B14" s="145">
        <v>186.05784129293727</v>
      </c>
      <c r="C14" s="84">
        <v>0</v>
      </c>
      <c r="G14" s="87" t="s">
        <v>77</v>
      </c>
      <c r="H14" s="90">
        <v>0.1</v>
      </c>
    </row>
    <row r="15" spans="1:8">
      <c r="A15" s="82">
        <v>6</v>
      </c>
      <c r="B15" s="145">
        <v>117.0663598501791</v>
      </c>
      <c r="C15" s="84">
        <v>0</v>
      </c>
      <c r="G15" s="87" t="s">
        <v>78</v>
      </c>
      <c r="H15" s="90">
        <v>0.35</v>
      </c>
    </row>
    <row r="16" spans="1:8">
      <c r="A16" s="82">
        <v>7</v>
      </c>
      <c r="B16" s="145">
        <v>182.56350285737739</v>
      </c>
      <c r="C16" s="84">
        <v>0</v>
      </c>
      <c r="G16" s="87" t="s">
        <v>79</v>
      </c>
      <c r="H16" s="90">
        <v>60</v>
      </c>
    </row>
    <row r="17" spans="1:8">
      <c r="A17" s="82">
        <v>8</v>
      </c>
      <c r="B17" s="145">
        <v>107.89971134294716</v>
      </c>
      <c r="C17" s="84">
        <v>0</v>
      </c>
      <c r="G17" s="87" t="s">
        <v>80</v>
      </c>
      <c r="H17" s="90">
        <v>1</v>
      </c>
    </row>
    <row r="18" spans="1:8">
      <c r="A18" s="82">
        <v>9</v>
      </c>
      <c r="B18" s="145">
        <v>120.90581079475895</v>
      </c>
      <c r="C18" s="84">
        <v>0</v>
      </c>
      <c r="G18" s="87" t="s">
        <v>81</v>
      </c>
      <c r="H18" s="90">
        <v>100</v>
      </c>
    </row>
    <row r="19" spans="1:8">
      <c r="A19" s="82">
        <v>10</v>
      </c>
      <c r="B19" s="145">
        <v>77.352261726403384</v>
      </c>
      <c r="C19" s="84">
        <v>22.647738273596616</v>
      </c>
      <c r="G19" s="87"/>
      <c r="H19" s="90"/>
    </row>
    <row r="20" spans="1:8">
      <c r="A20" s="82">
        <v>11</v>
      </c>
      <c r="B20" s="145">
        <v>78.189034047055259</v>
      </c>
      <c r="C20" s="84">
        <v>21.810965952944741</v>
      </c>
      <c r="G20" s="87"/>
      <c r="H20" s="90"/>
    </row>
    <row r="21" spans="1:8">
      <c r="A21" s="82">
        <v>12</v>
      </c>
      <c r="B21" s="145">
        <v>114.63336662724249</v>
      </c>
      <c r="C21" s="84">
        <v>0</v>
      </c>
      <c r="G21" s="87"/>
      <c r="H21" s="90"/>
    </row>
    <row r="22" spans="1:8">
      <c r="A22" s="82">
        <v>13</v>
      </c>
      <c r="B22" s="145">
        <v>185.18356527685808</v>
      </c>
      <c r="C22" s="84">
        <v>0</v>
      </c>
      <c r="G22" s="87"/>
      <c r="H22" s="90"/>
    </row>
    <row r="23" spans="1:8">
      <c r="A23" s="82">
        <v>14</v>
      </c>
      <c r="B23" s="145">
        <v>109.93403642123724</v>
      </c>
      <c r="C23" s="84">
        <v>0</v>
      </c>
      <c r="G23" s="87"/>
      <c r="H23" s="90"/>
    </row>
    <row r="24" spans="1:8">
      <c r="A24" s="82">
        <v>15</v>
      </c>
      <c r="B24" s="145">
        <v>93.071623775896597</v>
      </c>
      <c r="C24" s="84">
        <v>6.9283762241034026</v>
      </c>
      <c r="G24" s="87"/>
      <c r="H24" s="90"/>
    </row>
    <row r="25" spans="1:8">
      <c r="A25" s="82">
        <v>16</v>
      </c>
      <c r="B25" s="145">
        <v>122.97207817676114</v>
      </c>
      <c r="C25" s="84">
        <v>0</v>
      </c>
      <c r="G25" s="87"/>
      <c r="H25" s="90"/>
    </row>
    <row r="26" spans="1:8">
      <c r="A26" s="82">
        <v>17</v>
      </c>
      <c r="B26" s="145">
        <v>121.59646244588937</v>
      </c>
      <c r="C26" s="84">
        <v>0</v>
      </c>
      <c r="G26" s="87"/>
      <c r="H26" s="90"/>
    </row>
    <row r="27" spans="1:8">
      <c r="A27" s="82">
        <v>18</v>
      </c>
      <c r="B27" s="145">
        <v>73.529487069910445</v>
      </c>
      <c r="C27" s="84">
        <v>26.470512930089555</v>
      </c>
      <c r="G27" s="87"/>
      <c r="H27" s="90"/>
    </row>
    <row r="28" spans="1:8">
      <c r="A28" s="82">
        <v>19</v>
      </c>
      <c r="B28" s="145">
        <v>78.887191874961914</v>
      </c>
      <c r="C28" s="84">
        <v>21.112808125038086</v>
      </c>
      <c r="G28" s="87"/>
      <c r="H28" s="90"/>
    </row>
    <row r="29" spans="1:8">
      <c r="A29" s="82">
        <v>20</v>
      </c>
      <c r="B29" s="145">
        <v>123.82358042170094</v>
      </c>
      <c r="C29" s="84">
        <v>0</v>
      </c>
      <c r="G29" s="87"/>
      <c r="H29" s="90"/>
    </row>
    <row r="30" spans="1:8">
      <c r="A30" s="82">
        <v>21</v>
      </c>
      <c r="B30" s="145">
        <v>71.482993321294458</v>
      </c>
      <c r="C30" s="84">
        <v>28.517006678705542</v>
      </c>
      <c r="G30" s="87"/>
      <c r="H30" s="90"/>
    </row>
    <row r="31" spans="1:8">
      <c r="A31" s="82">
        <v>22</v>
      </c>
      <c r="B31" s="145">
        <v>133.2712578904426</v>
      </c>
      <c r="C31" s="84">
        <v>0</v>
      </c>
      <c r="G31" s="87"/>
      <c r="H31" s="90"/>
    </row>
    <row r="32" spans="1:8">
      <c r="A32" s="82">
        <v>23</v>
      </c>
      <c r="B32" s="145">
        <v>90.758300944587745</v>
      </c>
      <c r="C32" s="84">
        <v>9.2416990554122549</v>
      </c>
      <c r="G32" s="87"/>
      <c r="H32" s="90"/>
    </row>
    <row r="33" spans="1:8">
      <c r="A33" s="82">
        <v>24</v>
      </c>
      <c r="B33" s="145">
        <v>125.52618709345491</v>
      </c>
      <c r="C33" s="84">
        <v>0</v>
      </c>
      <c r="G33" s="87"/>
      <c r="H33" s="90"/>
    </row>
    <row r="34" spans="1:8">
      <c r="A34" s="82">
        <v>25</v>
      </c>
      <c r="B34" s="145">
        <v>112.06004404449641</v>
      </c>
      <c r="C34" s="84">
        <v>0</v>
      </c>
      <c r="G34" s="87"/>
      <c r="H34" s="90"/>
    </row>
    <row r="35" spans="1:8">
      <c r="A35" s="82">
        <v>26</v>
      </c>
      <c r="B35" s="145">
        <v>114.56446306408698</v>
      </c>
      <c r="C35" s="84">
        <v>0</v>
      </c>
      <c r="G35" s="87"/>
      <c r="H35" s="90"/>
    </row>
    <row r="36" spans="1:8">
      <c r="A36" s="82">
        <v>27</v>
      </c>
      <c r="B36" s="145">
        <v>213.7489458171753</v>
      </c>
      <c r="C36" s="84">
        <v>0</v>
      </c>
      <c r="G36" s="87"/>
      <c r="H36" s="90"/>
    </row>
    <row r="37" spans="1:8">
      <c r="A37" s="82">
        <v>28</v>
      </c>
      <c r="B37" s="145">
        <v>112.1521717547341</v>
      </c>
      <c r="C37" s="84">
        <v>0</v>
      </c>
      <c r="G37" s="87"/>
      <c r="H37" s="90"/>
    </row>
    <row r="38" spans="1:8">
      <c r="A38" s="82">
        <v>29</v>
      </c>
      <c r="B38" s="145">
        <v>124.03966490830118</v>
      </c>
      <c r="C38" s="84">
        <v>0</v>
      </c>
      <c r="G38" s="87"/>
      <c r="H38" s="90"/>
    </row>
    <row r="39" spans="1:8">
      <c r="A39" s="82">
        <v>30</v>
      </c>
      <c r="B39" s="145">
        <v>155.07549041668773</v>
      </c>
      <c r="C39" s="84">
        <v>0</v>
      </c>
      <c r="G39" s="87"/>
      <c r="H39" s="90"/>
    </row>
    <row r="40" spans="1:8">
      <c r="A40" s="82">
        <v>31</v>
      </c>
      <c r="B40" s="145">
        <v>104.10504980887328</v>
      </c>
      <c r="C40" s="84">
        <v>0</v>
      </c>
      <c r="G40" s="87"/>
      <c r="H40" s="90"/>
    </row>
    <row r="41" spans="1:8">
      <c r="A41" s="82">
        <v>32</v>
      </c>
      <c r="B41" s="145">
        <v>93.144763629126643</v>
      </c>
      <c r="C41" s="84">
        <v>6.8552363708733566</v>
      </c>
      <c r="G41" s="87"/>
      <c r="H41" s="90"/>
    </row>
    <row r="42" spans="1:8">
      <c r="A42" s="82">
        <v>33</v>
      </c>
      <c r="B42" s="145">
        <v>131.68765047963501</v>
      </c>
      <c r="C42" s="84">
        <v>0</v>
      </c>
      <c r="G42" s="87"/>
      <c r="H42" s="90"/>
    </row>
    <row r="43" spans="1:8">
      <c r="A43" s="82">
        <v>34</v>
      </c>
      <c r="B43" s="145">
        <v>97.114413784839812</v>
      </c>
      <c r="C43" s="84">
        <v>2.8855862151601883</v>
      </c>
      <c r="G43" s="87"/>
      <c r="H43" s="90"/>
    </row>
    <row r="44" spans="1:8">
      <c r="A44" s="82">
        <v>35</v>
      </c>
      <c r="B44" s="145">
        <v>103.57238395197578</v>
      </c>
      <c r="C44" s="84">
        <v>0</v>
      </c>
      <c r="G44" s="87"/>
      <c r="H44" s="90"/>
    </row>
    <row r="45" spans="1:8">
      <c r="A45" s="82">
        <v>36</v>
      </c>
      <c r="B45" s="145">
        <v>129.54493004475103</v>
      </c>
      <c r="C45" s="84">
        <v>0</v>
      </c>
      <c r="G45" s="87"/>
      <c r="H45" s="90"/>
    </row>
    <row r="46" spans="1:8">
      <c r="A46" s="82">
        <v>37</v>
      </c>
      <c r="B46" s="145">
        <v>97.270587627646535</v>
      </c>
      <c r="C46" s="84">
        <v>2.7294123723534653</v>
      </c>
      <c r="G46" s="87"/>
      <c r="H46" s="90"/>
    </row>
    <row r="47" spans="1:8">
      <c r="A47" s="82">
        <v>38</v>
      </c>
      <c r="B47" s="145">
        <v>115.18652197198118</v>
      </c>
      <c r="C47" s="84">
        <v>0</v>
      </c>
      <c r="G47" s="87"/>
      <c r="H47" s="90"/>
    </row>
    <row r="48" spans="1:8">
      <c r="A48" s="82">
        <v>39</v>
      </c>
      <c r="B48" s="145">
        <v>152.38981545414578</v>
      </c>
      <c r="C48" s="84">
        <v>0</v>
      </c>
      <c r="G48" s="87"/>
      <c r="H48" s="90"/>
    </row>
    <row r="49" spans="1:8">
      <c r="A49" s="82">
        <v>40</v>
      </c>
      <c r="B49" s="145">
        <v>117.29412979447794</v>
      </c>
      <c r="C49" s="84">
        <v>0</v>
      </c>
      <c r="G49" s="87"/>
      <c r="H49" s="90"/>
    </row>
    <row r="50" spans="1:8">
      <c r="A50" s="82">
        <v>41</v>
      </c>
      <c r="B50" s="145">
        <v>136.96569832229198</v>
      </c>
      <c r="C50" s="84">
        <v>0</v>
      </c>
      <c r="G50" s="87"/>
      <c r="H50" s="90"/>
    </row>
    <row r="51" spans="1:8">
      <c r="A51" s="82">
        <v>42</v>
      </c>
      <c r="B51" s="145">
        <v>78.367650775539161</v>
      </c>
      <c r="C51" s="84">
        <v>21.632349224460839</v>
      </c>
      <c r="G51" s="87"/>
      <c r="H51" s="90"/>
    </row>
    <row r="52" spans="1:8">
      <c r="A52" s="82">
        <v>43</v>
      </c>
      <c r="B52" s="145">
        <v>46.248034299338599</v>
      </c>
      <c r="C52" s="84">
        <v>53.751965700661401</v>
      </c>
      <c r="G52" s="87"/>
      <c r="H52" s="90"/>
    </row>
    <row r="53" spans="1:8">
      <c r="A53" s="82">
        <v>44</v>
      </c>
      <c r="B53" s="145">
        <v>163.73512783062068</v>
      </c>
      <c r="C53" s="84">
        <v>0</v>
      </c>
      <c r="G53" s="87"/>
      <c r="H53" s="90"/>
    </row>
    <row r="54" spans="1:8">
      <c r="A54" s="82">
        <v>45</v>
      </c>
      <c r="B54" s="145">
        <v>133.54481317775731</v>
      </c>
      <c r="C54" s="84">
        <v>0</v>
      </c>
      <c r="G54" s="87"/>
      <c r="H54" s="90"/>
    </row>
    <row r="55" spans="1:8">
      <c r="A55" s="82">
        <v>46</v>
      </c>
      <c r="B55" s="145">
        <v>210.4558846066231</v>
      </c>
      <c r="C55" s="84">
        <v>0</v>
      </c>
      <c r="G55" s="87"/>
      <c r="H55" s="90"/>
    </row>
    <row r="56" spans="1:8">
      <c r="A56" s="82">
        <v>47</v>
      </c>
      <c r="B56" s="145">
        <v>70.463607314445056</v>
      </c>
      <c r="C56" s="84">
        <v>29.536392685554944</v>
      </c>
      <c r="G56" s="87"/>
      <c r="H56" s="90"/>
    </row>
    <row r="57" spans="1:8">
      <c r="A57" s="82">
        <v>48</v>
      </c>
      <c r="B57" s="145">
        <v>52.583681996170071</v>
      </c>
      <c r="C57" s="84">
        <v>47.416318003829929</v>
      </c>
      <c r="G57" s="87"/>
      <c r="H57" s="90"/>
    </row>
    <row r="58" spans="1:8">
      <c r="A58" s="82">
        <v>49</v>
      </c>
      <c r="B58" s="145">
        <v>224.6020417331016</v>
      </c>
      <c r="C58" s="84">
        <v>0</v>
      </c>
      <c r="G58" s="87"/>
      <c r="H58" s="90"/>
    </row>
    <row r="59" spans="1:8">
      <c r="A59" s="82">
        <v>50</v>
      </c>
      <c r="B59" s="145">
        <v>125.58291190983253</v>
      </c>
      <c r="C59" s="84">
        <v>0</v>
      </c>
      <c r="G59" s="87"/>
      <c r="H59" s="90"/>
    </row>
    <row r="60" spans="1:8">
      <c r="A60" s="82">
        <v>51</v>
      </c>
      <c r="B60" s="145">
        <v>63.46407769881727</v>
      </c>
      <c r="C60" s="84">
        <v>36.53592230118273</v>
      </c>
      <c r="G60" s="87"/>
      <c r="H60" s="90"/>
    </row>
    <row r="61" spans="1:8">
      <c r="A61" s="82">
        <v>52</v>
      </c>
      <c r="B61" s="145">
        <v>108.24560303427663</v>
      </c>
      <c r="C61" s="84">
        <v>0</v>
      </c>
      <c r="G61" s="87"/>
      <c r="H61" s="90"/>
    </row>
    <row r="62" spans="1:8">
      <c r="A62" s="82">
        <v>53</v>
      </c>
      <c r="B62" s="145">
        <v>119.27692561518535</v>
      </c>
      <c r="C62" s="84">
        <v>0</v>
      </c>
      <c r="G62" s="87"/>
      <c r="H62" s="90"/>
    </row>
    <row r="63" spans="1:8">
      <c r="A63" s="82">
        <v>54</v>
      </c>
      <c r="B63" s="145">
        <v>72.204958796344997</v>
      </c>
      <c r="C63" s="84">
        <v>27.795041203655003</v>
      </c>
      <c r="G63" s="87"/>
      <c r="H63" s="90"/>
    </row>
    <row r="64" spans="1:8">
      <c r="A64" s="82">
        <v>55</v>
      </c>
      <c r="B64" s="145">
        <v>77.897697558392835</v>
      </c>
      <c r="C64" s="84">
        <v>22.102302441607165</v>
      </c>
      <c r="G64" s="87"/>
      <c r="H64" s="90"/>
    </row>
    <row r="65" spans="1:8">
      <c r="A65" s="82">
        <v>56</v>
      </c>
      <c r="B65" s="145">
        <v>91.243414208864962</v>
      </c>
      <c r="C65" s="84">
        <v>8.7565857911350378</v>
      </c>
      <c r="G65" s="87"/>
      <c r="H65" s="90"/>
    </row>
    <row r="66" spans="1:8">
      <c r="A66" s="82">
        <v>57</v>
      </c>
      <c r="B66" s="145">
        <v>136.58054153324764</v>
      </c>
      <c r="C66" s="84">
        <v>0</v>
      </c>
      <c r="G66" s="87"/>
      <c r="H66" s="90"/>
    </row>
    <row r="67" spans="1:8">
      <c r="A67" s="82">
        <v>58</v>
      </c>
      <c r="B67" s="145">
        <v>115.63460584721665</v>
      </c>
      <c r="C67" s="84">
        <v>0</v>
      </c>
      <c r="G67" s="87"/>
      <c r="H67" s="90"/>
    </row>
    <row r="68" spans="1:8">
      <c r="A68" s="82">
        <v>59</v>
      </c>
      <c r="B68" s="145">
        <v>86.527970774342862</v>
      </c>
      <c r="C68" s="84">
        <v>13.472029225657138</v>
      </c>
      <c r="G68" s="87"/>
      <c r="H68" s="90"/>
    </row>
    <row r="69" spans="1:8">
      <c r="A69" s="82">
        <v>60</v>
      </c>
      <c r="B69" s="145">
        <v>168.49950382190966</v>
      </c>
      <c r="C69" s="84">
        <v>0</v>
      </c>
      <c r="G69" s="87"/>
      <c r="H69" s="90"/>
    </row>
    <row r="70" spans="1:8">
      <c r="A70" s="82">
        <v>61</v>
      </c>
      <c r="B70" s="145">
        <v>88.717280844810304</v>
      </c>
      <c r="C70" s="84">
        <v>11.282719155189696</v>
      </c>
      <c r="G70" s="87"/>
      <c r="H70" s="90"/>
    </row>
    <row r="71" spans="1:8">
      <c r="A71" s="82">
        <v>62</v>
      </c>
      <c r="B71" s="145">
        <v>191.28591281536171</v>
      </c>
      <c r="C71" s="84">
        <v>0</v>
      </c>
      <c r="G71" s="87"/>
      <c r="H71" s="90"/>
    </row>
    <row r="72" spans="1:8">
      <c r="A72" s="82">
        <v>63</v>
      </c>
      <c r="B72" s="145">
        <v>163.37493587622293</v>
      </c>
      <c r="C72" s="84">
        <v>0</v>
      </c>
      <c r="G72" s="87"/>
      <c r="H72" s="90"/>
    </row>
    <row r="73" spans="1:8">
      <c r="A73" s="82">
        <v>64</v>
      </c>
      <c r="B73" s="145">
        <v>126.62029132640212</v>
      </c>
      <c r="C73" s="84">
        <v>0</v>
      </c>
      <c r="G73" s="87"/>
      <c r="H73" s="90"/>
    </row>
    <row r="74" spans="1:8">
      <c r="A74" s="82">
        <v>65</v>
      </c>
      <c r="B74" s="145">
        <v>99.684640464689451</v>
      </c>
      <c r="C74" s="84">
        <v>0.31535953531054872</v>
      </c>
      <c r="G74" s="87"/>
      <c r="H74" s="90"/>
    </row>
    <row r="75" spans="1:8">
      <c r="A75" s="82">
        <v>66</v>
      </c>
      <c r="B75" s="145">
        <v>124.936316509631</v>
      </c>
      <c r="C75" s="84">
        <v>0</v>
      </c>
      <c r="G75" s="87"/>
      <c r="H75" s="90"/>
    </row>
    <row r="76" spans="1:8">
      <c r="A76" s="82">
        <v>67</v>
      </c>
      <c r="B76" s="145">
        <v>71.617736054162492</v>
      </c>
      <c r="C76" s="84">
        <v>28.382263945837508</v>
      </c>
      <c r="G76" s="87"/>
      <c r="H76" s="90"/>
    </row>
    <row r="77" spans="1:8">
      <c r="A77" s="82">
        <v>68</v>
      </c>
      <c r="B77" s="145">
        <v>94.500416954668623</v>
      </c>
      <c r="C77" s="84">
        <v>5.4995830453313772</v>
      </c>
      <c r="G77" s="87"/>
      <c r="H77" s="90"/>
    </row>
    <row r="78" spans="1:8">
      <c r="A78" s="82">
        <v>69</v>
      </c>
      <c r="B78" s="145">
        <v>78.540788764867401</v>
      </c>
      <c r="C78" s="84">
        <v>21.459211235132599</v>
      </c>
      <c r="G78" s="87"/>
      <c r="H78" s="90"/>
    </row>
    <row r="79" spans="1:8">
      <c r="A79" s="82">
        <v>70</v>
      </c>
      <c r="B79" s="145">
        <v>183.10129015483881</v>
      </c>
      <c r="C79" s="84">
        <v>0</v>
      </c>
      <c r="G79" s="87"/>
      <c r="H79" s="90"/>
    </row>
    <row r="80" spans="1:8">
      <c r="A80" s="82">
        <v>71</v>
      </c>
      <c r="B80" s="145">
        <v>140.80662004578465</v>
      </c>
      <c r="C80" s="84">
        <v>0</v>
      </c>
      <c r="G80" s="87"/>
      <c r="H80" s="90"/>
    </row>
    <row r="81" spans="1:8">
      <c r="A81" s="82">
        <v>72</v>
      </c>
      <c r="B81" s="145">
        <v>56.721663636785351</v>
      </c>
      <c r="C81" s="84">
        <v>43.278336363214649</v>
      </c>
      <c r="G81" s="87"/>
      <c r="H81" s="90"/>
    </row>
    <row r="82" spans="1:8">
      <c r="A82" s="82">
        <v>73</v>
      </c>
      <c r="B82" s="145">
        <v>194.0252027083036</v>
      </c>
      <c r="C82" s="84">
        <v>0</v>
      </c>
      <c r="G82" s="87"/>
      <c r="H82" s="90"/>
    </row>
    <row r="83" spans="1:8">
      <c r="A83" s="82">
        <v>74</v>
      </c>
      <c r="B83" s="145">
        <v>116.19373042673287</v>
      </c>
      <c r="C83" s="84">
        <v>0</v>
      </c>
      <c r="G83" s="87"/>
      <c r="H83" s="90"/>
    </row>
    <row r="84" spans="1:8">
      <c r="A84" s="82">
        <v>75</v>
      </c>
      <c r="B84" s="145">
        <v>67.189191397158794</v>
      </c>
      <c r="C84" s="84">
        <v>32.810808602841206</v>
      </c>
      <c r="G84" s="87"/>
      <c r="H84" s="90"/>
    </row>
    <row r="85" spans="1:8">
      <c r="A85" s="82">
        <v>76</v>
      </c>
      <c r="B85" s="145">
        <v>150.85868457098428</v>
      </c>
      <c r="C85" s="84">
        <v>0</v>
      </c>
      <c r="G85" s="87"/>
      <c r="H85" s="90"/>
    </row>
    <row r="86" spans="1:8">
      <c r="A86" s="82">
        <v>77</v>
      </c>
      <c r="B86" s="145">
        <v>105.94623731378216</v>
      </c>
      <c r="C86" s="84">
        <v>0</v>
      </c>
      <c r="G86" s="87"/>
      <c r="H86" s="90"/>
    </row>
    <row r="87" spans="1:8">
      <c r="A87" s="82">
        <v>78</v>
      </c>
      <c r="B87" s="145">
        <v>154.99730653949999</v>
      </c>
      <c r="C87" s="84">
        <v>0</v>
      </c>
      <c r="G87" s="87"/>
      <c r="H87" s="90"/>
    </row>
    <row r="88" spans="1:8">
      <c r="A88" s="82">
        <v>79</v>
      </c>
      <c r="B88" s="145">
        <v>139.21963599374769</v>
      </c>
      <c r="C88" s="84">
        <v>0</v>
      </c>
      <c r="G88" s="87"/>
      <c r="H88" s="90"/>
    </row>
    <row r="89" spans="1:8">
      <c r="A89" s="82">
        <v>80</v>
      </c>
      <c r="B89" s="145">
        <v>187.44714644848</v>
      </c>
      <c r="C89" s="84">
        <v>0</v>
      </c>
      <c r="G89" s="87"/>
      <c r="H89" s="90"/>
    </row>
    <row r="90" spans="1:8">
      <c r="A90" s="82">
        <v>81</v>
      </c>
      <c r="B90" s="145">
        <v>141.44709777996565</v>
      </c>
      <c r="C90" s="84">
        <v>0</v>
      </c>
      <c r="G90" s="87"/>
      <c r="H90" s="90"/>
    </row>
    <row r="91" spans="1:8">
      <c r="A91" s="82">
        <v>82</v>
      </c>
      <c r="B91" s="145">
        <v>165.99475929540685</v>
      </c>
      <c r="C91" s="84">
        <v>0</v>
      </c>
      <c r="G91" s="87"/>
      <c r="H91" s="90"/>
    </row>
    <row r="92" spans="1:8">
      <c r="A92" s="82">
        <v>83</v>
      </c>
      <c r="B92" s="145">
        <v>95.017057612932916</v>
      </c>
      <c r="C92" s="84">
        <v>4.9829423870670837</v>
      </c>
      <c r="G92" s="87"/>
      <c r="H92" s="90"/>
    </row>
    <row r="93" spans="1:8">
      <c r="A93" s="82">
        <v>84</v>
      </c>
      <c r="B93" s="145">
        <v>170.51186869246933</v>
      </c>
      <c r="C93" s="84">
        <v>0</v>
      </c>
      <c r="G93" s="87"/>
      <c r="H93" s="90"/>
    </row>
    <row r="94" spans="1:8">
      <c r="A94" s="82">
        <v>85</v>
      </c>
      <c r="B94" s="145">
        <v>211.04482788651933</v>
      </c>
      <c r="C94" s="84">
        <v>0</v>
      </c>
      <c r="G94" s="87"/>
      <c r="H94" s="90"/>
    </row>
    <row r="95" spans="1:8">
      <c r="A95" s="82">
        <v>86</v>
      </c>
      <c r="B95" s="145">
        <v>124.92419485876302</v>
      </c>
      <c r="C95" s="84">
        <v>0</v>
      </c>
      <c r="G95" s="87"/>
      <c r="H95" s="90"/>
    </row>
    <row r="96" spans="1:8">
      <c r="A96" s="82">
        <v>87</v>
      </c>
      <c r="B96" s="145">
        <v>96.239246847332424</v>
      </c>
      <c r="C96" s="84">
        <v>3.7607531526675757</v>
      </c>
      <c r="G96" s="87"/>
      <c r="H96" s="90"/>
    </row>
    <row r="97" spans="1:8">
      <c r="A97" s="82">
        <v>88</v>
      </c>
      <c r="B97" s="145">
        <v>86.886127323181924</v>
      </c>
      <c r="C97" s="84">
        <v>13.113872676818076</v>
      </c>
      <c r="G97" s="87"/>
      <c r="H97" s="90"/>
    </row>
    <row r="98" spans="1:8">
      <c r="A98" s="82">
        <v>89</v>
      </c>
      <c r="B98" s="145">
        <v>67.329040480211077</v>
      </c>
      <c r="C98" s="84">
        <v>32.670959519788923</v>
      </c>
      <c r="G98" s="87"/>
      <c r="H98" s="90"/>
    </row>
    <row r="99" spans="1:8">
      <c r="A99" s="82">
        <v>90</v>
      </c>
      <c r="B99" s="145">
        <v>119.05756295406627</v>
      </c>
      <c r="C99" s="84">
        <v>0</v>
      </c>
      <c r="G99" s="87"/>
      <c r="H99" s="90"/>
    </row>
    <row r="100" spans="1:8" ht="14.4" thickBot="1">
      <c r="A100" s="83">
        <v>91</v>
      </c>
      <c r="B100" s="81">
        <v>151.59984459712217</v>
      </c>
      <c r="C100" s="85">
        <v>0</v>
      </c>
      <c r="G100" s="87"/>
      <c r="H100" s="90"/>
    </row>
    <row r="101" spans="1:8">
      <c r="A101">
        <v>92</v>
      </c>
      <c r="B101">
        <v>138.18832062466535</v>
      </c>
      <c r="C101">
        <v>0</v>
      </c>
      <c r="G101" s="87"/>
      <c r="H101" s="90"/>
    </row>
    <row r="102" spans="1:8">
      <c r="A102">
        <v>93</v>
      </c>
      <c r="B102">
        <v>137.51272854852323</v>
      </c>
      <c r="C102">
        <v>0</v>
      </c>
      <c r="G102" s="87"/>
      <c r="H102" s="90"/>
    </row>
    <row r="103" spans="1:8">
      <c r="A103">
        <v>94</v>
      </c>
      <c r="B103">
        <v>190.32973027547868</v>
      </c>
      <c r="C103">
        <v>0</v>
      </c>
      <c r="G103" s="87"/>
      <c r="H103" s="90"/>
    </row>
    <row r="104" spans="1:8">
      <c r="A104">
        <v>95</v>
      </c>
      <c r="B104">
        <v>167.5752375703654</v>
      </c>
      <c r="C104">
        <v>0</v>
      </c>
      <c r="G104" s="87"/>
      <c r="H104" s="90"/>
    </row>
    <row r="105" spans="1:8">
      <c r="A105">
        <v>96</v>
      </c>
      <c r="B105">
        <v>88.996432723152409</v>
      </c>
      <c r="C105">
        <v>11.003567276847591</v>
      </c>
      <c r="G105" s="87"/>
      <c r="H105" s="90"/>
    </row>
    <row r="106" spans="1:8">
      <c r="A106">
        <v>97</v>
      </c>
      <c r="B106">
        <v>164.90896920380081</v>
      </c>
      <c r="C106">
        <v>0</v>
      </c>
      <c r="G106" s="87"/>
      <c r="H106" s="90"/>
    </row>
    <row r="107" spans="1:8">
      <c r="A107">
        <v>98</v>
      </c>
      <c r="B107">
        <v>142.60550544289532</v>
      </c>
      <c r="C107">
        <v>0</v>
      </c>
      <c r="G107" s="87"/>
      <c r="H107" s="90"/>
    </row>
    <row r="108" spans="1:8">
      <c r="A108">
        <v>99</v>
      </c>
      <c r="B108">
        <v>122.57132532535698</v>
      </c>
      <c r="C108">
        <v>0</v>
      </c>
      <c r="G108" s="87"/>
      <c r="H108" s="90"/>
    </row>
    <row r="109" spans="1:8">
      <c r="A109">
        <v>100</v>
      </c>
      <c r="B109">
        <v>263.2682749547991</v>
      </c>
      <c r="C109">
        <v>0</v>
      </c>
      <c r="G109" s="87"/>
      <c r="H109" s="90"/>
    </row>
    <row r="110" spans="1:8">
      <c r="G110" s="87"/>
      <c r="H110" s="90"/>
    </row>
    <row r="111" spans="1:8">
      <c r="G111" s="87"/>
      <c r="H111" s="90"/>
    </row>
    <row r="112" spans="1:8">
      <c r="G112" s="87"/>
      <c r="H112" s="90"/>
    </row>
    <row r="113" spans="7:8">
      <c r="G113" s="87"/>
      <c r="H113" s="90"/>
    </row>
    <row r="114" spans="7:8">
      <c r="G114" s="87"/>
      <c r="H114" s="90"/>
    </row>
    <row r="115" spans="7:8">
      <c r="G115" s="87"/>
      <c r="H115" s="90"/>
    </row>
    <row r="116" spans="7:8">
      <c r="G116" s="87"/>
      <c r="H116" s="90"/>
    </row>
    <row r="117" spans="7:8">
      <c r="G117" s="87"/>
      <c r="H117" s="90"/>
    </row>
    <row r="118" spans="7:8">
      <c r="G118" s="87"/>
      <c r="H118" s="90"/>
    </row>
    <row r="119" spans="7:8">
      <c r="G119" s="87"/>
      <c r="H119" s="90"/>
    </row>
    <row r="120" spans="7:8">
      <c r="G120" s="87"/>
      <c r="H120" s="90"/>
    </row>
    <row r="121" spans="7:8">
      <c r="G121" s="87"/>
      <c r="H121" s="90"/>
    </row>
    <row r="122" spans="7:8">
      <c r="G122" s="87"/>
      <c r="H122" s="90"/>
    </row>
    <row r="123" spans="7:8">
      <c r="G123" s="87"/>
      <c r="H123" s="90"/>
    </row>
    <row r="124" spans="7:8">
      <c r="G124" s="87"/>
      <c r="H124" s="90"/>
    </row>
    <row r="125" spans="7:8">
      <c r="G125" s="87"/>
      <c r="H125" s="90"/>
    </row>
    <row r="126" spans="7:8">
      <c r="G126" s="87"/>
      <c r="H126" s="90"/>
    </row>
    <row r="127" spans="7:8">
      <c r="G127" s="87"/>
      <c r="H127" s="90"/>
    </row>
    <row r="128" spans="7:8">
      <c r="G128" s="87"/>
      <c r="H128" s="90"/>
    </row>
    <row r="129" spans="7:8">
      <c r="G129" s="87"/>
      <c r="H129" s="90"/>
    </row>
    <row r="130" spans="7:8">
      <c r="G130" s="87"/>
      <c r="H130" s="90"/>
    </row>
    <row r="131" spans="7:8">
      <c r="G131" s="87"/>
      <c r="H131" s="90"/>
    </row>
    <row r="132" spans="7:8">
      <c r="G132" s="87"/>
      <c r="H132" s="90"/>
    </row>
    <row r="133" spans="7:8">
      <c r="G133" s="87"/>
      <c r="H133" s="90"/>
    </row>
    <row r="134" spans="7:8">
      <c r="G134" s="87"/>
      <c r="H134" s="90"/>
    </row>
    <row r="135" spans="7:8">
      <c r="G135" s="87"/>
      <c r="H135" s="90"/>
    </row>
    <row r="136" spans="7:8">
      <c r="G136" s="87"/>
      <c r="H136" s="90"/>
    </row>
    <row r="137" spans="7:8">
      <c r="G137" s="87"/>
      <c r="H137" s="90"/>
    </row>
    <row r="138" spans="7:8">
      <c r="G138" s="87"/>
      <c r="H138" s="90"/>
    </row>
    <row r="139" spans="7:8">
      <c r="G139" s="87"/>
      <c r="H139" s="90"/>
    </row>
    <row r="140" spans="7:8">
      <c r="G140" s="87"/>
      <c r="H140" s="90"/>
    </row>
    <row r="141" spans="7:8">
      <c r="G141" s="87"/>
      <c r="H141" s="90"/>
    </row>
    <row r="142" spans="7:8">
      <c r="G142" s="87"/>
      <c r="H142" s="90"/>
    </row>
    <row r="143" spans="7:8">
      <c r="G143" s="87"/>
      <c r="H143" s="90"/>
    </row>
    <row r="144" spans="7:8">
      <c r="G144" s="87"/>
      <c r="H144" s="90"/>
    </row>
    <row r="145" spans="7:8">
      <c r="G145" s="87"/>
      <c r="H145" s="90"/>
    </row>
    <row r="146" spans="7:8">
      <c r="G146" s="87"/>
      <c r="H146" s="90"/>
    </row>
    <row r="147" spans="7:8">
      <c r="G147" s="87"/>
      <c r="H147" s="90"/>
    </row>
    <row r="148" spans="7:8">
      <c r="G148" s="87"/>
      <c r="H148" s="90"/>
    </row>
    <row r="149" spans="7:8">
      <c r="G149" s="87"/>
      <c r="H149" s="90"/>
    </row>
    <row r="150" spans="7:8">
      <c r="G150" s="87"/>
      <c r="H150" s="90"/>
    </row>
    <row r="151" spans="7:8">
      <c r="G151" s="87"/>
      <c r="H151" s="90"/>
    </row>
    <row r="152" spans="7:8">
      <c r="G152" s="87"/>
      <c r="H152" s="90"/>
    </row>
    <row r="153" spans="7:8">
      <c r="G153" s="87"/>
      <c r="H153" s="90"/>
    </row>
    <row r="154" spans="7:8">
      <c r="G154" s="87"/>
      <c r="H154" s="90"/>
    </row>
    <row r="155" spans="7:8">
      <c r="G155" s="87"/>
      <c r="H155" s="90"/>
    </row>
    <row r="156" spans="7:8">
      <c r="G156" s="87"/>
      <c r="H156" s="90"/>
    </row>
    <row r="157" spans="7:8">
      <c r="G157" s="87"/>
      <c r="H157" s="90"/>
    </row>
    <row r="158" spans="7:8">
      <c r="G158" s="87"/>
      <c r="H158" s="90"/>
    </row>
    <row r="159" spans="7:8">
      <c r="G159" s="87"/>
      <c r="H159" s="90"/>
    </row>
    <row r="160" spans="7:8">
      <c r="G160" s="87"/>
      <c r="H160" s="90"/>
    </row>
    <row r="161" spans="7:8">
      <c r="G161" s="87"/>
      <c r="H161" s="90"/>
    </row>
    <row r="162" spans="7:8">
      <c r="G162" s="87"/>
      <c r="H162" s="90"/>
    </row>
    <row r="163" spans="7:8">
      <c r="G163" s="87"/>
      <c r="H163" s="90"/>
    </row>
    <row r="164" spans="7:8">
      <c r="G164" s="87"/>
      <c r="H164" s="90"/>
    </row>
    <row r="165" spans="7:8">
      <c r="G165" s="87"/>
      <c r="H165" s="90"/>
    </row>
    <row r="166" spans="7:8">
      <c r="G166" s="87"/>
      <c r="H166" s="90"/>
    </row>
    <row r="167" spans="7:8">
      <c r="G167" s="87"/>
      <c r="H167" s="90"/>
    </row>
    <row r="168" spans="7:8">
      <c r="G168" s="87"/>
      <c r="H168" s="90"/>
    </row>
    <row r="169" spans="7:8">
      <c r="G169" s="87"/>
      <c r="H169" s="90"/>
    </row>
    <row r="170" spans="7:8">
      <c r="G170" s="87"/>
      <c r="H170" s="90"/>
    </row>
    <row r="171" spans="7:8">
      <c r="G171" s="87"/>
      <c r="H171" s="90"/>
    </row>
    <row r="172" spans="7:8">
      <c r="G172" s="87"/>
      <c r="H172" s="90"/>
    </row>
    <row r="173" spans="7:8">
      <c r="G173" s="87"/>
      <c r="H173" s="90"/>
    </row>
    <row r="174" spans="7:8">
      <c r="G174" s="87"/>
      <c r="H174" s="90"/>
    </row>
    <row r="175" spans="7:8">
      <c r="G175" s="87"/>
      <c r="H175" s="90"/>
    </row>
    <row r="176" spans="7:8">
      <c r="G176" s="87"/>
      <c r="H176" s="90"/>
    </row>
    <row r="177" spans="7:8">
      <c r="G177" s="87"/>
      <c r="H177" s="90"/>
    </row>
    <row r="178" spans="7:8">
      <c r="G178" s="87"/>
      <c r="H178" s="90"/>
    </row>
    <row r="179" spans="7:8">
      <c r="G179" s="87"/>
      <c r="H179" s="90"/>
    </row>
    <row r="180" spans="7:8">
      <c r="G180" s="87"/>
      <c r="H180" s="90"/>
    </row>
    <row r="181" spans="7:8">
      <c r="G181" s="87"/>
      <c r="H181" s="90"/>
    </row>
    <row r="182" spans="7:8">
      <c r="G182" s="87"/>
      <c r="H182" s="90"/>
    </row>
    <row r="183" spans="7:8">
      <c r="G183" s="87"/>
      <c r="H183" s="90"/>
    </row>
    <row r="184" spans="7:8">
      <c r="G184" s="87"/>
      <c r="H184" s="90"/>
    </row>
    <row r="185" spans="7:8">
      <c r="G185" s="87"/>
      <c r="H185" s="90"/>
    </row>
    <row r="186" spans="7:8">
      <c r="G186" s="87"/>
      <c r="H186" s="90"/>
    </row>
    <row r="187" spans="7:8">
      <c r="G187" s="87"/>
      <c r="H187" s="90"/>
    </row>
    <row r="188" spans="7:8">
      <c r="G188" s="87"/>
      <c r="H188" s="90"/>
    </row>
    <row r="189" spans="7:8">
      <c r="G189" s="87"/>
      <c r="H189" s="90"/>
    </row>
    <row r="190" spans="7:8">
      <c r="G190" s="87"/>
      <c r="H190" s="90"/>
    </row>
    <row r="191" spans="7:8">
      <c r="G191" s="87"/>
      <c r="H191" s="90"/>
    </row>
    <row r="192" spans="7:8">
      <c r="G192" s="87"/>
      <c r="H192" s="90"/>
    </row>
    <row r="193" spans="7:8">
      <c r="G193" s="87"/>
      <c r="H193" s="90"/>
    </row>
    <row r="194" spans="7:8">
      <c r="G194" s="87"/>
      <c r="H194" s="90"/>
    </row>
    <row r="195" spans="7:8">
      <c r="G195" s="87"/>
      <c r="H195" s="90"/>
    </row>
    <row r="196" spans="7:8">
      <c r="G196" s="87"/>
      <c r="H196" s="90"/>
    </row>
    <row r="197" spans="7:8">
      <c r="G197" s="87"/>
      <c r="H197" s="90"/>
    </row>
    <row r="198" spans="7:8">
      <c r="G198" s="87"/>
      <c r="H198" s="90"/>
    </row>
    <row r="199" spans="7:8">
      <c r="G199" s="87"/>
      <c r="H199" s="90"/>
    </row>
    <row r="200" spans="7:8">
      <c r="G200" s="87"/>
      <c r="H200" s="90"/>
    </row>
    <row r="201" spans="7:8">
      <c r="G201" s="87"/>
      <c r="H201" s="90"/>
    </row>
    <row r="202" spans="7:8">
      <c r="G202" s="87"/>
      <c r="H202" s="90"/>
    </row>
    <row r="203" spans="7:8">
      <c r="G203" s="87"/>
      <c r="H203" s="90"/>
    </row>
    <row r="204" spans="7:8">
      <c r="G204" s="87"/>
      <c r="H204" s="90"/>
    </row>
    <row r="205" spans="7:8">
      <c r="G205" s="87"/>
      <c r="H205" s="90"/>
    </row>
    <row r="206" spans="7:8">
      <c r="G206" s="87"/>
      <c r="H206" s="90"/>
    </row>
    <row r="207" spans="7:8">
      <c r="G207" s="87"/>
      <c r="H207" s="90"/>
    </row>
    <row r="208" spans="7:8">
      <c r="G208" s="87"/>
      <c r="H208" s="90"/>
    </row>
    <row r="209" spans="7:8">
      <c r="G209" s="87"/>
      <c r="H209" s="90"/>
    </row>
    <row r="210" spans="7:8">
      <c r="G210" s="87"/>
      <c r="H210" s="90"/>
    </row>
    <row r="211" spans="7:8">
      <c r="G211" s="87"/>
      <c r="H211" s="90"/>
    </row>
    <row r="212" spans="7:8">
      <c r="G212" s="87"/>
      <c r="H212" s="90"/>
    </row>
    <row r="213" spans="7:8">
      <c r="G213" s="87"/>
      <c r="H213" s="90"/>
    </row>
    <row r="214" spans="7:8">
      <c r="G214" s="87"/>
      <c r="H214" s="90"/>
    </row>
    <row r="215" spans="7:8">
      <c r="G215" s="87"/>
      <c r="H215" s="90"/>
    </row>
    <row r="216" spans="7:8">
      <c r="G216" s="87"/>
      <c r="H216" s="90"/>
    </row>
    <row r="217" spans="7:8">
      <c r="G217" s="87"/>
      <c r="H217" s="90"/>
    </row>
    <row r="218" spans="7:8">
      <c r="G218" s="87"/>
      <c r="H218" s="90"/>
    </row>
    <row r="219" spans="7:8">
      <c r="G219" s="87"/>
      <c r="H219" s="90"/>
    </row>
    <row r="220" spans="7:8">
      <c r="G220" s="87"/>
      <c r="H220" s="90"/>
    </row>
    <row r="221" spans="7:8">
      <c r="G221" s="87"/>
      <c r="H221" s="90"/>
    </row>
    <row r="222" spans="7:8">
      <c r="G222" s="87"/>
      <c r="H222" s="90"/>
    </row>
    <row r="223" spans="7:8">
      <c r="G223" s="87"/>
      <c r="H223" s="90"/>
    </row>
    <row r="224" spans="7:8">
      <c r="G224" s="87"/>
      <c r="H224" s="90"/>
    </row>
    <row r="225" spans="7:8">
      <c r="G225" s="87"/>
      <c r="H225" s="90"/>
    </row>
    <row r="226" spans="7:8">
      <c r="G226" s="87"/>
      <c r="H226" s="90"/>
    </row>
    <row r="227" spans="7:8">
      <c r="G227" s="87"/>
      <c r="H227" s="90"/>
    </row>
    <row r="228" spans="7:8">
      <c r="G228" s="87"/>
      <c r="H228" s="90"/>
    </row>
    <row r="229" spans="7:8">
      <c r="G229" s="87"/>
      <c r="H229" s="90"/>
    </row>
    <row r="230" spans="7:8">
      <c r="G230" s="87"/>
      <c r="H230" s="90"/>
    </row>
    <row r="231" spans="7:8">
      <c r="G231" s="87"/>
      <c r="H231" s="90"/>
    </row>
    <row r="232" spans="7:8">
      <c r="G232" s="87"/>
      <c r="H232" s="90"/>
    </row>
    <row r="233" spans="7:8">
      <c r="G233" s="87"/>
      <c r="H233" s="90"/>
    </row>
    <row r="234" spans="7:8">
      <c r="G234" s="87"/>
      <c r="H234" s="90"/>
    </row>
    <row r="235" spans="7:8">
      <c r="G235" s="87"/>
      <c r="H235" s="90"/>
    </row>
    <row r="236" spans="7:8">
      <c r="G236" s="87"/>
      <c r="H236" s="90"/>
    </row>
    <row r="237" spans="7:8">
      <c r="G237" s="87"/>
      <c r="H237" s="90"/>
    </row>
    <row r="238" spans="7:8">
      <c r="G238" s="87"/>
      <c r="H238" s="90"/>
    </row>
    <row r="239" spans="7:8">
      <c r="G239" s="87"/>
      <c r="H239" s="90"/>
    </row>
    <row r="240" spans="7:8">
      <c r="G240" s="87"/>
      <c r="H240" s="90"/>
    </row>
    <row r="241" spans="7:8">
      <c r="G241" s="87"/>
      <c r="H241" s="90"/>
    </row>
    <row r="242" spans="7:8">
      <c r="G242" s="87"/>
      <c r="H242" s="90"/>
    </row>
    <row r="243" spans="7:8">
      <c r="G243" s="87"/>
      <c r="H243" s="90"/>
    </row>
    <row r="244" spans="7:8">
      <c r="G244" s="87"/>
      <c r="H244" s="90"/>
    </row>
    <row r="245" spans="7:8">
      <c r="G245" s="87"/>
      <c r="H245" s="90"/>
    </row>
    <row r="246" spans="7:8">
      <c r="G246" s="87"/>
      <c r="H246" s="90"/>
    </row>
    <row r="247" spans="7:8">
      <c r="G247" s="87"/>
      <c r="H247" s="90"/>
    </row>
    <row r="248" spans="7:8">
      <c r="G248" s="87"/>
      <c r="H248" s="90"/>
    </row>
    <row r="249" spans="7:8">
      <c r="G249" s="87"/>
      <c r="H249" s="90"/>
    </row>
    <row r="250" spans="7:8">
      <c r="G250" s="87"/>
      <c r="H250" s="90"/>
    </row>
    <row r="251" spans="7:8">
      <c r="G251" s="87"/>
      <c r="H251" s="90"/>
    </row>
    <row r="252" spans="7:8">
      <c r="G252" s="87"/>
      <c r="H252" s="90"/>
    </row>
    <row r="253" spans="7:8">
      <c r="G253" s="87"/>
      <c r="H253" s="90"/>
    </row>
    <row r="254" spans="7:8">
      <c r="G254" s="87"/>
      <c r="H254" s="90"/>
    </row>
    <row r="255" spans="7:8">
      <c r="G255" s="87"/>
      <c r="H255" s="90"/>
    </row>
    <row r="256" spans="7:8">
      <c r="G256" s="87"/>
      <c r="H256" s="90"/>
    </row>
    <row r="257" spans="7:8">
      <c r="G257" s="87"/>
      <c r="H257" s="90"/>
    </row>
    <row r="258" spans="7:8">
      <c r="G258" s="87"/>
      <c r="H258" s="90"/>
    </row>
    <row r="259" spans="7:8">
      <c r="G259" s="87"/>
      <c r="H259" s="90"/>
    </row>
    <row r="260" spans="7:8">
      <c r="G260" s="87"/>
      <c r="H260" s="90"/>
    </row>
    <row r="261" spans="7:8">
      <c r="G261" s="87"/>
      <c r="H261" s="90"/>
    </row>
    <row r="262" spans="7:8">
      <c r="G262" s="87"/>
      <c r="H262" s="90"/>
    </row>
    <row r="263" spans="7:8">
      <c r="G263" s="87"/>
      <c r="H263" s="90"/>
    </row>
    <row r="264" spans="7:8">
      <c r="G264" s="87"/>
      <c r="H264" s="90"/>
    </row>
    <row r="265" spans="7:8">
      <c r="G265" s="87"/>
      <c r="H265" s="90"/>
    </row>
    <row r="266" spans="7:8">
      <c r="G266" s="87"/>
      <c r="H266" s="90"/>
    </row>
    <row r="267" spans="7:8">
      <c r="G267" s="87"/>
      <c r="H267" s="90"/>
    </row>
    <row r="268" spans="7:8">
      <c r="G268" s="87"/>
      <c r="H268" s="90"/>
    </row>
    <row r="269" spans="7:8">
      <c r="G269" s="87"/>
      <c r="H269" s="90"/>
    </row>
    <row r="270" spans="7:8">
      <c r="G270" s="87"/>
      <c r="H270" s="90"/>
    </row>
    <row r="271" spans="7:8">
      <c r="G271" s="87"/>
      <c r="H271" s="90"/>
    </row>
    <row r="272" spans="7:8">
      <c r="G272" s="87"/>
      <c r="H272" s="90"/>
    </row>
    <row r="273" spans="7:8">
      <c r="G273" s="87"/>
      <c r="H273" s="90"/>
    </row>
    <row r="274" spans="7:8">
      <c r="G274" s="87"/>
      <c r="H274" s="90"/>
    </row>
    <row r="275" spans="7:8">
      <c r="G275" s="87"/>
      <c r="H275" s="90"/>
    </row>
    <row r="276" spans="7:8">
      <c r="G276" s="87"/>
      <c r="H276" s="90"/>
    </row>
    <row r="277" spans="7:8">
      <c r="G277" s="87"/>
      <c r="H277" s="90"/>
    </row>
    <row r="278" spans="7:8">
      <c r="G278" s="87"/>
      <c r="H278" s="90"/>
    </row>
    <row r="279" spans="7:8">
      <c r="G279" s="87"/>
      <c r="H279" s="90"/>
    </row>
    <row r="280" spans="7:8">
      <c r="G280" s="87"/>
      <c r="H280" s="90"/>
    </row>
    <row r="281" spans="7:8">
      <c r="G281" s="87"/>
      <c r="H281" s="90"/>
    </row>
    <row r="282" spans="7:8">
      <c r="G282" s="87"/>
      <c r="H282" s="90"/>
    </row>
    <row r="283" spans="7:8">
      <c r="G283" s="87"/>
      <c r="H283" s="90"/>
    </row>
    <row r="284" spans="7:8">
      <c r="G284" s="87"/>
      <c r="H284" s="90"/>
    </row>
    <row r="285" spans="7:8">
      <c r="G285" s="87"/>
      <c r="H285" s="90"/>
    </row>
    <row r="286" spans="7:8">
      <c r="G286" s="87"/>
      <c r="H286" s="90"/>
    </row>
    <row r="287" spans="7:8">
      <c r="G287" s="87"/>
      <c r="H287" s="90"/>
    </row>
    <row r="288" spans="7:8">
      <c r="G288" s="87"/>
      <c r="H288" s="90"/>
    </row>
    <row r="289" spans="7:8">
      <c r="G289" s="87"/>
      <c r="H289" s="90"/>
    </row>
    <row r="290" spans="7:8">
      <c r="G290" s="87"/>
      <c r="H290" s="90"/>
    </row>
    <row r="291" spans="7:8">
      <c r="G291" s="87"/>
      <c r="H291" s="90"/>
    </row>
    <row r="292" spans="7:8">
      <c r="G292" s="87"/>
      <c r="H292" s="90"/>
    </row>
    <row r="293" spans="7:8">
      <c r="G293" s="87"/>
      <c r="H293" s="90"/>
    </row>
    <row r="294" spans="7:8">
      <c r="G294" s="87"/>
      <c r="H294" s="90"/>
    </row>
    <row r="295" spans="7:8">
      <c r="G295" s="87"/>
      <c r="H295" s="90"/>
    </row>
    <row r="296" spans="7:8">
      <c r="G296" s="87"/>
      <c r="H296" s="90"/>
    </row>
    <row r="297" spans="7:8">
      <c r="G297" s="87"/>
      <c r="H297" s="90"/>
    </row>
    <row r="298" spans="7:8">
      <c r="G298" s="87"/>
      <c r="H298" s="90"/>
    </row>
    <row r="299" spans="7:8">
      <c r="G299" s="87"/>
      <c r="H299" s="90"/>
    </row>
    <row r="300" spans="7:8">
      <c r="G300" s="87"/>
      <c r="H300" s="90"/>
    </row>
    <row r="301" spans="7:8">
      <c r="G301" s="87"/>
      <c r="H301" s="90"/>
    </row>
    <row r="302" spans="7:8">
      <c r="G302" s="87"/>
      <c r="H302" s="90"/>
    </row>
    <row r="303" spans="7:8">
      <c r="G303" s="87"/>
      <c r="H303" s="90"/>
    </row>
    <row r="304" spans="7:8">
      <c r="G304" s="87"/>
      <c r="H304" s="90"/>
    </row>
    <row r="305" spans="7:8">
      <c r="G305" s="87"/>
      <c r="H305" s="90"/>
    </row>
    <row r="306" spans="7:8">
      <c r="G306" s="87"/>
      <c r="H306" s="90"/>
    </row>
    <row r="307" spans="7:8">
      <c r="G307" s="87"/>
      <c r="H307" s="90"/>
    </row>
    <row r="308" spans="7:8">
      <c r="G308" s="87"/>
      <c r="H308" s="90"/>
    </row>
    <row r="309" spans="7:8">
      <c r="G309" s="87"/>
      <c r="H309" s="90"/>
    </row>
    <row r="310" spans="7:8">
      <c r="G310" s="87"/>
      <c r="H310" s="90"/>
    </row>
    <row r="311" spans="7:8">
      <c r="G311" s="87"/>
      <c r="H311" s="90"/>
    </row>
    <row r="312" spans="7:8">
      <c r="G312" s="87"/>
      <c r="H312" s="90"/>
    </row>
    <row r="313" spans="7:8">
      <c r="G313" s="87"/>
      <c r="H313" s="90"/>
    </row>
    <row r="314" spans="7:8">
      <c r="G314" s="87"/>
      <c r="H314" s="90"/>
    </row>
    <row r="315" spans="7:8">
      <c r="G315" s="87"/>
      <c r="H315" s="90"/>
    </row>
    <row r="316" spans="7:8">
      <c r="G316" s="87"/>
      <c r="H316" s="90"/>
    </row>
    <row r="317" spans="7:8">
      <c r="G317" s="87"/>
      <c r="H317" s="90"/>
    </row>
    <row r="318" spans="7:8">
      <c r="G318" s="87"/>
      <c r="H318" s="90"/>
    </row>
    <row r="319" spans="7:8">
      <c r="G319" s="87"/>
      <c r="H319" s="90"/>
    </row>
    <row r="320" spans="7:8">
      <c r="G320" s="87"/>
      <c r="H320" s="90"/>
    </row>
    <row r="321" spans="7:8">
      <c r="G321" s="87"/>
      <c r="H321" s="90"/>
    </row>
    <row r="322" spans="7:8">
      <c r="G322" s="87"/>
      <c r="H322" s="90"/>
    </row>
    <row r="323" spans="7:8">
      <c r="G323" s="87"/>
      <c r="H323" s="90"/>
    </row>
    <row r="324" spans="7:8">
      <c r="G324" s="87"/>
      <c r="H324" s="90"/>
    </row>
    <row r="325" spans="7:8">
      <c r="G325" s="87"/>
      <c r="H325" s="90"/>
    </row>
    <row r="326" spans="7:8">
      <c r="G326" s="87"/>
      <c r="H326" s="90"/>
    </row>
    <row r="327" spans="7:8">
      <c r="G327" s="87"/>
      <c r="H327" s="90"/>
    </row>
    <row r="328" spans="7:8">
      <c r="G328" s="87"/>
      <c r="H328" s="90"/>
    </row>
    <row r="329" spans="7:8">
      <c r="G329" s="87"/>
      <c r="H329" s="90"/>
    </row>
    <row r="330" spans="7:8">
      <c r="G330" s="87"/>
      <c r="H330" s="90"/>
    </row>
    <row r="331" spans="7:8">
      <c r="G331" s="87"/>
      <c r="H331" s="90"/>
    </row>
    <row r="332" spans="7:8">
      <c r="G332" s="87"/>
      <c r="H332" s="90"/>
    </row>
    <row r="333" spans="7:8">
      <c r="G333" s="87"/>
      <c r="H333" s="90"/>
    </row>
    <row r="334" spans="7:8">
      <c r="G334" s="87"/>
      <c r="H334" s="90"/>
    </row>
    <row r="335" spans="7:8">
      <c r="G335" s="87"/>
      <c r="H335" s="90"/>
    </row>
    <row r="336" spans="7:8">
      <c r="G336" s="87"/>
      <c r="H336" s="90"/>
    </row>
    <row r="337" spans="7:8">
      <c r="G337" s="87"/>
      <c r="H337" s="90"/>
    </row>
    <row r="338" spans="7:8">
      <c r="G338" s="87"/>
      <c r="H338" s="90"/>
    </row>
    <row r="339" spans="7:8">
      <c r="G339" s="87"/>
      <c r="H339" s="90"/>
    </row>
    <row r="340" spans="7:8">
      <c r="G340" s="87"/>
      <c r="H340" s="90"/>
    </row>
    <row r="341" spans="7:8">
      <c r="G341" s="87"/>
      <c r="H341" s="90"/>
    </row>
    <row r="342" spans="7:8">
      <c r="G342" s="87"/>
      <c r="H342" s="90"/>
    </row>
    <row r="343" spans="7:8">
      <c r="G343" s="87"/>
      <c r="H343" s="90"/>
    </row>
    <row r="344" spans="7:8">
      <c r="G344" s="87"/>
      <c r="H344" s="90"/>
    </row>
    <row r="345" spans="7:8">
      <c r="G345" s="87"/>
      <c r="H345" s="90"/>
    </row>
    <row r="346" spans="7:8">
      <c r="G346" s="87"/>
      <c r="H346" s="90"/>
    </row>
    <row r="347" spans="7:8">
      <c r="G347" s="87"/>
      <c r="H347" s="90"/>
    </row>
    <row r="348" spans="7:8">
      <c r="G348" s="87"/>
      <c r="H348" s="90"/>
    </row>
    <row r="349" spans="7:8">
      <c r="G349" s="87"/>
      <c r="H349" s="90"/>
    </row>
    <row r="350" spans="7:8">
      <c r="G350" s="87"/>
      <c r="H350" s="90"/>
    </row>
    <row r="351" spans="7:8">
      <c r="G351" s="87"/>
      <c r="H351" s="90"/>
    </row>
    <row r="352" spans="7:8">
      <c r="G352" s="87"/>
      <c r="H352" s="90"/>
    </row>
    <row r="353" spans="7:8">
      <c r="G353" s="87"/>
      <c r="H353" s="90"/>
    </row>
    <row r="354" spans="7:8">
      <c r="G354" s="87"/>
      <c r="H354" s="90"/>
    </row>
    <row r="355" spans="7:8">
      <c r="G355" s="87"/>
      <c r="H355" s="90"/>
    </row>
    <row r="356" spans="7:8">
      <c r="G356" s="87"/>
      <c r="H356" s="90"/>
    </row>
    <row r="357" spans="7:8">
      <c r="G357" s="87"/>
      <c r="H357" s="90"/>
    </row>
    <row r="358" spans="7:8">
      <c r="G358" s="87"/>
      <c r="H358" s="90"/>
    </row>
    <row r="359" spans="7:8">
      <c r="G359" s="87"/>
      <c r="H359" s="90"/>
    </row>
    <row r="360" spans="7:8">
      <c r="G360" s="87"/>
      <c r="H360" s="90"/>
    </row>
    <row r="361" spans="7:8">
      <c r="G361" s="87"/>
      <c r="H361" s="90"/>
    </row>
    <row r="362" spans="7:8">
      <c r="G362" s="87"/>
      <c r="H362" s="90"/>
    </row>
    <row r="363" spans="7:8">
      <c r="G363" s="87"/>
      <c r="H363" s="90"/>
    </row>
    <row r="364" spans="7:8">
      <c r="G364" s="87"/>
      <c r="H364" s="90"/>
    </row>
    <row r="365" spans="7:8">
      <c r="G365" s="87"/>
      <c r="H365" s="90"/>
    </row>
    <row r="366" spans="7:8">
      <c r="G366" s="87"/>
      <c r="H366" s="90"/>
    </row>
    <row r="367" spans="7:8">
      <c r="G367" s="87"/>
      <c r="H367" s="90"/>
    </row>
    <row r="368" spans="7:8">
      <c r="G368" s="87"/>
      <c r="H368" s="90"/>
    </row>
    <row r="369" spans="7:8">
      <c r="G369" s="87"/>
      <c r="H369" s="90"/>
    </row>
    <row r="370" spans="7:8">
      <c r="G370" s="87"/>
      <c r="H370" s="90"/>
    </row>
    <row r="371" spans="7:8">
      <c r="G371" s="87"/>
      <c r="H371" s="90"/>
    </row>
    <row r="372" spans="7:8">
      <c r="G372" s="87"/>
      <c r="H372" s="90"/>
    </row>
    <row r="373" spans="7:8">
      <c r="G373" s="87"/>
      <c r="H373" s="90"/>
    </row>
    <row r="374" spans="7:8">
      <c r="G374" s="87"/>
      <c r="H374" s="90"/>
    </row>
    <row r="375" spans="7:8">
      <c r="G375" s="87"/>
      <c r="H375" s="90"/>
    </row>
    <row r="376" spans="7:8">
      <c r="G376" s="87"/>
      <c r="H376" s="90"/>
    </row>
    <row r="377" spans="7:8">
      <c r="G377" s="87"/>
      <c r="H377" s="90"/>
    </row>
    <row r="378" spans="7:8">
      <c r="G378" s="87"/>
      <c r="H378" s="90"/>
    </row>
    <row r="379" spans="7:8">
      <c r="G379" s="87"/>
      <c r="H379" s="90"/>
    </row>
    <row r="380" spans="7:8">
      <c r="G380" s="87"/>
      <c r="H380" s="90"/>
    </row>
    <row r="381" spans="7:8">
      <c r="G381" s="87"/>
      <c r="H381" s="90"/>
    </row>
    <row r="382" spans="7:8">
      <c r="G382" s="87"/>
      <c r="H382" s="90"/>
    </row>
    <row r="383" spans="7:8">
      <c r="G383" s="87"/>
      <c r="H383" s="90"/>
    </row>
    <row r="384" spans="7:8">
      <c r="G384" s="87"/>
      <c r="H384" s="90"/>
    </row>
    <row r="385" spans="7:8">
      <c r="G385" s="87"/>
      <c r="H385" s="90"/>
    </row>
    <row r="386" spans="7:8">
      <c r="G386" s="87"/>
      <c r="H386" s="90"/>
    </row>
    <row r="387" spans="7:8">
      <c r="G387" s="87"/>
      <c r="H387" s="90"/>
    </row>
    <row r="388" spans="7:8">
      <c r="G388" s="87"/>
      <c r="H388" s="90"/>
    </row>
    <row r="389" spans="7:8">
      <c r="G389" s="87"/>
      <c r="H389" s="90"/>
    </row>
    <row r="390" spans="7:8">
      <c r="G390" s="87"/>
      <c r="H390" s="90"/>
    </row>
    <row r="391" spans="7:8">
      <c r="G391" s="87"/>
      <c r="H391" s="90"/>
    </row>
    <row r="392" spans="7:8">
      <c r="G392" s="87"/>
      <c r="H392" s="90"/>
    </row>
    <row r="393" spans="7:8">
      <c r="G393" s="87"/>
      <c r="H393" s="90"/>
    </row>
    <row r="394" spans="7:8">
      <c r="G394" s="87"/>
      <c r="H394" s="90"/>
    </row>
    <row r="395" spans="7:8">
      <c r="G395" s="87"/>
      <c r="H395" s="90"/>
    </row>
    <row r="396" spans="7:8">
      <c r="G396" s="87"/>
      <c r="H396" s="90"/>
    </row>
    <row r="397" spans="7:8">
      <c r="G397" s="87"/>
      <c r="H397" s="90"/>
    </row>
    <row r="398" spans="7:8">
      <c r="G398" s="87"/>
      <c r="H398" s="90"/>
    </row>
    <row r="399" spans="7:8">
      <c r="G399" s="87"/>
      <c r="H399" s="90"/>
    </row>
    <row r="400" spans="7:8">
      <c r="G400" s="87"/>
      <c r="H400" s="90"/>
    </row>
    <row r="401" spans="7:8">
      <c r="G401" s="87"/>
      <c r="H401" s="90"/>
    </row>
    <row r="402" spans="7:8">
      <c r="G402" s="87"/>
      <c r="H402" s="90"/>
    </row>
    <row r="403" spans="7:8">
      <c r="G403" s="87"/>
      <c r="H403" s="90"/>
    </row>
    <row r="404" spans="7:8">
      <c r="G404" s="87"/>
      <c r="H404" s="90"/>
    </row>
    <row r="405" spans="7:8">
      <c r="G405" s="87"/>
      <c r="H405" s="90"/>
    </row>
    <row r="406" spans="7:8">
      <c r="G406" s="87"/>
      <c r="H406" s="90"/>
    </row>
    <row r="407" spans="7:8">
      <c r="G407" s="87"/>
      <c r="H407" s="90"/>
    </row>
    <row r="408" spans="7:8">
      <c r="G408" s="87"/>
      <c r="H408" s="90"/>
    </row>
    <row r="409" spans="7:8">
      <c r="G409" s="87"/>
      <c r="H409" s="90"/>
    </row>
    <row r="410" spans="7:8">
      <c r="G410" s="87"/>
      <c r="H410" s="90"/>
    </row>
    <row r="411" spans="7:8">
      <c r="G411" s="87"/>
      <c r="H411" s="90"/>
    </row>
    <row r="412" spans="7:8">
      <c r="G412" s="87"/>
      <c r="H412" s="90"/>
    </row>
    <row r="413" spans="7:8">
      <c r="G413" s="87"/>
      <c r="H413" s="90"/>
    </row>
    <row r="414" spans="7:8">
      <c r="G414" s="87"/>
      <c r="H414" s="90"/>
    </row>
    <row r="415" spans="7:8">
      <c r="G415" s="87"/>
      <c r="H415" s="90"/>
    </row>
    <row r="416" spans="7:8">
      <c r="G416" s="87"/>
      <c r="H416" s="90"/>
    </row>
    <row r="417" spans="7:8">
      <c r="G417" s="87"/>
      <c r="H417" s="90"/>
    </row>
    <row r="418" spans="7:8">
      <c r="G418" s="87"/>
      <c r="H418" s="90"/>
    </row>
    <row r="419" spans="7:8">
      <c r="G419" s="87"/>
      <c r="H419" s="90"/>
    </row>
    <row r="420" spans="7:8">
      <c r="G420" s="87"/>
      <c r="H420" s="90"/>
    </row>
    <row r="421" spans="7:8">
      <c r="G421" s="87"/>
      <c r="H421" s="90"/>
    </row>
    <row r="422" spans="7:8">
      <c r="G422" s="87"/>
      <c r="H422" s="90"/>
    </row>
    <row r="423" spans="7:8">
      <c r="G423" s="87"/>
      <c r="H423" s="90"/>
    </row>
    <row r="424" spans="7:8">
      <c r="G424" s="87"/>
      <c r="H424" s="90"/>
    </row>
    <row r="425" spans="7:8">
      <c r="G425" s="87"/>
      <c r="H425" s="90"/>
    </row>
    <row r="426" spans="7:8">
      <c r="G426" s="87"/>
      <c r="H426" s="90"/>
    </row>
    <row r="427" spans="7:8">
      <c r="G427" s="87"/>
      <c r="H427" s="90"/>
    </row>
    <row r="428" spans="7:8">
      <c r="G428" s="87"/>
      <c r="H428" s="90"/>
    </row>
    <row r="429" spans="7:8">
      <c r="G429" s="87"/>
      <c r="H429" s="90"/>
    </row>
    <row r="430" spans="7:8">
      <c r="G430" s="87"/>
      <c r="H430" s="90"/>
    </row>
    <row r="431" spans="7:8">
      <c r="G431" s="87"/>
      <c r="H431" s="90"/>
    </row>
    <row r="432" spans="7:8">
      <c r="G432" s="87"/>
      <c r="H432" s="90"/>
    </row>
    <row r="433" spans="7:8">
      <c r="G433" s="87"/>
      <c r="H433" s="90"/>
    </row>
    <row r="434" spans="7:8">
      <c r="G434" s="87"/>
      <c r="H434" s="90"/>
    </row>
    <row r="435" spans="7:8">
      <c r="G435" s="87"/>
      <c r="H435" s="90"/>
    </row>
    <row r="436" spans="7:8">
      <c r="G436" s="87"/>
      <c r="H436" s="90"/>
    </row>
    <row r="437" spans="7:8">
      <c r="G437" s="87"/>
      <c r="H437" s="90"/>
    </row>
    <row r="438" spans="7:8">
      <c r="G438" s="87"/>
      <c r="H438" s="90"/>
    </row>
    <row r="439" spans="7:8">
      <c r="G439" s="87"/>
      <c r="H439" s="90"/>
    </row>
    <row r="440" spans="7:8">
      <c r="G440" s="87"/>
      <c r="H440" s="90"/>
    </row>
    <row r="441" spans="7:8">
      <c r="G441" s="87"/>
      <c r="H441" s="90"/>
    </row>
    <row r="442" spans="7:8">
      <c r="G442" s="87"/>
      <c r="H442" s="90"/>
    </row>
    <row r="443" spans="7:8">
      <c r="G443" s="87"/>
      <c r="H443" s="90"/>
    </row>
    <row r="444" spans="7:8">
      <c r="G444" s="87"/>
      <c r="H444" s="90"/>
    </row>
    <row r="445" spans="7:8">
      <c r="G445" s="87"/>
      <c r="H445" s="90"/>
    </row>
    <row r="446" spans="7:8">
      <c r="G446" s="87"/>
      <c r="H446" s="90"/>
    </row>
    <row r="447" spans="7:8">
      <c r="G447" s="87"/>
      <c r="H447" s="90"/>
    </row>
    <row r="448" spans="7:8">
      <c r="G448" s="87"/>
      <c r="H448" s="90"/>
    </row>
    <row r="449" spans="7:8">
      <c r="G449" s="87"/>
      <c r="H449" s="90"/>
    </row>
    <row r="450" spans="7:8">
      <c r="G450" s="87"/>
      <c r="H450" s="90"/>
    </row>
    <row r="451" spans="7:8">
      <c r="G451" s="87"/>
      <c r="H451" s="90"/>
    </row>
    <row r="452" spans="7:8">
      <c r="G452" s="87"/>
      <c r="H452" s="90"/>
    </row>
    <row r="453" spans="7:8">
      <c r="G453" s="87"/>
      <c r="H453" s="90"/>
    </row>
    <row r="454" spans="7:8">
      <c r="G454" s="87"/>
      <c r="H454" s="90"/>
    </row>
    <row r="455" spans="7:8">
      <c r="G455" s="87"/>
      <c r="H455" s="90"/>
    </row>
    <row r="456" spans="7:8">
      <c r="G456" s="87"/>
      <c r="H456" s="90"/>
    </row>
    <row r="457" spans="7:8">
      <c r="G457" s="87"/>
      <c r="H457" s="90"/>
    </row>
    <row r="458" spans="7:8">
      <c r="G458" s="87"/>
      <c r="H458" s="90"/>
    </row>
    <row r="459" spans="7:8">
      <c r="G459" s="87"/>
      <c r="H459" s="90"/>
    </row>
    <row r="460" spans="7:8">
      <c r="G460" s="87"/>
      <c r="H460" s="90"/>
    </row>
    <row r="461" spans="7:8">
      <c r="G461" s="87"/>
      <c r="H461" s="90"/>
    </row>
    <row r="462" spans="7:8">
      <c r="G462" s="87"/>
      <c r="H462" s="90"/>
    </row>
    <row r="463" spans="7:8">
      <c r="G463" s="87"/>
      <c r="H463" s="90"/>
    </row>
    <row r="464" spans="7:8">
      <c r="G464" s="87"/>
      <c r="H464" s="90"/>
    </row>
    <row r="465" spans="7:8">
      <c r="G465" s="87"/>
      <c r="H465" s="90"/>
    </row>
    <row r="466" spans="7:8">
      <c r="G466" s="87"/>
      <c r="H466" s="90"/>
    </row>
    <row r="467" spans="7:8">
      <c r="G467" s="87"/>
      <c r="H467" s="90"/>
    </row>
    <row r="468" spans="7:8">
      <c r="G468" s="87"/>
      <c r="H468" s="90"/>
    </row>
    <row r="469" spans="7:8">
      <c r="G469" s="87"/>
      <c r="H469" s="90"/>
    </row>
    <row r="470" spans="7:8">
      <c r="G470" s="87"/>
      <c r="H470" s="90"/>
    </row>
    <row r="471" spans="7:8">
      <c r="G471" s="87"/>
      <c r="H471" s="90"/>
    </row>
    <row r="472" spans="7:8">
      <c r="G472" s="87"/>
      <c r="H472" s="90"/>
    </row>
    <row r="473" spans="7:8">
      <c r="G473" s="87"/>
      <c r="H473" s="90"/>
    </row>
    <row r="474" spans="7:8">
      <c r="G474" s="87"/>
      <c r="H474" s="90"/>
    </row>
    <row r="475" spans="7:8">
      <c r="G475" s="87"/>
      <c r="H475" s="90"/>
    </row>
    <row r="476" spans="7:8">
      <c r="G476" s="87"/>
      <c r="H476" s="90"/>
    </row>
    <row r="477" spans="7:8">
      <c r="G477" s="87"/>
      <c r="H477" s="90"/>
    </row>
    <row r="478" spans="7:8">
      <c r="G478" s="87"/>
      <c r="H478" s="90"/>
    </row>
    <row r="479" spans="7:8">
      <c r="G479" s="87"/>
      <c r="H479" s="90"/>
    </row>
    <row r="480" spans="7:8">
      <c r="G480" s="87"/>
      <c r="H480" s="90"/>
    </row>
    <row r="481" spans="7:8">
      <c r="G481" s="87"/>
      <c r="H481" s="90"/>
    </row>
    <row r="482" spans="7:8">
      <c r="G482" s="87"/>
      <c r="H482" s="90"/>
    </row>
    <row r="483" spans="7:8">
      <c r="G483" s="87"/>
      <c r="H483" s="90"/>
    </row>
    <row r="484" spans="7:8">
      <c r="G484" s="87"/>
      <c r="H484" s="90"/>
    </row>
    <row r="485" spans="7:8">
      <c r="G485" s="87"/>
      <c r="H485" s="90"/>
    </row>
    <row r="486" spans="7:8">
      <c r="G486" s="87"/>
      <c r="H486" s="90"/>
    </row>
    <row r="487" spans="7:8">
      <c r="G487" s="87"/>
      <c r="H487" s="90"/>
    </row>
    <row r="488" spans="7:8">
      <c r="G488" s="87"/>
      <c r="H488" s="90"/>
    </row>
    <row r="489" spans="7:8">
      <c r="G489" s="87"/>
      <c r="H489" s="90"/>
    </row>
    <row r="490" spans="7:8">
      <c r="G490" s="87"/>
      <c r="H490" s="90"/>
    </row>
    <row r="491" spans="7:8">
      <c r="G491" s="87"/>
      <c r="H491" s="90"/>
    </row>
    <row r="492" spans="7:8">
      <c r="G492" s="87"/>
      <c r="H492" s="90"/>
    </row>
    <row r="493" spans="7:8">
      <c r="G493" s="87"/>
      <c r="H493" s="90"/>
    </row>
    <row r="494" spans="7:8">
      <c r="G494" s="87"/>
      <c r="H494" s="90"/>
    </row>
    <row r="495" spans="7:8">
      <c r="G495" s="87"/>
      <c r="H495" s="90"/>
    </row>
    <row r="496" spans="7:8">
      <c r="G496" s="87"/>
      <c r="H496" s="90"/>
    </row>
    <row r="497" spans="7:8">
      <c r="G497" s="87"/>
      <c r="H497" s="90"/>
    </row>
    <row r="498" spans="7:8">
      <c r="G498" s="87"/>
      <c r="H498" s="90"/>
    </row>
    <row r="499" spans="7:8">
      <c r="G499" s="87"/>
      <c r="H499" s="90"/>
    </row>
    <row r="500" spans="7:8">
      <c r="G500" s="87"/>
      <c r="H500" s="90"/>
    </row>
    <row r="501" spans="7:8">
      <c r="G501" s="87"/>
      <c r="H501" s="90"/>
    </row>
    <row r="502" spans="7:8">
      <c r="G502" s="87"/>
      <c r="H502" s="90"/>
    </row>
    <row r="503" spans="7:8">
      <c r="G503" s="87"/>
      <c r="H503" s="90"/>
    </row>
    <row r="504" spans="7:8">
      <c r="G504" s="87"/>
      <c r="H504" s="90"/>
    </row>
    <row r="505" spans="7:8">
      <c r="G505" s="87"/>
      <c r="H505" s="90"/>
    </row>
    <row r="506" spans="7:8">
      <c r="G506" s="87"/>
      <c r="H506" s="90"/>
    </row>
    <row r="507" spans="7:8">
      <c r="G507" s="87"/>
      <c r="H507" s="90"/>
    </row>
    <row r="508" spans="7:8">
      <c r="G508" s="87"/>
      <c r="H508" s="90"/>
    </row>
    <row r="509" spans="7:8">
      <c r="G509" s="87"/>
      <c r="H509" s="90"/>
    </row>
    <row r="510" spans="7:8">
      <c r="G510" s="87"/>
      <c r="H510" s="90"/>
    </row>
    <row r="511" spans="7:8">
      <c r="G511" s="87"/>
      <c r="H511" s="90"/>
    </row>
    <row r="512" spans="7:8">
      <c r="G512" s="87"/>
      <c r="H512" s="90"/>
    </row>
    <row r="513" spans="7:8">
      <c r="G513" s="87"/>
      <c r="H513" s="90"/>
    </row>
    <row r="514" spans="7:8">
      <c r="G514" s="87"/>
      <c r="H514" s="90"/>
    </row>
    <row r="515" spans="7:8">
      <c r="G515" s="87"/>
      <c r="H515" s="90"/>
    </row>
    <row r="516" spans="7:8">
      <c r="G516" s="87"/>
      <c r="H516" s="90"/>
    </row>
    <row r="517" spans="7:8">
      <c r="G517" s="87"/>
      <c r="H517" s="90"/>
    </row>
    <row r="518" spans="7:8">
      <c r="G518" s="87"/>
      <c r="H518" s="90"/>
    </row>
    <row r="519" spans="7:8">
      <c r="G519" s="87"/>
      <c r="H519" s="90"/>
    </row>
    <row r="520" spans="7:8">
      <c r="G520" s="87"/>
      <c r="H520" s="90"/>
    </row>
    <row r="521" spans="7:8">
      <c r="G521" s="87"/>
      <c r="H521" s="90"/>
    </row>
    <row r="522" spans="7:8">
      <c r="G522" s="87"/>
      <c r="H522" s="90"/>
    </row>
    <row r="523" spans="7:8">
      <c r="G523" s="87"/>
      <c r="H523" s="90"/>
    </row>
    <row r="524" spans="7:8">
      <c r="G524" s="87"/>
      <c r="H524" s="90"/>
    </row>
    <row r="525" spans="7:8">
      <c r="G525" s="87"/>
      <c r="H525" s="90"/>
    </row>
    <row r="526" spans="7:8">
      <c r="G526" s="87"/>
      <c r="H526" s="90"/>
    </row>
    <row r="527" spans="7:8">
      <c r="G527" s="87"/>
      <c r="H527" s="90"/>
    </row>
    <row r="528" spans="7:8">
      <c r="G528" s="87"/>
      <c r="H528" s="90"/>
    </row>
    <row r="529" spans="7:8">
      <c r="G529" s="87"/>
      <c r="H529" s="90"/>
    </row>
    <row r="530" spans="7:8">
      <c r="G530" s="87"/>
      <c r="H530" s="90"/>
    </row>
    <row r="531" spans="7:8">
      <c r="G531" s="87"/>
      <c r="H531" s="90"/>
    </row>
    <row r="532" spans="7:8">
      <c r="G532" s="87"/>
      <c r="H532" s="90"/>
    </row>
    <row r="533" spans="7:8">
      <c r="G533" s="87"/>
      <c r="H533" s="90"/>
    </row>
    <row r="534" spans="7:8">
      <c r="G534" s="87"/>
      <c r="H534" s="90"/>
    </row>
    <row r="535" spans="7:8">
      <c r="G535" s="87"/>
      <c r="H535" s="90"/>
    </row>
    <row r="536" spans="7:8">
      <c r="G536" s="87"/>
      <c r="H536" s="90"/>
    </row>
    <row r="537" spans="7:8">
      <c r="G537" s="87"/>
      <c r="H537" s="90"/>
    </row>
    <row r="538" spans="7:8">
      <c r="G538" s="87"/>
      <c r="H538" s="90"/>
    </row>
    <row r="539" spans="7:8">
      <c r="G539" s="87"/>
      <c r="H539" s="90"/>
    </row>
    <row r="540" spans="7:8">
      <c r="G540" s="87"/>
      <c r="H540" s="90"/>
    </row>
    <row r="541" spans="7:8">
      <c r="G541" s="87"/>
      <c r="H541" s="90"/>
    </row>
    <row r="542" spans="7:8">
      <c r="G542" s="87"/>
      <c r="H542" s="90"/>
    </row>
    <row r="543" spans="7:8">
      <c r="G543" s="87"/>
      <c r="H543" s="90"/>
    </row>
    <row r="544" spans="7:8">
      <c r="G544" s="87"/>
      <c r="H544" s="90"/>
    </row>
    <row r="545" spans="7:8">
      <c r="G545" s="87"/>
      <c r="H545" s="90"/>
    </row>
    <row r="546" spans="7:8">
      <c r="G546" s="87"/>
      <c r="H546" s="90"/>
    </row>
    <row r="547" spans="7:8">
      <c r="G547" s="87"/>
      <c r="H547" s="90"/>
    </row>
    <row r="548" spans="7:8">
      <c r="G548" s="87"/>
      <c r="H548" s="90"/>
    </row>
    <row r="549" spans="7:8">
      <c r="G549" s="87"/>
      <c r="H549" s="90"/>
    </row>
    <row r="550" spans="7:8">
      <c r="G550" s="87"/>
      <c r="H550" s="90"/>
    </row>
    <row r="551" spans="7:8">
      <c r="G551" s="87"/>
      <c r="H551" s="90"/>
    </row>
    <row r="552" spans="7:8">
      <c r="G552" s="87"/>
      <c r="H552" s="90"/>
    </row>
    <row r="553" spans="7:8">
      <c r="G553" s="87"/>
      <c r="H553" s="90"/>
    </row>
    <row r="554" spans="7:8">
      <c r="G554" s="87"/>
      <c r="H554" s="90"/>
    </row>
    <row r="555" spans="7:8">
      <c r="G555" s="87"/>
      <c r="H555" s="90"/>
    </row>
    <row r="556" spans="7:8">
      <c r="G556" s="87"/>
      <c r="H556" s="90"/>
    </row>
    <row r="557" spans="7:8">
      <c r="G557" s="87"/>
      <c r="H557" s="90"/>
    </row>
    <row r="558" spans="7:8">
      <c r="G558" s="87"/>
      <c r="H558" s="90"/>
    </row>
    <row r="559" spans="7:8">
      <c r="G559" s="87"/>
      <c r="H559" s="90"/>
    </row>
    <row r="560" spans="7:8">
      <c r="G560" s="87"/>
      <c r="H560" s="90"/>
    </row>
    <row r="561" spans="7:8">
      <c r="G561" s="87"/>
      <c r="H561" s="90"/>
    </row>
    <row r="562" spans="7:8">
      <c r="G562" s="87"/>
      <c r="H562" s="90"/>
    </row>
    <row r="563" spans="7:8">
      <c r="G563" s="87"/>
      <c r="H563" s="90"/>
    </row>
    <row r="564" spans="7:8">
      <c r="G564" s="87"/>
      <c r="H564" s="90"/>
    </row>
    <row r="565" spans="7:8">
      <c r="G565" s="87"/>
      <c r="H565" s="90"/>
    </row>
    <row r="566" spans="7:8">
      <c r="G566" s="87"/>
      <c r="H566" s="90"/>
    </row>
    <row r="567" spans="7:8">
      <c r="G567" s="87"/>
      <c r="H567" s="90"/>
    </row>
    <row r="568" spans="7:8">
      <c r="G568" s="87"/>
      <c r="H568" s="90"/>
    </row>
    <row r="569" spans="7:8">
      <c r="G569" s="87"/>
      <c r="H569" s="90"/>
    </row>
    <row r="570" spans="7:8">
      <c r="G570" s="87"/>
      <c r="H570" s="90"/>
    </row>
    <row r="571" spans="7:8">
      <c r="G571" s="87"/>
      <c r="H571" s="90"/>
    </row>
    <row r="572" spans="7:8">
      <c r="G572" s="87"/>
      <c r="H572" s="90"/>
    </row>
    <row r="573" spans="7:8">
      <c r="G573" s="87"/>
      <c r="H573" s="90"/>
    </row>
    <row r="574" spans="7:8">
      <c r="G574" s="87"/>
      <c r="H574" s="90"/>
    </row>
    <row r="575" spans="7:8">
      <c r="G575" s="87"/>
      <c r="H575" s="90"/>
    </row>
    <row r="576" spans="7:8">
      <c r="G576" s="87"/>
      <c r="H576" s="90"/>
    </row>
    <row r="577" spans="7:8">
      <c r="G577" s="87"/>
      <c r="H577" s="90"/>
    </row>
    <row r="578" spans="7:8">
      <c r="G578" s="87"/>
      <c r="H578" s="90"/>
    </row>
    <row r="579" spans="7:8">
      <c r="G579" s="87"/>
      <c r="H579" s="90"/>
    </row>
    <row r="580" spans="7:8">
      <c r="G580" s="87"/>
      <c r="H580" s="90"/>
    </row>
    <row r="581" spans="7:8">
      <c r="G581" s="87"/>
      <c r="H581" s="90"/>
    </row>
    <row r="582" spans="7:8">
      <c r="G582" s="87"/>
      <c r="H582" s="90"/>
    </row>
    <row r="583" spans="7:8">
      <c r="G583" s="87"/>
      <c r="H583" s="90"/>
    </row>
    <row r="584" spans="7:8">
      <c r="G584" s="87"/>
      <c r="H584" s="90"/>
    </row>
    <row r="585" spans="7:8">
      <c r="G585" s="87"/>
      <c r="H585" s="90"/>
    </row>
    <row r="586" spans="7:8">
      <c r="G586" s="87"/>
      <c r="H586" s="90"/>
    </row>
    <row r="587" spans="7:8">
      <c r="G587" s="87"/>
      <c r="H587" s="90"/>
    </row>
    <row r="588" spans="7:8">
      <c r="G588" s="87"/>
      <c r="H588" s="90"/>
    </row>
    <row r="589" spans="7:8">
      <c r="G589" s="87"/>
      <c r="H589" s="90"/>
    </row>
    <row r="590" spans="7:8">
      <c r="G590" s="87"/>
      <c r="H590" s="90"/>
    </row>
    <row r="591" spans="7:8">
      <c r="G591" s="87"/>
      <c r="H591" s="90"/>
    </row>
    <row r="592" spans="7:8">
      <c r="G592" s="87"/>
      <c r="H592" s="90"/>
    </row>
    <row r="593" spans="7:8">
      <c r="G593" s="87"/>
      <c r="H593" s="90"/>
    </row>
    <row r="594" spans="7:8">
      <c r="G594" s="87"/>
      <c r="H594" s="90"/>
    </row>
    <row r="595" spans="7:8">
      <c r="G595" s="87"/>
      <c r="H595" s="90"/>
    </row>
    <row r="596" spans="7:8">
      <c r="G596" s="87"/>
      <c r="H596" s="90"/>
    </row>
    <row r="597" spans="7:8">
      <c r="G597" s="87"/>
      <c r="H597" s="90"/>
    </row>
    <row r="598" spans="7:8">
      <c r="G598" s="87"/>
      <c r="H598" s="90"/>
    </row>
    <row r="599" spans="7:8">
      <c r="G599" s="87"/>
      <c r="H599" s="90"/>
    </row>
    <row r="600" spans="7:8">
      <c r="G600" s="87"/>
      <c r="H600" s="90"/>
    </row>
    <row r="601" spans="7:8">
      <c r="G601" s="87"/>
      <c r="H601" s="90"/>
    </row>
    <row r="602" spans="7:8">
      <c r="G602" s="87"/>
      <c r="H602" s="90"/>
    </row>
    <row r="603" spans="7:8">
      <c r="G603" s="87"/>
      <c r="H603" s="90"/>
    </row>
    <row r="604" spans="7:8">
      <c r="G604" s="87"/>
      <c r="H604" s="90"/>
    </row>
    <row r="605" spans="7:8">
      <c r="G605" s="87"/>
      <c r="H605" s="90"/>
    </row>
    <row r="606" spans="7:8">
      <c r="G606" s="87"/>
      <c r="H606" s="90"/>
    </row>
    <row r="607" spans="7:8">
      <c r="G607" s="87"/>
      <c r="H607" s="90"/>
    </row>
    <row r="608" spans="7:8">
      <c r="G608" s="87"/>
      <c r="H608" s="90"/>
    </row>
    <row r="609" spans="7:8">
      <c r="G609" s="87"/>
      <c r="H609" s="90"/>
    </row>
    <row r="610" spans="7:8">
      <c r="G610" s="87"/>
      <c r="H610" s="90"/>
    </row>
    <row r="611" spans="7:8">
      <c r="G611" s="87"/>
      <c r="H611" s="90"/>
    </row>
    <row r="612" spans="7:8">
      <c r="G612" s="87"/>
      <c r="H612" s="90"/>
    </row>
    <row r="613" spans="7:8">
      <c r="G613" s="87"/>
      <c r="H613" s="90"/>
    </row>
    <row r="614" spans="7:8">
      <c r="G614" s="87"/>
      <c r="H614" s="90"/>
    </row>
    <row r="615" spans="7:8">
      <c r="G615" s="87"/>
      <c r="H615" s="90"/>
    </row>
    <row r="616" spans="7:8">
      <c r="G616" s="87"/>
      <c r="H616" s="90"/>
    </row>
    <row r="617" spans="7:8">
      <c r="G617" s="87"/>
      <c r="H617" s="90"/>
    </row>
    <row r="618" spans="7:8">
      <c r="G618" s="87"/>
      <c r="H618" s="90"/>
    </row>
    <row r="619" spans="7:8">
      <c r="G619" s="87"/>
      <c r="H619" s="90"/>
    </row>
    <row r="620" spans="7:8">
      <c r="G620" s="87"/>
      <c r="H620" s="90"/>
    </row>
    <row r="621" spans="7:8">
      <c r="G621" s="87"/>
      <c r="H621" s="90"/>
    </row>
    <row r="622" spans="7:8">
      <c r="G622" s="87"/>
      <c r="H622" s="90"/>
    </row>
    <row r="623" spans="7:8">
      <c r="G623" s="87"/>
      <c r="H623" s="90"/>
    </row>
    <row r="624" spans="7:8">
      <c r="G624" s="87"/>
      <c r="H624" s="90"/>
    </row>
    <row r="625" spans="7:8">
      <c r="G625" s="87"/>
      <c r="H625" s="90"/>
    </row>
    <row r="626" spans="7:8">
      <c r="G626" s="87"/>
      <c r="H626" s="90"/>
    </row>
    <row r="627" spans="7:8">
      <c r="G627" s="87"/>
      <c r="H627" s="90"/>
    </row>
    <row r="628" spans="7:8">
      <c r="G628" s="87"/>
      <c r="H628" s="90"/>
    </row>
    <row r="629" spans="7:8">
      <c r="G629" s="87"/>
      <c r="H629" s="90"/>
    </row>
    <row r="630" spans="7:8">
      <c r="G630" s="87"/>
      <c r="H630" s="90"/>
    </row>
    <row r="631" spans="7:8">
      <c r="G631" s="87"/>
      <c r="H631" s="90"/>
    </row>
    <row r="632" spans="7:8">
      <c r="G632" s="87"/>
      <c r="H632" s="90"/>
    </row>
    <row r="633" spans="7:8">
      <c r="G633" s="87"/>
      <c r="H633" s="90"/>
    </row>
    <row r="634" spans="7:8">
      <c r="G634" s="87"/>
      <c r="H634" s="90"/>
    </row>
    <row r="635" spans="7:8">
      <c r="G635" s="87"/>
      <c r="H635" s="90"/>
    </row>
    <row r="636" spans="7:8">
      <c r="G636" s="87"/>
      <c r="H636" s="90"/>
    </row>
    <row r="637" spans="7:8">
      <c r="G637" s="87"/>
      <c r="H637" s="90"/>
    </row>
    <row r="638" spans="7:8">
      <c r="G638" s="87"/>
      <c r="H638" s="90"/>
    </row>
    <row r="639" spans="7:8">
      <c r="G639" s="87"/>
      <c r="H639" s="90"/>
    </row>
    <row r="640" spans="7:8">
      <c r="G640" s="87"/>
      <c r="H640" s="90"/>
    </row>
    <row r="641" spans="7:8">
      <c r="G641" s="87"/>
      <c r="H641" s="90"/>
    </row>
    <row r="642" spans="7:8">
      <c r="G642" s="87"/>
      <c r="H642" s="90"/>
    </row>
    <row r="643" spans="7:8">
      <c r="G643" s="87"/>
      <c r="H643" s="90"/>
    </row>
    <row r="644" spans="7:8">
      <c r="G644" s="87"/>
      <c r="H644" s="90"/>
    </row>
    <row r="645" spans="7:8">
      <c r="G645" s="87"/>
      <c r="H645" s="90"/>
    </row>
    <row r="646" spans="7:8">
      <c r="G646" s="87"/>
      <c r="H646" s="90"/>
    </row>
    <row r="647" spans="7:8">
      <c r="G647" s="87"/>
      <c r="H647" s="90"/>
    </row>
    <row r="648" spans="7:8">
      <c r="G648" s="87"/>
      <c r="H648" s="90"/>
    </row>
    <row r="649" spans="7:8">
      <c r="G649" s="87"/>
      <c r="H649" s="90"/>
    </row>
    <row r="650" spans="7:8">
      <c r="G650" s="87"/>
      <c r="H650" s="90"/>
    </row>
    <row r="651" spans="7:8">
      <c r="G651" s="87"/>
      <c r="H651" s="90"/>
    </row>
    <row r="652" spans="7:8">
      <c r="G652" s="87"/>
      <c r="H652" s="90"/>
    </row>
    <row r="653" spans="7:8">
      <c r="G653" s="87"/>
      <c r="H653" s="90"/>
    </row>
    <row r="654" spans="7:8">
      <c r="G654" s="87"/>
      <c r="H654" s="90"/>
    </row>
    <row r="655" spans="7:8">
      <c r="G655" s="87"/>
      <c r="H655" s="90"/>
    </row>
    <row r="656" spans="7:8">
      <c r="G656" s="87"/>
      <c r="H656" s="90"/>
    </row>
    <row r="657" spans="7:8">
      <c r="G657" s="87"/>
      <c r="H657" s="90"/>
    </row>
    <row r="658" spans="7:8">
      <c r="G658" s="87"/>
      <c r="H658" s="90"/>
    </row>
    <row r="659" spans="7:8">
      <c r="G659" s="87"/>
      <c r="H659" s="90"/>
    </row>
    <row r="660" spans="7:8">
      <c r="G660" s="87"/>
      <c r="H660" s="90"/>
    </row>
    <row r="661" spans="7:8">
      <c r="G661" s="87"/>
      <c r="H661" s="90"/>
    </row>
    <row r="662" spans="7:8">
      <c r="G662" s="87"/>
      <c r="H662" s="90"/>
    </row>
    <row r="663" spans="7:8">
      <c r="G663" s="87"/>
      <c r="H663" s="90"/>
    </row>
    <row r="664" spans="7:8">
      <c r="G664" s="87"/>
      <c r="H664" s="90"/>
    </row>
    <row r="665" spans="7:8">
      <c r="G665" s="87"/>
      <c r="H665" s="90"/>
    </row>
    <row r="666" spans="7:8">
      <c r="G666" s="87"/>
      <c r="H666" s="90"/>
    </row>
    <row r="667" spans="7:8">
      <c r="G667" s="87"/>
      <c r="H667" s="90"/>
    </row>
    <row r="668" spans="7:8">
      <c r="G668" s="87"/>
      <c r="H668" s="90"/>
    </row>
    <row r="669" spans="7:8">
      <c r="G669" s="87"/>
      <c r="H669" s="90"/>
    </row>
    <row r="670" spans="7:8">
      <c r="G670" s="87"/>
      <c r="H670" s="90"/>
    </row>
    <row r="671" spans="7:8">
      <c r="G671" s="87"/>
      <c r="H671" s="90"/>
    </row>
    <row r="672" spans="7:8">
      <c r="G672" s="87"/>
      <c r="H672" s="90"/>
    </row>
    <row r="673" spans="7:8">
      <c r="G673" s="87"/>
      <c r="H673" s="90"/>
    </row>
    <row r="674" spans="7:8">
      <c r="G674" s="87"/>
      <c r="H674" s="90"/>
    </row>
    <row r="675" spans="7:8">
      <c r="G675" s="87"/>
      <c r="H675" s="90"/>
    </row>
    <row r="676" spans="7:8">
      <c r="G676" s="87"/>
      <c r="H676" s="90"/>
    </row>
    <row r="677" spans="7:8">
      <c r="G677" s="87"/>
      <c r="H677" s="90"/>
    </row>
    <row r="678" spans="7:8">
      <c r="G678" s="87"/>
      <c r="H678" s="90"/>
    </row>
    <row r="679" spans="7:8">
      <c r="G679" s="87"/>
      <c r="H679" s="90"/>
    </row>
    <row r="680" spans="7:8">
      <c r="G680" s="87"/>
      <c r="H680" s="90"/>
    </row>
    <row r="681" spans="7:8">
      <c r="G681" s="87"/>
      <c r="H681" s="90"/>
    </row>
    <row r="682" spans="7:8">
      <c r="G682" s="87"/>
      <c r="H682" s="90"/>
    </row>
    <row r="683" spans="7:8">
      <c r="G683" s="87"/>
      <c r="H683" s="90"/>
    </row>
    <row r="684" spans="7:8">
      <c r="G684" s="87"/>
      <c r="H684" s="90"/>
    </row>
    <row r="685" spans="7:8">
      <c r="G685" s="87"/>
      <c r="H685" s="90"/>
    </row>
    <row r="686" spans="7:8">
      <c r="G686" s="87"/>
      <c r="H686" s="90"/>
    </row>
    <row r="687" spans="7:8">
      <c r="G687" s="87"/>
      <c r="H687" s="90"/>
    </row>
    <row r="688" spans="7:8">
      <c r="G688" s="87"/>
      <c r="H688" s="90"/>
    </row>
    <row r="689" spans="7:8">
      <c r="G689" s="87"/>
      <c r="H689" s="90"/>
    </row>
    <row r="690" spans="7:8">
      <c r="G690" s="87"/>
      <c r="H690" s="90"/>
    </row>
    <row r="691" spans="7:8">
      <c r="G691" s="87"/>
      <c r="H691" s="90"/>
    </row>
    <row r="692" spans="7:8">
      <c r="G692" s="87"/>
      <c r="H692" s="90"/>
    </row>
    <row r="693" spans="7:8">
      <c r="G693" s="87"/>
      <c r="H693" s="90"/>
    </row>
    <row r="694" spans="7:8">
      <c r="G694" s="87"/>
      <c r="H694" s="90"/>
    </row>
    <row r="695" spans="7:8">
      <c r="G695" s="87"/>
      <c r="H695" s="90"/>
    </row>
    <row r="696" spans="7:8">
      <c r="G696" s="87"/>
      <c r="H696" s="90"/>
    </row>
    <row r="697" spans="7:8">
      <c r="G697" s="87"/>
      <c r="H697" s="90"/>
    </row>
    <row r="698" spans="7:8">
      <c r="G698" s="87"/>
      <c r="H698" s="90"/>
    </row>
    <row r="699" spans="7:8">
      <c r="G699" s="87"/>
      <c r="H699" s="90"/>
    </row>
    <row r="700" spans="7:8">
      <c r="G700" s="87"/>
      <c r="H700" s="90"/>
    </row>
    <row r="701" spans="7:8">
      <c r="G701" s="87"/>
      <c r="H701" s="90"/>
    </row>
    <row r="702" spans="7:8">
      <c r="G702" s="87"/>
      <c r="H702" s="90"/>
    </row>
    <row r="703" spans="7:8">
      <c r="G703" s="87"/>
      <c r="H703" s="90"/>
    </row>
    <row r="704" spans="7:8">
      <c r="G704" s="87"/>
      <c r="H704" s="90"/>
    </row>
    <row r="705" spans="7:8">
      <c r="G705" s="87"/>
      <c r="H705" s="90"/>
    </row>
    <row r="706" spans="7:8">
      <c r="G706" s="87"/>
      <c r="H706" s="90"/>
    </row>
    <row r="707" spans="7:8">
      <c r="G707" s="87"/>
      <c r="H707" s="90"/>
    </row>
    <row r="708" spans="7:8">
      <c r="G708" s="87"/>
      <c r="H708" s="90"/>
    </row>
    <row r="709" spans="7:8">
      <c r="G709" s="87"/>
      <c r="H709" s="90"/>
    </row>
    <row r="710" spans="7:8">
      <c r="G710" s="87"/>
      <c r="H710" s="90"/>
    </row>
    <row r="711" spans="7:8">
      <c r="G711" s="87"/>
      <c r="H711" s="90"/>
    </row>
    <row r="712" spans="7:8">
      <c r="G712" s="87"/>
      <c r="H712" s="90"/>
    </row>
    <row r="713" spans="7:8">
      <c r="G713" s="87"/>
      <c r="H713" s="90"/>
    </row>
    <row r="714" spans="7:8">
      <c r="G714" s="87"/>
      <c r="H714" s="90"/>
    </row>
    <row r="715" spans="7:8">
      <c r="G715" s="87"/>
      <c r="H715" s="90"/>
    </row>
    <row r="716" spans="7:8">
      <c r="G716" s="87"/>
      <c r="H716" s="90"/>
    </row>
    <row r="717" spans="7:8">
      <c r="G717" s="87"/>
      <c r="H717" s="90"/>
    </row>
    <row r="718" spans="7:8">
      <c r="G718" s="87"/>
      <c r="H718" s="90"/>
    </row>
    <row r="719" spans="7:8">
      <c r="G719" s="87"/>
      <c r="H719" s="90"/>
    </row>
    <row r="720" spans="7:8">
      <c r="G720" s="87"/>
      <c r="H720" s="90"/>
    </row>
    <row r="721" spans="7:8">
      <c r="G721" s="87"/>
      <c r="H721" s="90"/>
    </row>
    <row r="722" spans="7:8">
      <c r="G722" s="87"/>
      <c r="H722" s="90"/>
    </row>
    <row r="723" spans="7:8">
      <c r="G723" s="87"/>
      <c r="H723" s="90"/>
    </row>
    <row r="724" spans="7:8">
      <c r="G724" s="87"/>
      <c r="H724" s="90"/>
    </row>
    <row r="725" spans="7:8">
      <c r="G725" s="87"/>
      <c r="H725" s="90"/>
    </row>
    <row r="726" spans="7:8">
      <c r="G726" s="87"/>
      <c r="H726" s="90"/>
    </row>
    <row r="727" spans="7:8">
      <c r="G727" s="87"/>
      <c r="H727" s="90"/>
    </row>
    <row r="728" spans="7:8">
      <c r="G728" s="87"/>
      <c r="H728" s="90"/>
    </row>
    <row r="729" spans="7:8">
      <c r="G729" s="87"/>
      <c r="H729" s="90"/>
    </row>
    <row r="730" spans="7:8">
      <c r="G730" s="87"/>
      <c r="H730" s="90"/>
    </row>
    <row r="731" spans="7:8">
      <c r="G731" s="87"/>
      <c r="H731" s="90"/>
    </row>
    <row r="732" spans="7:8">
      <c r="G732" s="87"/>
      <c r="H732" s="90"/>
    </row>
    <row r="733" spans="7:8">
      <c r="G733" s="87"/>
      <c r="H733" s="90"/>
    </row>
    <row r="734" spans="7:8">
      <c r="G734" s="87"/>
      <c r="H734" s="90"/>
    </row>
    <row r="735" spans="7:8">
      <c r="G735" s="87"/>
      <c r="H735" s="90"/>
    </row>
    <row r="736" spans="7:8">
      <c r="G736" s="87"/>
      <c r="H736" s="90"/>
    </row>
    <row r="737" spans="7:8">
      <c r="G737" s="87"/>
      <c r="H737" s="90"/>
    </row>
    <row r="738" spans="7:8">
      <c r="G738" s="87"/>
      <c r="H738" s="90"/>
    </row>
    <row r="739" spans="7:8">
      <c r="G739" s="87"/>
      <c r="H739" s="90"/>
    </row>
    <row r="740" spans="7:8">
      <c r="G740" s="87"/>
      <c r="H740" s="90"/>
    </row>
    <row r="741" spans="7:8">
      <c r="G741" s="87"/>
      <c r="H741" s="90"/>
    </row>
    <row r="742" spans="7:8">
      <c r="G742" s="87"/>
      <c r="H742" s="90"/>
    </row>
    <row r="743" spans="7:8">
      <c r="G743" s="87"/>
      <c r="H743" s="90"/>
    </row>
    <row r="744" spans="7:8">
      <c r="G744" s="87"/>
      <c r="H744" s="90"/>
    </row>
    <row r="745" spans="7:8">
      <c r="G745" s="87"/>
      <c r="H745" s="90"/>
    </row>
    <row r="746" spans="7:8">
      <c r="G746" s="87"/>
      <c r="H746" s="90"/>
    </row>
    <row r="747" spans="7:8">
      <c r="G747" s="87"/>
      <c r="H747" s="90"/>
    </row>
    <row r="748" spans="7:8">
      <c r="G748" s="87"/>
      <c r="H748" s="90"/>
    </row>
    <row r="749" spans="7:8">
      <c r="G749" s="87"/>
      <c r="H749" s="90"/>
    </row>
    <row r="750" spans="7:8">
      <c r="G750" s="87"/>
      <c r="H750" s="90"/>
    </row>
    <row r="751" spans="7:8">
      <c r="G751" s="87"/>
      <c r="H751" s="90"/>
    </row>
    <row r="752" spans="7:8">
      <c r="G752" s="87"/>
      <c r="H752" s="90"/>
    </row>
    <row r="753" spans="7:8">
      <c r="G753" s="87"/>
      <c r="H753" s="90"/>
    </row>
    <row r="754" spans="7:8">
      <c r="G754" s="87"/>
      <c r="H754" s="90"/>
    </row>
    <row r="755" spans="7:8">
      <c r="G755" s="87"/>
      <c r="H755" s="90"/>
    </row>
    <row r="756" spans="7:8">
      <c r="G756" s="87"/>
      <c r="H756" s="90"/>
    </row>
    <row r="757" spans="7:8">
      <c r="G757" s="87"/>
      <c r="H757" s="90"/>
    </row>
    <row r="758" spans="7:8">
      <c r="G758" s="87"/>
      <c r="H758" s="90"/>
    </row>
    <row r="759" spans="7:8">
      <c r="G759" s="87"/>
      <c r="H759" s="90"/>
    </row>
    <row r="760" spans="7:8">
      <c r="G760" s="87"/>
      <c r="H760" s="90"/>
    </row>
    <row r="761" spans="7:8">
      <c r="G761" s="87"/>
      <c r="H761" s="90"/>
    </row>
    <row r="762" spans="7:8">
      <c r="G762" s="87"/>
      <c r="H762" s="90"/>
    </row>
    <row r="763" spans="7:8">
      <c r="G763" s="87"/>
      <c r="H763" s="90"/>
    </row>
    <row r="764" spans="7:8">
      <c r="G764" s="87"/>
      <c r="H764" s="90"/>
    </row>
    <row r="765" spans="7:8">
      <c r="G765" s="87"/>
      <c r="H765" s="90"/>
    </row>
    <row r="766" spans="7:8">
      <c r="G766" s="87"/>
      <c r="H766" s="90"/>
    </row>
    <row r="767" spans="7:8">
      <c r="G767" s="87"/>
      <c r="H767" s="90"/>
    </row>
    <row r="768" spans="7:8">
      <c r="G768" s="87"/>
      <c r="H768" s="90"/>
    </row>
    <row r="769" spans="7:8">
      <c r="G769" s="87"/>
      <c r="H769" s="90"/>
    </row>
    <row r="770" spans="7:8">
      <c r="G770" s="87"/>
      <c r="H770" s="90"/>
    </row>
    <row r="771" spans="7:8">
      <c r="G771" s="87"/>
      <c r="H771" s="90"/>
    </row>
    <row r="772" spans="7:8">
      <c r="G772" s="87"/>
      <c r="H772" s="90"/>
    </row>
    <row r="773" spans="7:8">
      <c r="G773" s="87"/>
      <c r="H773" s="90"/>
    </row>
    <row r="774" spans="7:8">
      <c r="G774" s="87"/>
      <c r="H774" s="90"/>
    </row>
    <row r="775" spans="7:8">
      <c r="G775" s="87"/>
      <c r="H775" s="90"/>
    </row>
    <row r="776" spans="7:8">
      <c r="G776" s="87"/>
      <c r="H776" s="90"/>
    </row>
    <row r="777" spans="7:8">
      <c r="G777" s="87"/>
      <c r="H777" s="90"/>
    </row>
    <row r="778" spans="7:8">
      <c r="G778" s="87"/>
      <c r="H778" s="90"/>
    </row>
    <row r="779" spans="7:8">
      <c r="G779" s="87"/>
      <c r="H779" s="90"/>
    </row>
    <row r="780" spans="7:8">
      <c r="G780" s="87"/>
      <c r="H780" s="90"/>
    </row>
    <row r="781" spans="7:8">
      <c r="G781" s="87"/>
      <c r="H781" s="90"/>
    </row>
    <row r="782" spans="7:8">
      <c r="G782" s="87"/>
      <c r="H782" s="90"/>
    </row>
    <row r="783" spans="7:8">
      <c r="G783" s="87"/>
      <c r="H783" s="90"/>
    </row>
    <row r="784" spans="7:8">
      <c r="G784" s="87"/>
      <c r="H784" s="90"/>
    </row>
    <row r="785" spans="7:8">
      <c r="G785" s="87"/>
      <c r="H785" s="90"/>
    </row>
    <row r="786" spans="7:8">
      <c r="G786" s="87"/>
      <c r="H786" s="90"/>
    </row>
    <row r="787" spans="7:8">
      <c r="G787" s="87"/>
      <c r="H787" s="90"/>
    </row>
    <row r="788" spans="7:8">
      <c r="G788" s="87"/>
      <c r="H788" s="90"/>
    </row>
    <row r="789" spans="7:8">
      <c r="G789" s="87"/>
      <c r="H789" s="90"/>
    </row>
    <row r="790" spans="7:8">
      <c r="G790" s="87"/>
      <c r="H790" s="90"/>
    </row>
    <row r="791" spans="7:8">
      <c r="G791" s="87"/>
      <c r="H791" s="90"/>
    </row>
    <row r="792" spans="7:8">
      <c r="G792" s="87"/>
      <c r="H792" s="90"/>
    </row>
    <row r="793" spans="7:8">
      <c r="G793" s="87"/>
      <c r="H793" s="90"/>
    </row>
    <row r="794" spans="7:8">
      <c r="G794" s="87"/>
      <c r="H794" s="90"/>
    </row>
    <row r="795" spans="7:8">
      <c r="G795" s="87"/>
      <c r="H795" s="90"/>
    </row>
    <row r="796" spans="7:8">
      <c r="G796" s="87"/>
      <c r="H796" s="90"/>
    </row>
    <row r="797" spans="7:8">
      <c r="G797" s="87"/>
      <c r="H797" s="90"/>
    </row>
    <row r="798" spans="7:8">
      <c r="G798" s="87"/>
      <c r="H798" s="90"/>
    </row>
    <row r="799" spans="7:8">
      <c r="G799" s="87"/>
      <c r="H799" s="90"/>
    </row>
    <row r="800" spans="7:8">
      <c r="G800" s="87"/>
      <c r="H800" s="90"/>
    </row>
    <row r="801" spans="7:8">
      <c r="G801" s="87"/>
      <c r="H801" s="90"/>
    </row>
    <row r="802" spans="7:8">
      <c r="G802" s="87"/>
      <c r="H802" s="90"/>
    </row>
    <row r="803" spans="7:8">
      <c r="G803" s="87"/>
      <c r="H803" s="90"/>
    </row>
    <row r="804" spans="7:8">
      <c r="G804" s="87"/>
      <c r="H804" s="90"/>
    </row>
    <row r="805" spans="7:8">
      <c r="G805" s="87"/>
      <c r="H805" s="90"/>
    </row>
    <row r="806" spans="7:8">
      <c r="G806" s="87"/>
      <c r="H806" s="90"/>
    </row>
    <row r="807" spans="7:8">
      <c r="G807" s="87"/>
      <c r="H807" s="90"/>
    </row>
    <row r="808" spans="7:8">
      <c r="G808" s="87"/>
      <c r="H808" s="90"/>
    </row>
    <row r="809" spans="7:8">
      <c r="G809" s="87"/>
      <c r="H809" s="90"/>
    </row>
    <row r="810" spans="7:8">
      <c r="G810" s="87"/>
      <c r="H810" s="90"/>
    </row>
    <row r="811" spans="7:8">
      <c r="G811" s="87"/>
      <c r="H811" s="90"/>
    </row>
    <row r="812" spans="7:8">
      <c r="G812" s="87"/>
      <c r="H812" s="90"/>
    </row>
    <row r="813" spans="7:8">
      <c r="G813" s="87"/>
      <c r="H813" s="90"/>
    </row>
    <row r="814" spans="7:8">
      <c r="G814" s="87"/>
      <c r="H814" s="90"/>
    </row>
    <row r="815" spans="7:8">
      <c r="G815" s="87"/>
      <c r="H815" s="90"/>
    </row>
    <row r="816" spans="7:8">
      <c r="G816" s="87"/>
      <c r="H816" s="90"/>
    </row>
    <row r="817" spans="7:8">
      <c r="G817" s="87"/>
      <c r="H817" s="90"/>
    </row>
    <row r="818" spans="7:8">
      <c r="G818" s="87"/>
      <c r="H818" s="90"/>
    </row>
    <row r="819" spans="7:8">
      <c r="G819" s="87"/>
      <c r="H819" s="90"/>
    </row>
    <row r="820" spans="7:8">
      <c r="G820" s="87"/>
      <c r="H820" s="90"/>
    </row>
    <row r="821" spans="7:8">
      <c r="G821" s="87"/>
      <c r="H821" s="90"/>
    </row>
    <row r="822" spans="7:8">
      <c r="G822" s="87"/>
      <c r="H822" s="90"/>
    </row>
    <row r="823" spans="7:8">
      <c r="G823" s="87"/>
      <c r="H823" s="90"/>
    </row>
    <row r="824" spans="7:8">
      <c r="G824" s="87"/>
      <c r="H824" s="90"/>
    </row>
    <row r="825" spans="7:8">
      <c r="G825" s="87"/>
      <c r="H825" s="90"/>
    </row>
    <row r="826" spans="7:8">
      <c r="G826" s="87"/>
      <c r="H826" s="90"/>
    </row>
    <row r="827" spans="7:8">
      <c r="G827" s="87"/>
      <c r="H827" s="90"/>
    </row>
    <row r="828" spans="7:8">
      <c r="G828" s="87"/>
      <c r="H828" s="90"/>
    </row>
    <row r="829" spans="7:8">
      <c r="G829" s="87"/>
      <c r="H829" s="90"/>
    </row>
    <row r="830" spans="7:8">
      <c r="G830" s="87"/>
      <c r="H830" s="90"/>
    </row>
    <row r="831" spans="7:8">
      <c r="G831" s="87"/>
      <c r="H831" s="90"/>
    </row>
    <row r="832" spans="7:8">
      <c r="G832" s="87"/>
      <c r="H832" s="90"/>
    </row>
    <row r="833" spans="7:8">
      <c r="G833" s="87"/>
      <c r="H833" s="90"/>
    </row>
    <row r="834" spans="7:8">
      <c r="G834" s="87"/>
      <c r="H834" s="90"/>
    </row>
    <row r="835" spans="7:8">
      <c r="G835" s="87"/>
      <c r="H835" s="90"/>
    </row>
    <row r="836" spans="7:8">
      <c r="G836" s="87"/>
      <c r="H836" s="90"/>
    </row>
    <row r="837" spans="7:8">
      <c r="G837" s="87"/>
      <c r="H837" s="90"/>
    </row>
    <row r="838" spans="7:8">
      <c r="G838" s="87"/>
      <c r="H838" s="90"/>
    </row>
    <row r="839" spans="7:8">
      <c r="G839" s="87"/>
      <c r="H839" s="90"/>
    </row>
    <row r="840" spans="7:8">
      <c r="G840" s="87"/>
      <c r="H840" s="90"/>
    </row>
    <row r="841" spans="7:8">
      <c r="G841" s="87"/>
      <c r="H841" s="90"/>
    </row>
    <row r="842" spans="7:8">
      <c r="G842" s="87"/>
      <c r="H842" s="90"/>
    </row>
    <row r="843" spans="7:8">
      <c r="G843" s="87"/>
      <c r="H843" s="90"/>
    </row>
    <row r="844" spans="7:8">
      <c r="G844" s="87"/>
      <c r="H844" s="90"/>
    </row>
    <row r="845" spans="7:8">
      <c r="G845" s="87"/>
      <c r="H845" s="90"/>
    </row>
    <row r="846" spans="7:8">
      <c r="G846" s="87"/>
      <c r="H846" s="90"/>
    </row>
    <row r="847" spans="7:8">
      <c r="G847" s="87"/>
      <c r="H847" s="90"/>
    </row>
    <row r="848" spans="7:8">
      <c r="G848" s="87"/>
      <c r="H848" s="90"/>
    </row>
    <row r="849" spans="7:8">
      <c r="G849" s="87"/>
      <c r="H849" s="90"/>
    </row>
    <row r="850" spans="7:8">
      <c r="G850" s="87"/>
      <c r="H850" s="90"/>
    </row>
    <row r="851" spans="7:8">
      <c r="G851" s="87"/>
      <c r="H851" s="90"/>
    </row>
    <row r="852" spans="7:8">
      <c r="G852" s="87"/>
      <c r="H852" s="90"/>
    </row>
    <row r="853" spans="7:8">
      <c r="G853" s="87"/>
      <c r="H853" s="90"/>
    </row>
    <row r="854" spans="7:8">
      <c r="G854" s="87"/>
      <c r="H854" s="90"/>
    </row>
    <row r="855" spans="7:8">
      <c r="G855" s="87"/>
      <c r="H855" s="90"/>
    </row>
    <row r="856" spans="7:8">
      <c r="G856" s="87"/>
      <c r="H856" s="90"/>
    </row>
    <row r="857" spans="7:8">
      <c r="G857" s="87"/>
      <c r="H857" s="90"/>
    </row>
    <row r="858" spans="7:8">
      <c r="G858" s="87"/>
      <c r="H858" s="90"/>
    </row>
    <row r="859" spans="7:8">
      <c r="G859" s="87"/>
      <c r="H859" s="90"/>
    </row>
    <row r="860" spans="7:8">
      <c r="G860" s="87"/>
      <c r="H860" s="90"/>
    </row>
    <row r="861" spans="7:8">
      <c r="G861" s="87"/>
      <c r="H861" s="90"/>
    </row>
    <row r="862" spans="7:8">
      <c r="G862" s="87"/>
      <c r="H862" s="90"/>
    </row>
    <row r="863" spans="7:8">
      <c r="G863" s="87"/>
      <c r="H863" s="90"/>
    </row>
    <row r="864" spans="7:8">
      <c r="G864" s="87"/>
      <c r="H864" s="90"/>
    </row>
    <row r="865" spans="7:8">
      <c r="G865" s="87"/>
      <c r="H865" s="90"/>
    </row>
    <row r="866" spans="7:8">
      <c r="G866" s="87"/>
      <c r="H866" s="90"/>
    </row>
    <row r="867" spans="7:8">
      <c r="G867" s="87"/>
      <c r="H867" s="90"/>
    </row>
    <row r="868" spans="7:8">
      <c r="G868" s="87"/>
      <c r="H868" s="90"/>
    </row>
    <row r="869" spans="7:8">
      <c r="G869" s="87"/>
      <c r="H869" s="90"/>
    </row>
    <row r="870" spans="7:8">
      <c r="G870" s="87"/>
      <c r="H870" s="90"/>
    </row>
    <row r="871" spans="7:8">
      <c r="G871" s="87"/>
      <c r="H871" s="90"/>
    </row>
    <row r="872" spans="7:8">
      <c r="G872" s="87"/>
      <c r="H872" s="90"/>
    </row>
    <row r="873" spans="7:8">
      <c r="G873" s="87"/>
      <c r="H873" s="90"/>
    </row>
    <row r="874" spans="7:8">
      <c r="G874" s="87"/>
      <c r="H874" s="90"/>
    </row>
    <row r="875" spans="7:8">
      <c r="G875" s="87"/>
      <c r="H875" s="90"/>
    </row>
    <row r="876" spans="7:8">
      <c r="G876" s="87"/>
      <c r="H876" s="90"/>
    </row>
    <row r="877" spans="7:8">
      <c r="G877" s="87"/>
      <c r="H877" s="90"/>
    </row>
    <row r="878" spans="7:8">
      <c r="G878" s="87"/>
      <c r="H878" s="90"/>
    </row>
    <row r="879" spans="7:8">
      <c r="G879" s="87"/>
      <c r="H879" s="90"/>
    </row>
    <row r="880" spans="7:8">
      <c r="G880" s="87"/>
      <c r="H880" s="90"/>
    </row>
    <row r="881" spans="7:8">
      <c r="G881" s="87"/>
      <c r="H881" s="90"/>
    </row>
    <row r="882" spans="7:8">
      <c r="G882" s="87"/>
      <c r="H882" s="90"/>
    </row>
    <row r="883" spans="7:8">
      <c r="G883" s="87"/>
      <c r="H883" s="90"/>
    </row>
    <row r="884" spans="7:8">
      <c r="G884" s="87"/>
      <c r="H884" s="90"/>
    </row>
    <row r="885" spans="7:8">
      <c r="G885" s="87"/>
      <c r="H885" s="90"/>
    </row>
    <row r="886" spans="7:8">
      <c r="G886" s="87"/>
      <c r="H886" s="90"/>
    </row>
    <row r="887" spans="7:8">
      <c r="G887" s="87"/>
      <c r="H887" s="90"/>
    </row>
    <row r="888" spans="7:8">
      <c r="G888" s="87"/>
      <c r="H888" s="90"/>
    </row>
    <row r="889" spans="7:8">
      <c r="G889" s="87"/>
      <c r="H889" s="90"/>
    </row>
    <row r="890" spans="7:8">
      <c r="G890" s="87"/>
      <c r="H890" s="90"/>
    </row>
    <row r="891" spans="7:8">
      <c r="G891" s="87"/>
      <c r="H891" s="90"/>
    </row>
    <row r="892" spans="7:8">
      <c r="G892" s="87"/>
      <c r="H892" s="90"/>
    </row>
    <row r="893" spans="7:8">
      <c r="G893" s="87"/>
      <c r="H893" s="90"/>
    </row>
    <row r="894" spans="7:8">
      <c r="G894" s="87"/>
      <c r="H894" s="90"/>
    </row>
    <row r="895" spans="7:8">
      <c r="G895" s="87"/>
      <c r="H895" s="90"/>
    </row>
    <row r="896" spans="7:8">
      <c r="G896" s="87"/>
      <c r="H896" s="90"/>
    </row>
    <row r="897" spans="7:8">
      <c r="G897" s="87"/>
      <c r="H897" s="90"/>
    </row>
    <row r="898" spans="7:8">
      <c r="G898" s="87"/>
      <c r="H898" s="90"/>
    </row>
    <row r="899" spans="7:8">
      <c r="G899" s="87"/>
      <c r="H899" s="90"/>
    </row>
    <row r="900" spans="7:8">
      <c r="G900" s="87"/>
      <c r="H900" s="90"/>
    </row>
    <row r="901" spans="7:8">
      <c r="G901" s="87"/>
      <c r="H901" s="90"/>
    </row>
    <row r="902" spans="7:8">
      <c r="G902" s="87"/>
      <c r="H902" s="90"/>
    </row>
    <row r="903" spans="7:8">
      <c r="G903" s="87"/>
      <c r="H903" s="90"/>
    </row>
    <row r="904" spans="7:8">
      <c r="G904" s="87"/>
      <c r="H904" s="90"/>
    </row>
    <row r="905" spans="7:8">
      <c r="G905" s="87"/>
      <c r="H905" s="90"/>
    </row>
    <row r="906" spans="7:8">
      <c r="G906" s="87"/>
      <c r="H906" s="90"/>
    </row>
    <row r="907" spans="7:8">
      <c r="G907" s="87"/>
      <c r="H907" s="90"/>
    </row>
    <row r="908" spans="7:8">
      <c r="G908" s="87"/>
      <c r="H908" s="90"/>
    </row>
    <row r="909" spans="7:8">
      <c r="G909" s="87"/>
      <c r="H909" s="90"/>
    </row>
    <row r="910" spans="7:8">
      <c r="G910" s="87"/>
      <c r="H910" s="90"/>
    </row>
    <row r="911" spans="7:8">
      <c r="G911" s="87"/>
      <c r="H911" s="90"/>
    </row>
    <row r="912" spans="7:8">
      <c r="G912" s="87"/>
      <c r="H912" s="90"/>
    </row>
    <row r="913" spans="7:8">
      <c r="G913" s="87"/>
      <c r="H913" s="90"/>
    </row>
    <row r="914" spans="7:8">
      <c r="G914" s="87"/>
      <c r="H914" s="90"/>
    </row>
    <row r="915" spans="7:8">
      <c r="G915" s="87"/>
      <c r="H915" s="90"/>
    </row>
    <row r="916" spans="7:8">
      <c r="G916" s="87"/>
      <c r="H916" s="90"/>
    </row>
    <row r="917" spans="7:8">
      <c r="G917" s="87"/>
      <c r="H917" s="90"/>
    </row>
    <row r="918" spans="7:8">
      <c r="G918" s="87"/>
      <c r="H918" s="90"/>
    </row>
    <row r="919" spans="7:8">
      <c r="G919" s="87"/>
      <c r="H919" s="90"/>
    </row>
    <row r="920" spans="7:8">
      <c r="G920" s="87"/>
      <c r="H920" s="90"/>
    </row>
    <row r="921" spans="7:8">
      <c r="G921" s="87"/>
      <c r="H921" s="90"/>
    </row>
    <row r="922" spans="7:8">
      <c r="G922" s="87"/>
      <c r="H922" s="90"/>
    </row>
    <row r="923" spans="7:8">
      <c r="G923" s="87"/>
      <c r="H923" s="90"/>
    </row>
    <row r="924" spans="7:8">
      <c r="G924" s="87"/>
      <c r="H924" s="90"/>
    </row>
    <row r="925" spans="7:8">
      <c r="G925" s="87"/>
      <c r="H925" s="90"/>
    </row>
    <row r="926" spans="7:8">
      <c r="G926" s="87"/>
      <c r="H926" s="90"/>
    </row>
    <row r="927" spans="7:8">
      <c r="G927" s="87"/>
      <c r="H927" s="90"/>
    </row>
    <row r="928" spans="7:8">
      <c r="G928" s="87"/>
      <c r="H928" s="90"/>
    </row>
    <row r="929" spans="7:8">
      <c r="G929" s="87"/>
      <c r="H929" s="90"/>
    </row>
    <row r="930" spans="7:8">
      <c r="G930" s="87"/>
      <c r="H930" s="90"/>
    </row>
    <row r="931" spans="7:8">
      <c r="G931" s="87"/>
      <c r="H931" s="90"/>
    </row>
    <row r="932" spans="7:8">
      <c r="G932" s="87"/>
      <c r="H932" s="90"/>
    </row>
    <row r="933" spans="7:8">
      <c r="G933" s="87"/>
      <c r="H933" s="90"/>
    </row>
    <row r="934" spans="7:8">
      <c r="G934" s="87"/>
      <c r="H934" s="90"/>
    </row>
    <row r="935" spans="7:8">
      <c r="G935" s="87"/>
      <c r="H935" s="90"/>
    </row>
    <row r="936" spans="7:8">
      <c r="G936" s="87"/>
      <c r="H936" s="90"/>
    </row>
    <row r="937" spans="7:8">
      <c r="G937" s="87"/>
      <c r="H937" s="90"/>
    </row>
    <row r="938" spans="7:8">
      <c r="G938" s="87"/>
      <c r="H938" s="90"/>
    </row>
    <row r="939" spans="7:8">
      <c r="G939" s="87"/>
      <c r="H939" s="90"/>
    </row>
    <row r="940" spans="7:8">
      <c r="G940" s="87"/>
      <c r="H940" s="90"/>
    </row>
    <row r="941" spans="7:8">
      <c r="G941" s="87"/>
      <c r="H941" s="90"/>
    </row>
    <row r="942" spans="7:8">
      <c r="G942" s="87"/>
      <c r="H942" s="90"/>
    </row>
    <row r="943" spans="7:8">
      <c r="G943" s="87"/>
      <c r="H943" s="90"/>
    </row>
    <row r="944" spans="7:8">
      <c r="G944" s="87"/>
      <c r="H944" s="90"/>
    </row>
    <row r="945" spans="7:8">
      <c r="G945" s="87"/>
      <c r="H945" s="90"/>
    </row>
    <row r="946" spans="7:8">
      <c r="G946" s="87"/>
      <c r="H946" s="90"/>
    </row>
    <row r="947" spans="7:8">
      <c r="G947" s="87"/>
      <c r="H947" s="90"/>
    </row>
    <row r="948" spans="7:8">
      <c r="G948" s="87"/>
      <c r="H948" s="90"/>
    </row>
    <row r="949" spans="7:8">
      <c r="G949" s="87"/>
      <c r="H949" s="90"/>
    </row>
    <row r="950" spans="7:8">
      <c r="G950" s="87"/>
      <c r="H950" s="90"/>
    </row>
    <row r="951" spans="7:8">
      <c r="G951" s="87"/>
      <c r="H951" s="90"/>
    </row>
    <row r="952" spans="7:8">
      <c r="G952" s="87"/>
      <c r="H952" s="90"/>
    </row>
    <row r="953" spans="7:8">
      <c r="G953" s="87"/>
      <c r="H953" s="90"/>
    </row>
    <row r="954" spans="7:8">
      <c r="G954" s="87"/>
      <c r="H954" s="90"/>
    </row>
    <row r="955" spans="7:8">
      <c r="G955" s="87"/>
      <c r="H955" s="90"/>
    </row>
    <row r="956" spans="7:8">
      <c r="G956" s="87"/>
      <c r="H956" s="90"/>
    </row>
    <row r="957" spans="7:8">
      <c r="G957" s="87"/>
      <c r="H957" s="90"/>
    </row>
    <row r="958" spans="7:8">
      <c r="G958" s="87"/>
      <c r="H958" s="90"/>
    </row>
    <row r="959" spans="7:8">
      <c r="G959" s="87"/>
      <c r="H959" s="90"/>
    </row>
    <row r="960" spans="7:8">
      <c r="G960" s="87"/>
      <c r="H960" s="90"/>
    </row>
    <row r="961" spans="7:8">
      <c r="G961" s="87"/>
      <c r="H961" s="90"/>
    </row>
    <row r="962" spans="7:8">
      <c r="G962" s="87"/>
      <c r="H962" s="90"/>
    </row>
    <row r="963" spans="7:8">
      <c r="G963" s="87"/>
      <c r="H963" s="90"/>
    </row>
    <row r="964" spans="7:8">
      <c r="G964" s="87"/>
      <c r="H964" s="90"/>
    </row>
    <row r="965" spans="7:8">
      <c r="G965" s="87"/>
      <c r="H965" s="90"/>
    </row>
    <row r="966" spans="7:8">
      <c r="G966" s="87"/>
      <c r="H966" s="90"/>
    </row>
    <row r="967" spans="7:8">
      <c r="G967" s="87"/>
      <c r="H967" s="90"/>
    </row>
    <row r="968" spans="7:8">
      <c r="G968" s="87"/>
      <c r="H968" s="90"/>
    </row>
    <row r="969" spans="7:8">
      <c r="G969" s="87"/>
      <c r="H969" s="90"/>
    </row>
    <row r="970" spans="7:8">
      <c r="G970" s="87"/>
      <c r="H970" s="90"/>
    </row>
    <row r="971" spans="7:8">
      <c r="G971" s="87"/>
      <c r="H971" s="90"/>
    </row>
    <row r="972" spans="7:8">
      <c r="G972" s="87"/>
      <c r="H972" s="90"/>
    </row>
    <row r="973" spans="7:8">
      <c r="G973" s="87"/>
      <c r="H973" s="90"/>
    </row>
    <row r="974" spans="7:8">
      <c r="G974" s="87"/>
      <c r="H974" s="90"/>
    </row>
    <row r="975" spans="7:8">
      <c r="G975" s="87"/>
      <c r="H975" s="90"/>
    </row>
    <row r="976" spans="7:8">
      <c r="G976" s="87"/>
      <c r="H976" s="90"/>
    </row>
    <row r="977" spans="7:8">
      <c r="G977" s="87"/>
      <c r="H977" s="90"/>
    </row>
    <row r="978" spans="7:8">
      <c r="G978" s="87"/>
      <c r="H978" s="90"/>
    </row>
    <row r="979" spans="7:8">
      <c r="G979" s="87"/>
      <c r="H979" s="90"/>
    </row>
    <row r="980" spans="7:8">
      <c r="G980" s="87"/>
      <c r="H980" s="90"/>
    </row>
    <row r="981" spans="7:8">
      <c r="G981" s="87"/>
      <c r="H981" s="90"/>
    </row>
    <row r="982" spans="7:8">
      <c r="G982" s="87"/>
      <c r="H982" s="90"/>
    </row>
    <row r="983" spans="7:8">
      <c r="G983" s="87"/>
      <c r="H983" s="90"/>
    </row>
    <row r="984" spans="7:8">
      <c r="G984" s="87"/>
      <c r="H984" s="90"/>
    </row>
    <row r="985" spans="7:8">
      <c r="G985" s="87"/>
      <c r="H985" s="90"/>
    </row>
    <row r="986" spans="7:8">
      <c r="G986" s="87"/>
      <c r="H986" s="90"/>
    </row>
    <row r="987" spans="7:8">
      <c r="G987" s="87"/>
      <c r="H987" s="90"/>
    </row>
    <row r="988" spans="7:8">
      <c r="G988" s="87"/>
      <c r="H988" s="90"/>
    </row>
    <row r="989" spans="7:8">
      <c r="G989" s="87"/>
      <c r="H989" s="90"/>
    </row>
    <row r="990" spans="7:8">
      <c r="G990" s="87"/>
      <c r="H990" s="90"/>
    </row>
    <row r="991" spans="7:8">
      <c r="G991" s="87"/>
      <c r="H991" s="90"/>
    </row>
    <row r="992" spans="7:8">
      <c r="G992" s="87"/>
      <c r="H992" s="90"/>
    </row>
    <row r="993" spans="7:8">
      <c r="G993" s="87"/>
      <c r="H993" s="90"/>
    </row>
    <row r="994" spans="7:8">
      <c r="G994" s="87"/>
      <c r="H994" s="90"/>
    </row>
    <row r="995" spans="7:8">
      <c r="G995" s="87"/>
      <c r="H995" s="90"/>
    </row>
    <row r="996" spans="7:8">
      <c r="G996" s="87"/>
      <c r="H996" s="90"/>
    </row>
    <row r="997" spans="7:8">
      <c r="G997" s="87"/>
      <c r="H997" s="90"/>
    </row>
    <row r="998" spans="7:8">
      <c r="G998" s="87"/>
      <c r="H998" s="90"/>
    </row>
    <row r="999" spans="7:8">
      <c r="G999" s="87"/>
      <c r="H999" s="90"/>
    </row>
    <row r="1000" spans="7:8">
      <c r="G1000" s="87"/>
      <c r="H1000" s="90"/>
    </row>
    <row r="1001" spans="7:8">
      <c r="G1001" s="87"/>
      <c r="H1001" s="90"/>
    </row>
    <row r="1002" spans="7:8">
      <c r="G1002" s="87"/>
      <c r="H1002" s="90"/>
    </row>
    <row r="1003" spans="7:8">
      <c r="G1003" s="87"/>
      <c r="H1003" s="90"/>
    </row>
    <row r="1004" spans="7:8">
      <c r="G1004" s="87"/>
      <c r="H1004" s="90"/>
    </row>
    <row r="1005" spans="7:8">
      <c r="G1005" s="87"/>
      <c r="H1005" s="90"/>
    </row>
    <row r="1006" spans="7:8">
      <c r="G1006" s="87"/>
      <c r="H1006" s="90"/>
    </row>
    <row r="1007" spans="7:8">
      <c r="G1007" s="87"/>
      <c r="H1007" s="90"/>
    </row>
    <row r="1008" spans="7:8">
      <c r="G1008" s="87"/>
      <c r="H1008" s="90"/>
    </row>
    <row r="1009" spans="7:8">
      <c r="G1009" s="87"/>
      <c r="H1009" s="90"/>
    </row>
    <row r="1010" spans="7:8">
      <c r="G1010" s="87"/>
      <c r="H1010" s="90"/>
    </row>
    <row r="1011" spans="7:8">
      <c r="G1011" s="87"/>
      <c r="H1011" s="90"/>
    </row>
    <row r="1012" spans="7:8">
      <c r="G1012" s="87"/>
      <c r="H1012" s="90"/>
    </row>
    <row r="1013" spans="7:8">
      <c r="G1013" s="87"/>
      <c r="H1013" s="90"/>
    </row>
    <row r="1014" spans="7:8">
      <c r="G1014" s="87"/>
      <c r="H1014" s="90"/>
    </row>
    <row r="1015" spans="7:8">
      <c r="G1015" s="87"/>
      <c r="H1015" s="90"/>
    </row>
    <row r="1016" spans="7:8">
      <c r="G1016" s="87"/>
      <c r="H1016" s="90"/>
    </row>
    <row r="1017" spans="7:8">
      <c r="G1017" s="87"/>
      <c r="H1017" s="90"/>
    </row>
    <row r="1018" spans="7:8">
      <c r="G1018" s="87"/>
      <c r="H1018" s="90"/>
    </row>
    <row r="1019" spans="7:8">
      <c r="G1019" s="87"/>
      <c r="H1019" s="90"/>
    </row>
    <row r="1020" spans="7:8">
      <c r="G1020" s="87"/>
      <c r="H1020" s="90"/>
    </row>
    <row r="1021" spans="7:8">
      <c r="G1021" s="87"/>
      <c r="H1021" s="90"/>
    </row>
    <row r="1022" spans="7:8">
      <c r="G1022" s="87"/>
      <c r="H1022" s="90"/>
    </row>
    <row r="1023" spans="7:8">
      <c r="G1023" s="87"/>
      <c r="H1023" s="90"/>
    </row>
    <row r="1024" spans="7:8">
      <c r="G1024" s="87"/>
      <c r="H1024" s="90"/>
    </row>
    <row r="1025" spans="7:8">
      <c r="G1025" s="87"/>
      <c r="H1025" s="90"/>
    </row>
    <row r="1026" spans="7:8">
      <c r="G1026" s="87"/>
      <c r="H1026" s="90"/>
    </row>
    <row r="1027" spans="7:8">
      <c r="G1027" s="87"/>
      <c r="H1027" s="90"/>
    </row>
    <row r="1028" spans="7:8">
      <c r="G1028" s="87"/>
      <c r="H1028" s="90"/>
    </row>
    <row r="1029" spans="7:8">
      <c r="G1029" s="87"/>
      <c r="H1029" s="90"/>
    </row>
    <row r="1030" spans="7:8">
      <c r="G1030" s="87"/>
      <c r="H1030" s="90"/>
    </row>
    <row r="1031" spans="7:8">
      <c r="G1031" s="87"/>
      <c r="H1031" s="90"/>
    </row>
    <row r="1032" spans="7:8">
      <c r="G1032" s="87"/>
      <c r="H1032" s="90"/>
    </row>
    <row r="1033" spans="7:8">
      <c r="G1033" s="87"/>
      <c r="H1033" s="90"/>
    </row>
    <row r="1034" spans="7:8">
      <c r="G1034" s="87"/>
      <c r="H1034" s="90"/>
    </row>
    <row r="1035" spans="7:8">
      <c r="G1035" s="87"/>
      <c r="H1035" s="90"/>
    </row>
    <row r="1036" spans="7:8">
      <c r="G1036" s="87"/>
      <c r="H1036" s="90"/>
    </row>
    <row r="1037" spans="7:8">
      <c r="G1037" s="87"/>
      <c r="H1037" s="90"/>
    </row>
    <row r="1038" spans="7:8">
      <c r="G1038" s="87"/>
      <c r="H1038" s="90"/>
    </row>
    <row r="1039" spans="7:8">
      <c r="G1039" s="87"/>
      <c r="H1039" s="90"/>
    </row>
    <row r="1040" spans="7:8">
      <c r="G1040" s="87"/>
      <c r="H1040" s="90"/>
    </row>
    <row r="1041" spans="7:8">
      <c r="G1041" s="87"/>
      <c r="H1041" s="90"/>
    </row>
    <row r="1042" spans="7:8">
      <c r="G1042" s="87"/>
      <c r="H1042" s="90"/>
    </row>
    <row r="1043" spans="7:8">
      <c r="G1043" s="87"/>
      <c r="H1043" s="90"/>
    </row>
    <row r="1044" spans="7:8">
      <c r="G1044" s="87"/>
      <c r="H1044" s="90"/>
    </row>
    <row r="1045" spans="7:8">
      <c r="G1045" s="87"/>
      <c r="H1045" s="90"/>
    </row>
    <row r="1046" spans="7:8">
      <c r="G1046" s="87"/>
      <c r="H1046" s="90"/>
    </row>
    <row r="1047" spans="7:8">
      <c r="G1047" s="87"/>
      <c r="H1047" s="90"/>
    </row>
    <row r="1048" spans="7:8">
      <c r="G1048" s="87"/>
      <c r="H1048" s="90"/>
    </row>
    <row r="1049" spans="7:8">
      <c r="G1049" s="87"/>
      <c r="H1049" s="90"/>
    </row>
    <row r="1050" spans="7:8">
      <c r="G1050" s="87"/>
      <c r="H1050" s="90"/>
    </row>
    <row r="1051" spans="7:8">
      <c r="G1051" s="87"/>
      <c r="H1051" s="90"/>
    </row>
    <row r="1052" spans="7:8">
      <c r="G1052" s="87"/>
      <c r="H1052" s="90"/>
    </row>
    <row r="1053" spans="7:8">
      <c r="G1053" s="87"/>
      <c r="H1053" s="90"/>
    </row>
    <row r="1054" spans="7:8">
      <c r="G1054" s="87"/>
      <c r="H1054" s="90"/>
    </row>
    <row r="1055" spans="7:8">
      <c r="G1055" s="87"/>
      <c r="H1055" s="90"/>
    </row>
    <row r="1056" spans="7:8">
      <c r="G1056" s="87"/>
      <c r="H1056" s="90"/>
    </row>
    <row r="1057" spans="7:8">
      <c r="G1057" s="87"/>
      <c r="H1057" s="90"/>
    </row>
    <row r="1058" spans="7:8">
      <c r="G1058" s="87"/>
      <c r="H1058" s="90"/>
    </row>
    <row r="1059" spans="7:8">
      <c r="G1059" s="87"/>
      <c r="H1059" s="90"/>
    </row>
    <row r="1060" spans="7:8">
      <c r="G1060" s="87"/>
      <c r="H1060" s="90"/>
    </row>
    <row r="1061" spans="7:8">
      <c r="G1061" s="87"/>
      <c r="H1061" s="90"/>
    </row>
    <row r="1062" spans="7:8">
      <c r="G1062" s="87"/>
      <c r="H1062" s="90"/>
    </row>
    <row r="1063" spans="7:8">
      <c r="G1063" s="87"/>
      <c r="H1063" s="90"/>
    </row>
    <row r="1064" spans="7:8">
      <c r="G1064" s="87"/>
      <c r="H1064" s="90"/>
    </row>
    <row r="1065" spans="7:8">
      <c r="G1065" s="87"/>
      <c r="H1065" s="90"/>
    </row>
    <row r="1066" spans="7:8">
      <c r="G1066" s="87"/>
      <c r="H1066" s="90"/>
    </row>
    <row r="1067" spans="7:8">
      <c r="G1067" s="87"/>
      <c r="H1067" s="90"/>
    </row>
    <row r="1068" spans="7:8">
      <c r="G1068" s="87"/>
      <c r="H1068" s="90"/>
    </row>
    <row r="1069" spans="7:8">
      <c r="G1069" s="87"/>
      <c r="H1069" s="90"/>
    </row>
    <row r="1070" spans="7:8">
      <c r="G1070" s="87"/>
      <c r="H1070" s="90"/>
    </row>
    <row r="1071" spans="7:8">
      <c r="G1071" s="87"/>
      <c r="H1071" s="90"/>
    </row>
    <row r="1072" spans="7:8">
      <c r="G1072" s="87"/>
      <c r="H1072" s="90"/>
    </row>
    <row r="1073" spans="7:8">
      <c r="G1073" s="87"/>
      <c r="H1073" s="90"/>
    </row>
    <row r="1074" spans="7:8">
      <c r="G1074" s="87"/>
      <c r="H1074" s="90"/>
    </row>
    <row r="1075" spans="7:8">
      <c r="G1075" s="87"/>
      <c r="H1075" s="90"/>
    </row>
    <row r="1076" spans="7:8">
      <c r="G1076" s="87"/>
      <c r="H1076" s="90"/>
    </row>
    <row r="1077" spans="7:8">
      <c r="G1077" s="87"/>
      <c r="H1077" s="90"/>
    </row>
    <row r="1078" spans="7:8">
      <c r="G1078" s="87"/>
      <c r="H1078" s="90"/>
    </row>
    <row r="1079" spans="7:8">
      <c r="G1079" s="87"/>
      <c r="H1079" s="90"/>
    </row>
    <row r="1080" spans="7:8">
      <c r="G1080" s="87"/>
      <c r="H1080" s="90"/>
    </row>
    <row r="1081" spans="7:8">
      <c r="G1081" s="87"/>
      <c r="H1081" s="90"/>
    </row>
    <row r="1082" spans="7:8">
      <c r="G1082" s="87"/>
      <c r="H1082" s="90"/>
    </row>
    <row r="1083" spans="7:8">
      <c r="G1083" s="87"/>
      <c r="H1083" s="90"/>
    </row>
    <row r="1084" spans="7:8">
      <c r="G1084" s="87"/>
      <c r="H1084" s="90"/>
    </row>
    <row r="1085" spans="7:8">
      <c r="G1085" s="87"/>
      <c r="H1085" s="90"/>
    </row>
    <row r="1086" spans="7:8">
      <c r="G1086" s="87"/>
      <c r="H1086" s="90"/>
    </row>
    <row r="1087" spans="7:8">
      <c r="G1087" s="87"/>
      <c r="H1087" s="90"/>
    </row>
    <row r="1088" spans="7:8">
      <c r="G1088" s="87"/>
      <c r="H1088" s="90"/>
    </row>
    <row r="1089" spans="7:8">
      <c r="G1089" s="87"/>
      <c r="H1089" s="90"/>
    </row>
    <row r="1090" spans="7:8">
      <c r="G1090" s="87"/>
      <c r="H1090" s="90"/>
    </row>
    <row r="1091" spans="7:8">
      <c r="G1091" s="87"/>
      <c r="H1091" s="90"/>
    </row>
    <row r="1092" spans="7:8">
      <c r="G1092" s="87"/>
      <c r="H1092" s="90"/>
    </row>
    <row r="1093" spans="7:8">
      <c r="G1093" s="87"/>
      <c r="H1093" s="90"/>
    </row>
    <row r="1094" spans="7:8">
      <c r="G1094" s="87"/>
      <c r="H1094" s="90"/>
    </row>
    <row r="1095" spans="7:8">
      <c r="G1095" s="87"/>
      <c r="H1095" s="90"/>
    </row>
    <row r="1096" spans="7:8">
      <c r="G1096" s="87"/>
      <c r="H1096" s="90"/>
    </row>
    <row r="1097" spans="7:8">
      <c r="G1097" s="87"/>
      <c r="H1097" s="90"/>
    </row>
    <row r="1098" spans="7:8">
      <c r="G1098" s="87"/>
      <c r="H1098" s="90"/>
    </row>
    <row r="1099" spans="7:8">
      <c r="G1099" s="87"/>
      <c r="H1099" s="90"/>
    </row>
    <row r="1100" spans="7:8">
      <c r="G1100" s="87"/>
      <c r="H1100" s="90"/>
    </row>
    <row r="1101" spans="7:8">
      <c r="G1101" s="87"/>
      <c r="H1101" s="90"/>
    </row>
    <row r="1102" spans="7:8">
      <c r="G1102" s="87"/>
      <c r="H1102" s="90"/>
    </row>
    <row r="1103" spans="7:8">
      <c r="G1103" s="87"/>
      <c r="H1103" s="90"/>
    </row>
    <row r="1104" spans="7:8">
      <c r="G1104" s="87"/>
      <c r="H1104" s="90"/>
    </row>
    <row r="1105" spans="7:8">
      <c r="G1105" s="87"/>
      <c r="H1105" s="90"/>
    </row>
    <row r="1106" spans="7:8">
      <c r="G1106" s="87"/>
      <c r="H1106" s="90"/>
    </row>
    <row r="1107" spans="7:8">
      <c r="G1107" s="87"/>
      <c r="H1107" s="90"/>
    </row>
    <row r="1108" spans="7:8">
      <c r="G1108" s="87"/>
      <c r="H1108" s="90"/>
    </row>
    <row r="1109" spans="7:8">
      <c r="G1109" s="87"/>
      <c r="H1109" s="90"/>
    </row>
    <row r="1110" spans="7:8">
      <c r="G1110" s="87"/>
      <c r="H1110" s="90"/>
    </row>
    <row r="1111" spans="7:8">
      <c r="G1111" s="87"/>
      <c r="H1111" s="90"/>
    </row>
    <row r="1112" spans="7:8">
      <c r="G1112" s="87"/>
      <c r="H1112" s="90"/>
    </row>
    <row r="1113" spans="7:8">
      <c r="G1113" s="87"/>
      <c r="H1113" s="90"/>
    </row>
    <row r="1114" spans="7:8">
      <c r="G1114" s="87"/>
      <c r="H1114" s="90"/>
    </row>
    <row r="1115" spans="7:8">
      <c r="G1115" s="87"/>
      <c r="H1115" s="90"/>
    </row>
    <row r="1116" spans="7:8">
      <c r="G1116" s="87"/>
      <c r="H1116" s="90"/>
    </row>
    <row r="1117" spans="7:8">
      <c r="G1117" s="87"/>
      <c r="H1117" s="90"/>
    </row>
    <row r="1118" spans="7:8">
      <c r="G1118" s="87"/>
      <c r="H1118" s="90"/>
    </row>
    <row r="1119" spans="7:8">
      <c r="G1119" s="87"/>
      <c r="H1119" s="90"/>
    </row>
    <row r="1120" spans="7:8">
      <c r="G1120" s="87"/>
      <c r="H1120" s="90"/>
    </row>
    <row r="1121" spans="7:8">
      <c r="G1121" s="87"/>
      <c r="H1121" s="90"/>
    </row>
    <row r="1122" spans="7:8">
      <c r="G1122" s="87"/>
      <c r="H1122" s="90"/>
    </row>
    <row r="1123" spans="7:8">
      <c r="G1123" s="87"/>
      <c r="H1123" s="90"/>
    </row>
    <row r="1124" spans="7:8">
      <c r="G1124" s="87"/>
      <c r="H1124" s="90"/>
    </row>
    <row r="1125" spans="7:8">
      <c r="G1125" s="87"/>
      <c r="H1125" s="90"/>
    </row>
    <row r="1126" spans="7:8">
      <c r="G1126" s="87"/>
      <c r="H1126" s="90"/>
    </row>
    <row r="1127" spans="7:8">
      <c r="G1127" s="87"/>
      <c r="H1127" s="90"/>
    </row>
    <row r="1128" spans="7:8">
      <c r="G1128" s="87"/>
      <c r="H1128" s="90"/>
    </row>
    <row r="1129" spans="7:8">
      <c r="G1129" s="87"/>
      <c r="H1129" s="90"/>
    </row>
    <row r="1130" spans="7:8">
      <c r="G1130" s="87"/>
      <c r="H1130" s="90"/>
    </row>
    <row r="1131" spans="7:8">
      <c r="G1131" s="87"/>
      <c r="H1131" s="90"/>
    </row>
    <row r="1132" spans="7:8">
      <c r="G1132" s="87"/>
      <c r="H1132" s="90"/>
    </row>
    <row r="1133" spans="7:8">
      <c r="G1133" s="87"/>
      <c r="H1133" s="90"/>
    </row>
    <row r="1134" spans="7:8">
      <c r="G1134" s="87"/>
      <c r="H1134" s="90"/>
    </row>
    <row r="1135" spans="7:8">
      <c r="G1135" s="87"/>
      <c r="H1135" s="90"/>
    </row>
    <row r="1136" spans="7:8">
      <c r="G1136" s="87"/>
      <c r="H1136" s="90"/>
    </row>
    <row r="1137" spans="7:8">
      <c r="G1137" s="87"/>
      <c r="H1137" s="90"/>
    </row>
    <row r="1138" spans="7:8">
      <c r="G1138" s="87"/>
      <c r="H1138" s="90"/>
    </row>
    <row r="1139" spans="7:8">
      <c r="G1139" s="87"/>
      <c r="H1139" s="90"/>
    </row>
    <row r="1140" spans="7:8">
      <c r="G1140" s="87"/>
      <c r="H1140" s="90"/>
    </row>
    <row r="1141" spans="7:8">
      <c r="G1141" s="87"/>
      <c r="H1141" s="90"/>
    </row>
    <row r="1142" spans="7:8">
      <c r="G1142" s="87"/>
      <c r="H1142" s="90"/>
    </row>
    <row r="1143" spans="7:8">
      <c r="G1143" s="87"/>
      <c r="H1143" s="90"/>
    </row>
    <row r="1144" spans="7:8">
      <c r="G1144" s="87"/>
      <c r="H1144" s="90"/>
    </row>
    <row r="1145" spans="7:8">
      <c r="G1145" s="87"/>
      <c r="H1145" s="90"/>
    </row>
    <row r="1146" spans="7:8">
      <c r="G1146" s="87"/>
      <c r="H1146" s="90"/>
    </row>
    <row r="1147" spans="7:8">
      <c r="G1147" s="87"/>
      <c r="H1147" s="90"/>
    </row>
    <row r="1148" spans="7:8">
      <c r="G1148" s="87"/>
      <c r="H1148" s="90"/>
    </row>
    <row r="1149" spans="7:8">
      <c r="G1149" s="87"/>
      <c r="H1149" s="90"/>
    </row>
    <row r="1150" spans="7:8">
      <c r="G1150" s="87"/>
      <c r="H1150" s="90"/>
    </row>
    <row r="1151" spans="7:8">
      <c r="G1151" s="87"/>
      <c r="H1151" s="90"/>
    </row>
    <row r="1152" spans="7:8">
      <c r="G1152" s="87"/>
      <c r="H1152" s="90"/>
    </row>
    <row r="1153" spans="7:8">
      <c r="G1153" s="87"/>
      <c r="H1153" s="90"/>
    </row>
    <row r="1154" spans="7:8">
      <c r="G1154" s="87"/>
      <c r="H1154" s="90"/>
    </row>
    <row r="1155" spans="7:8">
      <c r="G1155" s="87"/>
      <c r="H1155" s="90"/>
    </row>
    <row r="1156" spans="7:8">
      <c r="G1156" s="87"/>
      <c r="H1156" s="90"/>
    </row>
    <row r="1157" spans="7:8">
      <c r="G1157" s="87"/>
      <c r="H1157" s="90"/>
    </row>
    <row r="1158" spans="7:8">
      <c r="G1158" s="87"/>
      <c r="H1158" s="90"/>
    </row>
    <row r="1159" spans="7:8">
      <c r="G1159" s="87"/>
      <c r="H1159" s="90"/>
    </row>
    <row r="1160" spans="7:8">
      <c r="G1160" s="87"/>
      <c r="H1160" s="90"/>
    </row>
    <row r="1161" spans="7:8">
      <c r="G1161" s="87"/>
      <c r="H1161" s="90"/>
    </row>
    <row r="1162" spans="7:8">
      <c r="G1162" s="87"/>
      <c r="H1162" s="90"/>
    </row>
    <row r="1163" spans="7:8">
      <c r="G1163" s="87"/>
      <c r="H1163" s="90"/>
    </row>
    <row r="1164" spans="7:8">
      <c r="G1164" s="87"/>
      <c r="H1164" s="90"/>
    </row>
    <row r="1165" spans="7:8">
      <c r="G1165" s="87"/>
      <c r="H1165" s="90"/>
    </row>
    <row r="1166" spans="7:8">
      <c r="G1166" s="87"/>
      <c r="H1166" s="90"/>
    </row>
    <row r="1167" spans="7:8">
      <c r="G1167" s="87"/>
      <c r="H1167" s="90"/>
    </row>
    <row r="1168" spans="7:8">
      <c r="G1168" s="87"/>
      <c r="H1168" s="90"/>
    </row>
    <row r="1169" spans="7:8">
      <c r="G1169" s="87"/>
      <c r="H1169" s="90"/>
    </row>
    <row r="1170" spans="7:8">
      <c r="G1170" s="87"/>
      <c r="H1170" s="90"/>
    </row>
    <row r="1171" spans="7:8">
      <c r="G1171" s="87"/>
      <c r="H1171" s="90"/>
    </row>
    <row r="1172" spans="7:8">
      <c r="G1172" s="87"/>
      <c r="H1172" s="90"/>
    </row>
    <row r="1173" spans="7:8">
      <c r="G1173" s="87"/>
      <c r="H1173" s="90"/>
    </row>
    <row r="1174" spans="7:8">
      <c r="G1174" s="87"/>
      <c r="H1174" s="90"/>
    </row>
    <row r="1175" spans="7:8">
      <c r="G1175" s="87"/>
      <c r="H1175" s="90"/>
    </row>
    <row r="1176" spans="7:8">
      <c r="G1176" s="87"/>
      <c r="H1176" s="90"/>
    </row>
    <row r="1177" spans="7:8">
      <c r="G1177" s="87"/>
      <c r="H1177" s="90"/>
    </row>
    <row r="1178" spans="7:8">
      <c r="G1178" s="87"/>
      <c r="H1178" s="90"/>
    </row>
    <row r="1179" spans="7:8">
      <c r="G1179" s="87"/>
      <c r="H1179" s="90"/>
    </row>
    <row r="1180" spans="7:8">
      <c r="G1180" s="87"/>
      <c r="H1180" s="90"/>
    </row>
    <row r="1181" spans="7:8">
      <c r="G1181" s="87"/>
      <c r="H1181" s="90"/>
    </row>
    <row r="1182" spans="7:8">
      <c r="G1182" s="87"/>
      <c r="H1182" s="90"/>
    </row>
    <row r="1183" spans="7:8">
      <c r="G1183" s="87"/>
      <c r="H1183" s="90"/>
    </row>
    <row r="1184" spans="7:8">
      <c r="G1184" s="87"/>
      <c r="H1184" s="90"/>
    </row>
    <row r="1185" spans="7:8">
      <c r="G1185" s="87"/>
      <c r="H1185" s="90"/>
    </row>
    <row r="1186" spans="7:8">
      <c r="G1186" s="87"/>
      <c r="H1186" s="90"/>
    </row>
    <row r="1187" spans="7:8">
      <c r="G1187" s="87"/>
      <c r="H1187" s="90"/>
    </row>
    <row r="1188" spans="7:8">
      <c r="G1188" s="87"/>
      <c r="H1188" s="90"/>
    </row>
    <row r="1189" spans="7:8">
      <c r="G1189" s="87"/>
      <c r="H1189" s="90"/>
    </row>
    <row r="1190" spans="7:8">
      <c r="G1190" s="87"/>
      <c r="H1190" s="90"/>
    </row>
    <row r="1191" spans="7:8">
      <c r="G1191" s="87"/>
      <c r="H1191" s="90"/>
    </row>
    <row r="1192" spans="7:8">
      <c r="G1192" s="87"/>
      <c r="H1192" s="90"/>
    </row>
    <row r="1193" spans="7:8">
      <c r="G1193" s="87"/>
      <c r="H1193" s="90"/>
    </row>
    <row r="1194" spans="7:8">
      <c r="G1194" s="87"/>
      <c r="H1194" s="90"/>
    </row>
    <row r="1195" spans="7:8">
      <c r="G1195" s="87"/>
      <c r="H1195" s="90"/>
    </row>
    <row r="1196" spans="7:8">
      <c r="G1196" s="87"/>
      <c r="H1196" s="90"/>
    </row>
    <row r="1197" spans="7:8">
      <c r="G1197" s="87"/>
      <c r="H1197" s="90"/>
    </row>
    <row r="1198" spans="7:8">
      <c r="G1198" s="87"/>
      <c r="H1198" s="90"/>
    </row>
    <row r="1199" spans="7:8">
      <c r="G1199" s="87"/>
      <c r="H1199" s="90"/>
    </row>
    <row r="1200" spans="7:8">
      <c r="G1200" s="87"/>
      <c r="H1200" s="90"/>
    </row>
    <row r="1201" spans="7:8">
      <c r="G1201" s="87"/>
      <c r="H1201" s="90"/>
    </row>
    <row r="1202" spans="7:8">
      <c r="G1202" s="87"/>
      <c r="H1202" s="90"/>
    </row>
    <row r="1203" spans="7:8">
      <c r="G1203" s="87"/>
      <c r="H1203" s="90"/>
    </row>
    <row r="1204" spans="7:8">
      <c r="G1204" s="87"/>
      <c r="H1204" s="90"/>
    </row>
    <row r="1205" spans="7:8">
      <c r="G1205" s="87"/>
      <c r="H1205" s="90"/>
    </row>
    <row r="1206" spans="7:8">
      <c r="G1206" s="87"/>
      <c r="H1206" s="90"/>
    </row>
    <row r="1207" spans="7:8">
      <c r="G1207" s="87"/>
      <c r="H1207" s="90"/>
    </row>
    <row r="1208" spans="7:8">
      <c r="G1208" s="87"/>
      <c r="H1208" s="90"/>
    </row>
    <row r="1209" spans="7:8">
      <c r="G1209" s="87"/>
      <c r="H1209" s="90"/>
    </row>
    <row r="1210" spans="7:8">
      <c r="G1210" s="87"/>
      <c r="H1210" s="90"/>
    </row>
    <row r="1211" spans="7:8">
      <c r="G1211" s="87"/>
      <c r="H1211" s="90"/>
    </row>
    <row r="1212" spans="7:8">
      <c r="G1212" s="87"/>
      <c r="H1212" s="90"/>
    </row>
    <row r="1213" spans="7:8">
      <c r="G1213" s="87"/>
      <c r="H1213" s="90"/>
    </row>
    <row r="1214" spans="7:8">
      <c r="G1214" s="87"/>
      <c r="H1214" s="90"/>
    </row>
    <row r="1215" spans="7:8">
      <c r="G1215" s="87"/>
      <c r="H1215" s="90"/>
    </row>
    <row r="1216" spans="7:8">
      <c r="G1216" s="87"/>
      <c r="H1216" s="90"/>
    </row>
    <row r="1217" spans="7:8">
      <c r="G1217" s="87"/>
      <c r="H1217" s="90"/>
    </row>
    <row r="1218" spans="7:8">
      <c r="G1218" s="87"/>
      <c r="H1218" s="90"/>
    </row>
    <row r="1219" spans="7:8">
      <c r="G1219" s="87"/>
      <c r="H1219" s="90"/>
    </row>
    <row r="1220" spans="7:8">
      <c r="G1220" s="87"/>
      <c r="H1220" s="90"/>
    </row>
    <row r="1221" spans="7:8">
      <c r="G1221" s="87"/>
      <c r="H1221" s="90"/>
    </row>
    <row r="1222" spans="7:8">
      <c r="G1222" s="87"/>
      <c r="H1222" s="90"/>
    </row>
    <row r="1223" spans="7:8">
      <c r="G1223" s="87"/>
      <c r="H1223" s="90"/>
    </row>
    <row r="1224" spans="7:8">
      <c r="G1224" s="87"/>
      <c r="H1224" s="90"/>
    </row>
    <row r="1225" spans="7:8">
      <c r="G1225" s="87"/>
      <c r="H1225" s="90"/>
    </row>
    <row r="1226" spans="7:8">
      <c r="G1226" s="87"/>
      <c r="H1226" s="90"/>
    </row>
    <row r="1227" spans="7:8">
      <c r="G1227" s="87"/>
      <c r="H1227" s="90"/>
    </row>
    <row r="1228" spans="7:8">
      <c r="G1228" s="87"/>
      <c r="H1228" s="90"/>
    </row>
    <row r="1229" spans="7:8">
      <c r="G1229" s="87"/>
      <c r="H1229" s="90"/>
    </row>
    <row r="1230" spans="7:8">
      <c r="G1230" s="87"/>
      <c r="H1230" s="90"/>
    </row>
    <row r="1231" spans="7:8">
      <c r="G1231" s="87"/>
      <c r="H1231" s="90"/>
    </row>
    <row r="1232" spans="7:8">
      <c r="G1232" s="87"/>
      <c r="H1232" s="90"/>
    </row>
    <row r="1233" spans="7:8">
      <c r="G1233" s="87"/>
      <c r="H1233" s="90"/>
    </row>
    <row r="1234" spans="7:8">
      <c r="G1234" s="87"/>
      <c r="H1234" s="90"/>
    </row>
    <row r="1235" spans="7:8">
      <c r="G1235" s="87"/>
      <c r="H1235" s="90"/>
    </row>
    <row r="1236" spans="7:8">
      <c r="G1236" s="87"/>
      <c r="H1236" s="90"/>
    </row>
    <row r="1237" spans="7:8">
      <c r="G1237" s="87"/>
      <c r="H1237" s="90"/>
    </row>
    <row r="1238" spans="7:8">
      <c r="G1238" s="87"/>
      <c r="H1238" s="90"/>
    </row>
    <row r="1239" spans="7:8">
      <c r="G1239" s="87"/>
      <c r="H1239" s="90"/>
    </row>
    <row r="1240" spans="7:8">
      <c r="G1240" s="87"/>
      <c r="H1240" s="90"/>
    </row>
    <row r="1241" spans="7:8">
      <c r="G1241" s="87"/>
      <c r="H1241" s="90"/>
    </row>
    <row r="1242" spans="7:8">
      <c r="G1242" s="87"/>
      <c r="H1242" s="90"/>
    </row>
    <row r="1243" spans="7:8">
      <c r="G1243" s="87"/>
      <c r="H1243" s="90"/>
    </row>
    <row r="1244" spans="7:8">
      <c r="G1244" s="87"/>
      <c r="H1244" s="90"/>
    </row>
    <row r="1245" spans="7:8">
      <c r="G1245" s="87"/>
      <c r="H1245" s="90"/>
    </row>
    <row r="1246" spans="7:8">
      <c r="G1246" s="87"/>
      <c r="H1246" s="90"/>
    </row>
    <row r="1247" spans="7:8">
      <c r="G1247" s="87"/>
      <c r="H1247" s="90"/>
    </row>
    <row r="1248" spans="7:8">
      <c r="G1248" s="87"/>
      <c r="H1248" s="90"/>
    </row>
    <row r="1249" spans="7:8">
      <c r="G1249" s="87"/>
      <c r="H1249" s="90"/>
    </row>
    <row r="1250" spans="7:8">
      <c r="G1250" s="87"/>
      <c r="H1250" s="90"/>
    </row>
    <row r="1251" spans="7:8">
      <c r="G1251" s="87"/>
      <c r="H1251" s="90"/>
    </row>
    <row r="1252" spans="7:8">
      <c r="G1252" s="87"/>
      <c r="H1252" s="90"/>
    </row>
    <row r="1253" spans="7:8">
      <c r="G1253" s="87"/>
      <c r="H1253" s="90"/>
    </row>
    <row r="1254" spans="7:8">
      <c r="G1254" s="87"/>
      <c r="H1254" s="90"/>
    </row>
    <row r="1255" spans="7:8">
      <c r="G1255" s="87"/>
      <c r="H1255" s="90"/>
    </row>
    <row r="1256" spans="7:8">
      <c r="G1256" s="87"/>
      <c r="H1256" s="90"/>
    </row>
    <row r="1257" spans="7:8">
      <c r="G1257" s="87"/>
      <c r="H1257" s="90"/>
    </row>
    <row r="1258" spans="7:8">
      <c r="G1258" s="87"/>
      <c r="H1258" s="90"/>
    </row>
    <row r="1259" spans="7:8">
      <c r="G1259" s="87"/>
      <c r="H1259" s="90"/>
    </row>
    <row r="1260" spans="7:8">
      <c r="G1260" s="87"/>
      <c r="H1260" s="90"/>
    </row>
    <row r="1261" spans="7:8">
      <c r="G1261" s="87"/>
      <c r="H1261" s="90"/>
    </row>
    <row r="1262" spans="7:8">
      <c r="G1262" s="87"/>
      <c r="H1262" s="90"/>
    </row>
    <row r="1263" spans="7:8">
      <c r="G1263" s="87"/>
      <c r="H1263" s="90"/>
    </row>
    <row r="1264" spans="7:8">
      <c r="G1264" s="87"/>
      <c r="H1264" s="90"/>
    </row>
    <row r="1265" spans="7:8">
      <c r="G1265" s="87"/>
      <c r="H1265" s="90"/>
    </row>
    <row r="1266" spans="7:8">
      <c r="G1266" s="87"/>
      <c r="H1266" s="90"/>
    </row>
    <row r="1267" spans="7:8">
      <c r="G1267" s="87"/>
      <c r="H1267" s="90"/>
    </row>
    <row r="1268" spans="7:8">
      <c r="G1268" s="87"/>
      <c r="H1268" s="90"/>
    </row>
    <row r="1269" spans="7:8">
      <c r="G1269" s="87"/>
      <c r="H1269" s="90"/>
    </row>
    <row r="1270" spans="7:8">
      <c r="G1270" s="87"/>
      <c r="H1270" s="90"/>
    </row>
    <row r="1271" spans="7:8">
      <c r="G1271" s="87"/>
      <c r="H1271" s="90"/>
    </row>
    <row r="1272" spans="7:8">
      <c r="G1272" s="87"/>
      <c r="H1272" s="90"/>
    </row>
    <row r="1273" spans="7:8">
      <c r="G1273" s="87"/>
      <c r="H1273" s="90"/>
    </row>
    <row r="1274" spans="7:8">
      <c r="G1274" s="87"/>
      <c r="H1274" s="90"/>
    </row>
    <row r="1275" spans="7:8">
      <c r="G1275" s="87"/>
      <c r="H1275" s="90"/>
    </row>
    <row r="1276" spans="7:8">
      <c r="G1276" s="87"/>
      <c r="H1276" s="90"/>
    </row>
    <row r="1277" spans="7:8">
      <c r="G1277" s="87"/>
      <c r="H1277" s="90"/>
    </row>
    <row r="1278" spans="7:8">
      <c r="G1278" s="87"/>
      <c r="H1278" s="90"/>
    </row>
    <row r="1279" spans="7:8">
      <c r="G1279" s="87"/>
      <c r="H1279" s="90"/>
    </row>
    <row r="1280" spans="7:8">
      <c r="G1280" s="87"/>
      <c r="H1280" s="90"/>
    </row>
    <row r="1281" spans="7:8">
      <c r="G1281" s="87"/>
      <c r="H1281" s="90"/>
    </row>
    <row r="1282" spans="7:8">
      <c r="G1282" s="87"/>
      <c r="H1282" s="90"/>
    </row>
    <row r="1283" spans="7:8">
      <c r="G1283" s="87"/>
      <c r="H1283" s="90"/>
    </row>
    <row r="1284" spans="7:8">
      <c r="G1284" s="87"/>
      <c r="H1284" s="90"/>
    </row>
    <row r="1285" spans="7:8">
      <c r="G1285" s="87"/>
      <c r="H1285" s="90"/>
    </row>
    <row r="1286" spans="7:8">
      <c r="G1286" s="87"/>
      <c r="H1286" s="90"/>
    </row>
    <row r="1287" spans="7:8">
      <c r="G1287" s="87"/>
      <c r="H1287" s="90"/>
    </row>
    <row r="1288" spans="7:8">
      <c r="G1288" s="87"/>
      <c r="H1288" s="90"/>
    </row>
    <row r="1289" spans="7:8">
      <c r="G1289" s="87"/>
      <c r="H1289" s="90"/>
    </row>
    <row r="1290" spans="7:8">
      <c r="G1290" s="87"/>
      <c r="H1290" s="90"/>
    </row>
    <row r="1291" spans="7:8">
      <c r="G1291" s="87"/>
      <c r="H1291" s="90"/>
    </row>
    <row r="1292" spans="7:8">
      <c r="G1292" s="87"/>
      <c r="H1292" s="90"/>
    </row>
    <row r="1293" spans="7:8">
      <c r="G1293" s="87"/>
      <c r="H1293" s="90"/>
    </row>
    <row r="1294" spans="7:8">
      <c r="G1294" s="87"/>
      <c r="H1294" s="90"/>
    </row>
    <row r="1295" spans="7:8">
      <c r="G1295" s="87"/>
      <c r="H1295" s="90"/>
    </row>
    <row r="1296" spans="7:8">
      <c r="G1296" s="87"/>
      <c r="H1296" s="90"/>
    </row>
    <row r="1297" spans="7:8">
      <c r="G1297" s="87"/>
      <c r="H1297" s="90"/>
    </row>
    <row r="1298" spans="7:8">
      <c r="G1298" s="87"/>
      <c r="H1298" s="90"/>
    </row>
    <row r="1299" spans="7:8">
      <c r="G1299" s="87"/>
      <c r="H1299" s="90"/>
    </row>
    <row r="1300" spans="7:8">
      <c r="G1300" s="87"/>
      <c r="H1300" s="90"/>
    </row>
    <row r="1301" spans="7:8">
      <c r="G1301" s="87"/>
      <c r="H1301" s="90"/>
    </row>
    <row r="1302" spans="7:8">
      <c r="G1302" s="87"/>
      <c r="H1302" s="90"/>
    </row>
    <row r="1303" spans="7:8">
      <c r="G1303" s="87"/>
      <c r="H1303" s="90"/>
    </row>
    <row r="1304" spans="7:8">
      <c r="G1304" s="87"/>
      <c r="H1304" s="90"/>
    </row>
    <row r="1305" spans="7:8">
      <c r="G1305" s="87"/>
      <c r="H1305" s="90"/>
    </row>
    <row r="1306" spans="7:8">
      <c r="G1306" s="87"/>
      <c r="H1306" s="90"/>
    </row>
    <row r="1307" spans="7:8">
      <c r="G1307" s="87"/>
      <c r="H1307" s="90"/>
    </row>
    <row r="1308" spans="7:8">
      <c r="G1308" s="87"/>
      <c r="H1308" s="90"/>
    </row>
    <row r="1309" spans="7:8">
      <c r="G1309" s="87"/>
      <c r="H1309" s="90"/>
    </row>
    <row r="1310" spans="7:8">
      <c r="G1310" s="87"/>
      <c r="H1310" s="90"/>
    </row>
    <row r="1311" spans="7:8">
      <c r="G1311" s="87"/>
      <c r="H1311" s="90"/>
    </row>
    <row r="1312" spans="7:8">
      <c r="G1312" s="87"/>
      <c r="H1312" s="90"/>
    </row>
    <row r="1313" spans="7:8">
      <c r="G1313" s="87"/>
      <c r="H1313" s="90"/>
    </row>
    <row r="1314" spans="7:8">
      <c r="G1314" s="87"/>
      <c r="H1314" s="90"/>
    </row>
    <row r="1315" spans="7:8">
      <c r="G1315" s="87"/>
      <c r="H1315" s="90"/>
    </row>
    <row r="1316" spans="7:8">
      <c r="G1316" s="87"/>
      <c r="H1316" s="90"/>
    </row>
    <row r="1317" spans="7:8">
      <c r="G1317" s="87"/>
      <c r="H1317" s="90"/>
    </row>
    <row r="1318" spans="7:8">
      <c r="G1318" s="87"/>
      <c r="H1318" s="90"/>
    </row>
    <row r="1319" spans="7:8">
      <c r="G1319" s="87"/>
      <c r="H1319" s="90"/>
    </row>
    <row r="1320" spans="7:8">
      <c r="G1320" s="87"/>
      <c r="H1320" s="90"/>
    </row>
    <row r="1321" spans="7:8">
      <c r="G1321" s="87"/>
      <c r="H1321" s="90"/>
    </row>
    <row r="1322" spans="7:8">
      <c r="G1322" s="87"/>
      <c r="H1322" s="90"/>
    </row>
    <row r="1323" spans="7:8">
      <c r="G1323" s="87"/>
      <c r="H1323" s="90"/>
    </row>
    <row r="1324" spans="7:8">
      <c r="G1324" s="87"/>
      <c r="H1324" s="90"/>
    </row>
    <row r="1325" spans="7:8">
      <c r="G1325" s="87"/>
      <c r="H1325" s="90"/>
    </row>
    <row r="1326" spans="7:8">
      <c r="G1326" s="87"/>
      <c r="H1326" s="90"/>
    </row>
    <row r="1327" spans="7:8">
      <c r="G1327" s="87"/>
      <c r="H1327" s="90"/>
    </row>
    <row r="1328" spans="7:8">
      <c r="G1328" s="87"/>
      <c r="H1328" s="90"/>
    </row>
    <row r="1329" spans="7:8">
      <c r="G1329" s="87"/>
      <c r="H1329" s="90"/>
    </row>
    <row r="1330" spans="7:8">
      <c r="G1330" s="87"/>
      <c r="H1330" s="90"/>
    </row>
    <row r="1331" spans="7:8">
      <c r="G1331" s="87"/>
      <c r="H1331" s="90"/>
    </row>
    <row r="1332" spans="7:8">
      <c r="G1332" s="87"/>
      <c r="H1332" s="90"/>
    </row>
    <row r="1333" spans="7:8">
      <c r="G1333" s="87"/>
      <c r="H1333" s="90"/>
    </row>
    <row r="1334" spans="7:8">
      <c r="G1334" s="87"/>
      <c r="H1334" s="90"/>
    </row>
    <row r="1335" spans="7:8">
      <c r="G1335" s="87"/>
      <c r="H1335" s="90"/>
    </row>
    <row r="1336" spans="7:8">
      <c r="G1336" s="87"/>
      <c r="H1336" s="90"/>
    </row>
    <row r="1337" spans="7:8">
      <c r="G1337" s="87"/>
      <c r="H1337" s="90"/>
    </row>
    <row r="1338" spans="7:8">
      <c r="G1338" s="87"/>
      <c r="H1338" s="90"/>
    </row>
    <row r="1339" spans="7:8">
      <c r="G1339" s="87"/>
      <c r="H1339" s="90"/>
    </row>
    <row r="1340" spans="7:8">
      <c r="G1340" s="87"/>
      <c r="H1340" s="90"/>
    </row>
    <row r="1341" spans="7:8">
      <c r="G1341" s="87"/>
      <c r="H1341" s="90"/>
    </row>
    <row r="1342" spans="7:8">
      <c r="G1342" s="87"/>
      <c r="H1342" s="90"/>
    </row>
    <row r="1343" spans="7:8">
      <c r="G1343" s="87"/>
      <c r="H1343" s="90"/>
    </row>
    <row r="1344" spans="7:8">
      <c r="G1344" s="87"/>
      <c r="H1344" s="90"/>
    </row>
    <row r="1345" spans="7:8">
      <c r="G1345" s="87"/>
      <c r="H1345" s="90"/>
    </row>
    <row r="1346" spans="7:8">
      <c r="G1346" s="87"/>
      <c r="H1346" s="90"/>
    </row>
    <row r="1347" spans="7:8">
      <c r="G1347" s="87"/>
      <c r="H1347" s="90"/>
    </row>
    <row r="1348" spans="7:8">
      <c r="G1348" s="87"/>
      <c r="H1348" s="90"/>
    </row>
    <row r="1349" spans="7:8">
      <c r="G1349" s="87"/>
      <c r="H1349" s="90"/>
    </row>
    <row r="1350" spans="7:8">
      <c r="G1350" s="87"/>
      <c r="H1350" s="90"/>
    </row>
    <row r="1351" spans="7:8">
      <c r="G1351" s="87"/>
      <c r="H1351" s="90"/>
    </row>
    <row r="1352" spans="7:8">
      <c r="G1352" s="87"/>
      <c r="H1352" s="90"/>
    </row>
    <row r="1353" spans="7:8">
      <c r="G1353" s="87"/>
      <c r="H1353" s="90"/>
    </row>
    <row r="1354" spans="7:8">
      <c r="G1354" s="87"/>
      <c r="H1354" s="90"/>
    </row>
    <row r="1355" spans="7:8">
      <c r="G1355" s="87"/>
      <c r="H1355" s="90"/>
    </row>
    <row r="1356" spans="7:8">
      <c r="G1356" s="87"/>
      <c r="H1356" s="90"/>
    </row>
    <row r="1357" spans="7:8">
      <c r="G1357" s="87"/>
      <c r="H1357" s="90"/>
    </row>
    <row r="1358" spans="7:8">
      <c r="G1358" s="87"/>
      <c r="H1358" s="90"/>
    </row>
    <row r="1359" spans="7:8">
      <c r="G1359" s="87"/>
      <c r="H1359" s="90"/>
    </row>
    <row r="1360" spans="7:8">
      <c r="G1360" s="87"/>
      <c r="H1360" s="90"/>
    </row>
    <row r="1361" spans="7:8">
      <c r="G1361" s="87"/>
      <c r="H1361" s="90"/>
    </row>
    <row r="1362" spans="7:8">
      <c r="G1362" s="87"/>
      <c r="H1362" s="90"/>
    </row>
    <row r="1363" spans="7:8">
      <c r="G1363" s="87"/>
      <c r="H1363" s="90"/>
    </row>
    <row r="1364" spans="7:8">
      <c r="G1364" s="87"/>
      <c r="H1364" s="90"/>
    </row>
    <row r="1365" spans="7:8">
      <c r="G1365" s="87"/>
      <c r="H1365" s="90"/>
    </row>
    <row r="1366" spans="7:8">
      <c r="G1366" s="87"/>
      <c r="H1366" s="90"/>
    </row>
    <row r="1367" spans="7:8">
      <c r="G1367" s="87"/>
      <c r="H1367" s="90"/>
    </row>
    <row r="1368" spans="7:8">
      <c r="G1368" s="87"/>
      <c r="H1368" s="90"/>
    </row>
    <row r="1369" spans="7:8">
      <c r="G1369" s="87"/>
      <c r="H1369" s="90"/>
    </row>
    <row r="1370" spans="7:8">
      <c r="G1370" s="87"/>
      <c r="H1370" s="90"/>
    </row>
    <row r="1371" spans="7:8">
      <c r="G1371" s="87"/>
      <c r="H1371" s="90"/>
    </row>
    <row r="1372" spans="7:8">
      <c r="G1372" s="87"/>
      <c r="H1372" s="90"/>
    </row>
    <row r="1373" spans="7:8">
      <c r="G1373" s="87"/>
      <c r="H1373" s="90"/>
    </row>
    <row r="1374" spans="7:8">
      <c r="G1374" s="87"/>
      <c r="H1374" s="90"/>
    </row>
    <row r="1375" spans="7:8">
      <c r="G1375" s="87"/>
      <c r="H1375" s="90"/>
    </row>
    <row r="1376" spans="7:8">
      <c r="G1376" s="87"/>
      <c r="H1376" s="90"/>
    </row>
    <row r="1377" spans="7:8">
      <c r="G1377" s="87"/>
      <c r="H1377" s="90"/>
    </row>
    <row r="1378" spans="7:8">
      <c r="G1378" s="87"/>
      <c r="H1378" s="90"/>
    </row>
    <row r="1379" spans="7:8">
      <c r="G1379" s="87"/>
      <c r="H1379" s="90"/>
    </row>
    <row r="1380" spans="7:8">
      <c r="G1380" s="87"/>
      <c r="H1380" s="90"/>
    </row>
    <row r="1381" spans="7:8">
      <c r="G1381" s="87"/>
      <c r="H1381" s="90"/>
    </row>
    <row r="1382" spans="7:8">
      <c r="G1382" s="87"/>
      <c r="H1382" s="90"/>
    </row>
    <row r="1383" spans="7:8">
      <c r="G1383" s="87"/>
      <c r="H1383" s="90"/>
    </row>
    <row r="1384" spans="7:8">
      <c r="G1384" s="87"/>
      <c r="H1384" s="90"/>
    </row>
    <row r="1385" spans="7:8">
      <c r="G1385" s="87"/>
      <c r="H1385" s="90"/>
    </row>
    <row r="1386" spans="7:8">
      <c r="G1386" s="87"/>
      <c r="H1386" s="90"/>
    </row>
    <row r="1387" spans="7:8">
      <c r="G1387" s="87"/>
      <c r="H1387" s="90"/>
    </row>
    <row r="1388" spans="7:8">
      <c r="G1388" s="87"/>
      <c r="H1388" s="90"/>
    </row>
    <row r="1389" spans="7:8">
      <c r="G1389" s="87"/>
      <c r="H1389" s="90"/>
    </row>
    <row r="1390" spans="7:8">
      <c r="G1390" s="87"/>
      <c r="H1390" s="90"/>
    </row>
    <row r="1391" spans="7:8">
      <c r="G1391" s="87"/>
      <c r="H1391" s="90"/>
    </row>
    <row r="1392" spans="7:8">
      <c r="G1392" s="87"/>
      <c r="H1392" s="90"/>
    </row>
    <row r="1393" spans="7:8">
      <c r="G1393" s="87"/>
      <c r="H1393" s="90"/>
    </row>
    <row r="1394" spans="7:8">
      <c r="G1394" s="87"/>
      <c r="H1394" s="90"/>
    </row>
    <row r="1395" spans="7:8">
      <c r="G1395" s="87"/>
      <c r="H1395" s="90"/>
    </row>
    <row r="1396" spans="7:8">
      <c r="G1396" s="87"/>
      <c r="H1396" s="90"/>
    </row>
    <row r="1397" spans="7:8">
      <c r="G1397" s="87"/>
      <c r="H1397" s="90"/>
    </row>
    <row r="1398" spans="7:8">
      <c r="G1398" s="87"/>
      <c r="H1398" s="90"/>
    </row>
    <row r="1399" spans="7:8">
      <c r="G1399" s="87"/>
      <c r="H1399" s="90"/>
    </row>
    <row r="1400" spans="7:8">
      <c r="G1400" s="87"/>
      <c r="H1400" s="90"/>
    </row>
    <row r="1401" spans="7:8">
      <c r="G1401" s="87"/>
      <c r="H1401" s="90"/>
    </row>
    <row r="1402" spans="7:8">
      <c r="G1402" s="87"/>
      <c r="H1402" s="90"/>
    </row>
    <row r="1403" spans="7:8">
      <c r="G1403" s="87"/>
      <c r="H1403" s="90"/>
    </row>
    <row r="1404" spans="7:8">
      <c r="G1404" s="87"/>
      <c r="H1404" s="90"/>
    </row>
    <row r="1405" spans="7:8">
      <c r="G1405" s="87"/>
      <c r="H1405" s="90"/>
    </row>
    <row r="1406" spans="7:8">
      <c r="G1406" s="87"/>
      <c r="H1406" s="90"/>
    </row>
    <row r="1407" spans="7:8">
      <c r="G1407" s="87"/>
      <c r="H1407" s="90"/>
    </row>
    <row r="1408" spans="7:8">
      <c r="G1408" s="87"/>
      <c r="H1408" s="90"/>
    </row>
    <row r="1409" spans="7:8">
      <c r="G1409" s="87"/>
      <c r="H1409" s="90"/>
    </row>
    <row r="1410" spans="7:8">
      <c r="G1410" s="87"/>
      <c r="H1410" s="90"/>
    </row>
    <row r="1411" spans="7:8">
      <c r="G1411" s="87"/>
      <c r="H1411" s="90"/>
    </row>
    <row r="1412" spans="7:8">
      <c r="G1412" s="87"/>
      <c r="H1412" s="90"/>
    </row>
    <row r="1413" spans="7:8">
      <c r="G1413" s="87"/>
      <c r="H1413" s="90"/>
    </row>
    <row r="1414" spans="7:8">
      <c r="G1414" s="87"/>
      <c r="H1414" s="90"/>
    </row>
    <row r="1415" spans="7:8">
      <c r="G1415" s="87"/>
      <c r="H1415" s="90"/>
    </row>
    <row r="1416" spans="7:8">
      <c r="G1416" s="87"/>
      <c r="H1416" s="90"/>
    </row>
    <row r="1417" spans="7:8">
      <c r="G1417" s="87"/>
      <c r="H1417" s="90"/>
    </row>
    <row r="1418" spans="7:8">
      <c r="G1418" s="87"/>
      <c r="H1418" s="90"/>
    </row>
    <row r="1419" spans="7:8">
      <c r="G1419" s="87"/>
      <c r="H1419" s="90"/>
    </row>
    <row r="1420" spans="7:8">
      <c r="G1420" s="87"/>
      <c r="H1420" s="90"/>
    </row>
    <row r="1421" spans="7:8">
      <c r="G1421" s="87"/>
      <c r="H1421" s="90"/>
    </row>
    <row r="1422" spans="7:8">
      <c r="G1422" s="87"/>
      <c r="H1422" s="90"/>
    </row>
    <row r="1423" spans="7:8">
      <c r="G1423" s="87"/>
      <c r="H1423" s="90"/>
    </row>
    <row r="1424" spans="7:8">
      <c r="G1424" s="87"/>
      <c r="H1424" s="90"/>
    </row>
    <row r="1425" spans="7:8">
      <c r="G1425" s="87"/>
      <c r="H1425" s="90"/>
    </row>
    <row r="1426" spans="7:8">
      <c r="G1426" s="87"/>
      <c r="H1426" s="90"/>
    </row>
    <row r="1427" spans="7:8">
      <c r="G1427" s="87"/>
      <c r="H1427" s="90"/>
    </row>
    <row r="1428" spans="7:8">
      <c r="G1428" s="87"/>
      <c r="H1428" s="90"/>
    </row>
    <row r="1429" spans="7:8">
      <c r="G1429" s="87"/>
      <c r="H1429" s="90"/>
    </row>
    <row r="1430" spans="7:8">
      <c r="G1430" s="87"/>
      <c r="H1430" s="90"/>
    </row>
    <row r="1431" spans="7:8">
      <c r="G1431" s="87"/>
      <c r="H1431" s="90"/>
    </row>
    <row r="1432" spans="7:8">
      <c r="G1432" s="87"/>
      <c r="H1432" s="90"/>
    </row>
    <row r="1433" spans="7:8">
      <c r="G1433" s="87"/>
      <c r="H1433" s="90"/>
    </row>
    <row r="1434" spans="7:8">
      <c r="G1434" s="87"/>
      <c r="H1434" s="90"/>
    </row>
    <row r="1435" spans="7:8">
      <c r="G1435" s="87"/>
      <c r="H1435" s="90"/>
    </row>
    <row r="1436" spans="7:8">
      <c r="G1436" s="87"/>
      <c r="H1436" s="90"/>
    </row>
    <row r="1437" spans="7:8">
      <c r="G1437" s="87"/>
      <c r="H1437" s="90"/>
    </row>
    <row r="1438" spans="7:8">
      <c r="G1438" s="87"/>
      <c r="H1438" s="90"/>
    </row>
    <row r="1439" spans="7:8">
      <c r="G1439" s="87"/>
      <c r="H1439" s="90"/>
    </row>
    <row r="1440" spans="7:8">
      <c r="G1440" s="87"/>
      <c r="H1440" s="90"/>
    </row>
    <row r="1441" spans="7:8">
      <c r="G1441" s="87"/>
      <c r="H1441" s="90"/>
    </row>
    <row r="1442" spans="7:8">
      <c r="G1442" s="87"/>
      <c r="H1442" s="90"/>
    </row>
    <row r="1443" spans="7:8">
      <c r="G1443" s="87"/>
      <c r="H1443" s="90"/>
    </row>
    <row r="1444" spans="7:8">
      <c r="G1444" s="87"/>
      <c r="H1444" s="90"/>
    </row>
    <row r="1445" spans="7:8">
      <c r="G1445" s="87"/>
      <c r="H1445" s="90"/>
    </row>
    <row r="1446" spans="7:8">
      <c r="G1446" s="87"/>
      <c r="H1446" s="90"/>
    </row>
    <row r="1447" spans="7:8">
      <c r="G1447" s="87"/>
      <c r="H1447" s="90"/>
    </row>
    <row r="1448" spans="7:8">
      <c r="G1448" s="87"/>
      <c r="H1448" s="90"/>
    </row>
    <row r="1449" spans="7:8">
      <c r="G1449" s="87"/>
      <c r="H1449" s="90"/>
    </row>
    <row r="1450" spans="7:8">
      <c r="G1450" s="87"/>
      <c r="H1450" s="90"/>
    </row>
    <row r="1451" spans="7:8">
      <c r="G1451" s="87"/>
      <c r="H1451" s="90"/>
    </row>
    <row r="1452" spans="7:8">
      <c r="G1452" s="87"/>
      <c r="H1452" s="90"/>
    </row>
    <row r="1453" spans="7:8">
      <c r="G1453" s="87"/>
      <c r="H1453" s="90"/>
    </row>
    <row r="1454" spans="7:8">
      <c r="G1454" s="87"/>
      <c r="H1454" s="90"/>
    </row>
    <row r="1455" spans="7:8">
      <c r="G1455" s="87"/>
      <c r="H1455" s="90"/>
    </row>
    <row r="1456" spans="7:8">
      <c r="G1456" s="87"/>
      <c r="H1456" s="90"/>
    </row>
    <row r="1457" spans="7:8">
      <c r="G1457" s="87"/>
      <c r="H1457" s="90"/>
    </row>
    <row r="1458" spans="7:8">
      <c r="G1458" s="87"/>
      <c r="H1458" s="90"/>
    </row>
    <row r="1459" spans="7:8">
      <c r="G1459" s="87"/>
      <c r="H1459" s="90"/>
    </row>
    <row r="1460" spans="7:8">
      <c r="G1460" s="87"/>
      <c r="H1460" s="90"/>
    </row>
    <row r="1461" spans="7:8">
      <c r="G1461" s="87"/>
      <c r="H1461" s="90"/>
    </row>
    <row r="1462" spans="7:8">
      <c r="G1462" s="87"/>
      <c r="H1462" s="90"/>
    </row>
    <row r="1463" spans="7:8">
      <c r="G1463" s="87"/>
      <c r="H1463" s="90"/>
    </row>
    <row r="1464" spans="7:8">
      <c r="G1464" s="87"/>
      <c r="H1464" s="90"/>
    </row>
    <row r="1465" spans="7:8">
      <c r="G1465" s="87"/>
      <c r="H1465" s="90"/>
    </row>
    <row r="1466" spans="7:8">
      <c r="G1466" s="87"/>
      <c r="H1466" s="90"/>
    </row>
    <row r="1467" spans="7:8">
      <c r="G1467" s="87"/>
      <c r="H1467" s="90"/>
    </row>
    <row r="1468" spans="7:8">
      <c r="G1468" s="87"/>
      <c r="H1468" s="90"/>
    </row>
    <row r="1469" spans="7:8">
      <c r="G1469" s="87"/>
      <c r="H1469" s="90"/>
    </row>
    <row r="1470" spans="7:8">
      <c r="G1470" s="87"/>
      <c r="H1470" s="90"/>
    </row>
    <row r="1471" spans="7:8">
      <c r="G1471" s="87"/>
      <c r="H1471" s="90"/>
    </row>
    <row r="1472" spans="7:8">
      <c r="G1472" s="87"/>
      <c r="H1472" s="90"/>
    </row>
    <row r="1473" spans="7:8">
      <c r="G1473" s="87"/>
      <c r="H1473" s="90"/>
    </row>
    <row r="1474" spans="7:8">
      <c r="G1474" s="87"/>
      <c r="H1474" s="90"/>
    </row>
    <row r="1475" spans="7:8">
      <c r="G1475" s="87"/>
      <c r="H1475" s="90"/>
    </row>
    <row r="1476" spans="7:8">
      <c r="G1476" s="87"/>
      <c r="H1476" s="90"/>
    </row>
    <row r="1477" spans="7:8">
      <c r="G1477" s="87"/>
      <c r="H1477" s="90"/>
    </row>
    <row r="1478" spans="7:8">
      <c r="G1478" s="87"/>
      <c r="H1478" s="90"/>
    </row>
    <row r="1479" spans="7:8">
      <c r="G1479" s="87"/>
      <c r="H1479" s="90"/>
    </row>
    <row r="1480" spans="7:8">
      <c r="G1480" s="87"/>
      <c r="H1480" s="90"/>
    </row>
    <row r="1481" spans="7:8">
      <c r="G1481" s="87"/>
      <c r="H1481" s="90"/>
    </row>
    <row r="1482" spans="7:8">
      <c r="G1482" s="87"/>
      <c r="H1482" s="90"/>
    </row>
    <row r="1483" spans="7:8">
      <c r="G1483" s="87"/>
      <c r="H1483" s="90"/>
    </row>
    <row r="1484" spans="7:8">
      <c r="G1484" s="87"/>
      <c r="H1484" s="90"/>
    </row>
    <row r="1485" spans="7:8">
      <c r="G1485" s="87"/>
      <c r="H1485" s="90"/>
    </row>
    <row r="1486" spans="7:8">
      <c r="G1486" s="87"/>
      <c r="H1486" s="90"/>
    </row>
    <row r="1487" spans="7:8">
      <c r="G1487" s="87"/>
      <c r="H1487" s="90"/>
    </row>
    <row r="1488" spans="7:8">
      <c r="G1488" s="87"/>
      <c r="H1488" s="90"/>
    </row>
    <row r="1489" spans="7:8">
      <c r="G1489" s="87"/>
      <c r="H1489" s="90"/>
    </row>
    <row r="1490" spans="7:8">
      <c r="G1490" s="87"/>
      <c r="H1490" s="90"/>
    </row>
    <row r="1491" spans="7:8">
      <c r="G1491" s="87"/>
      <c r="H1491" s="90"/>
    </row>
    <row r="1492" spans="7:8">
      <c r="G1492" s="87"/>
      <c r="H1492" s="90"/>
    </row>
    <row r="1493" spans="7:8">
      <c r="G1493" s="87"/>
      <c r="H1493" s="90"/>
    </row>
    <row r="1494" spans="7:8">
      <c r="G1494" s="87"/>
      <c r="H1494" s="90"/>
    </row>
    <row r="1495" spans="7:8">
      <c r="G1495" s="87"/>
      <c r="H1495" s="90"/>
    </row>
    <row r="1496" spans="7:8">
      <c r="G1496" s="87"/>
      <c r="H1496" s="90"/>
    </row>
    <row r="1497" spans="7:8">
      <c r="G1497" s="87"/>
      <c r="H1497" s="90"/>
    </row>
    <row r="1498" spans="7:8">
      <c r="G1498" s="87"/>
      <c r="H1498" s="90"/>
    </row>
    <row r="1499" spans="7:8">
      <c r="G1499" s="87"/>
      <c r="H1499" s="90"/>
    </row>
    <row r="1500" spans="7:8">
      <c r="G1500" s="87"/>
      <c r="H1500" s="90"/>
    </row>
    <row r="1501" spans="7:8">
      <c r="G1501" s="87"/>
      <c r="H1501" s="90"/>
    </row>
    <row r="1502" spans="7:8">
      <c r="G1502" s="87"/>
      <c r="H1502" s="90"/>
    </row>
    <row r="1503" spans="7:8">
      <c r="G1503" s="87"/>
      <c r="H1503" s="90"/>
    </row>
    <row r="1504" spans="7:8">
      <c r="G1504" s="87"/>
      <c r="H1504" s="90"/>
    </row>
    <row r="1505" spans="7:8">
      <c r="G1505" s="87"/>
      <c r="H1505" s="90"/>
    </row>
    <row r="1506" spans="7:8">
      <c r="G1506" s="87"/>
      <c r="H1506" s="90"/>
    </row>
    <row r="1507" spans="7:8">
      <c r="G1507" s="87"/>
      <c r="H1507" s="90"/>
    </row>
    <row r="1508" spans="7:8">
      <c r="G1508" s="87"/>
      <c r="H1508" s="90"/>
    </row>
    <row r="1509" spans="7:8">
      <c r="G1509" s="87"/>
      <c r="H1509" s="90"/>
    </row>
    <row r="1510" spans="7:8">
      <c r="G1510" s="87"/>
      <c r="H1510" s="90"/>
    </row>
    <row r="1511" spans="7:8">
      <c r="G1511" s="87"/>
      <c r="H1511" s="90"/>
    </row>
    <row r="1512" spans="7:8">
      <c r="G1512" s="87"/>
      <c r="H1512" s="90"/>
    </row>
    <row r="1513" spans="7:8">
      <c r="G1513" s="87"/>
      <c r="H1513" s="90"/>
    </row>
    <row r="1514" spans="7:8">
      <c r="G1514" s="87"/>
      <c r="H1514" s="90"/>
    </row>
    <row r="1515" spans="7:8">
      <c r="G1515" s="87"/>
      <c r="H1515" s="90"/>
    </row>
    <row r="1516" spans="7:8">
      <c r="G1516" s="87"/>
      <c r="H1516" s="90"/>
    </row>
    <row r="1517" spans="7:8">
      <c r="G1517" s="87"/>
      <c r="H1517" s="90"/>
    </row>
    <row r="1518" spans="7:8">
      <c r="G1518" s="87"/>
      <c r="H1518" s="90"/>
    </row>
    <row r="1519" spans="7:8">
      <c r="G1519" s="87"/>
      <c r="H1519" s="90"/>
    </row>
    <row r="1520" spans="7:8">
      <c r="G1520" s="87"/>
      <c r="H1520" s="90"/>
    </row>
    <row r="1521" spans="7:8">
      <c r="G1521" s="87"/>
      <c r="H1521" s="90"/>
    </row>
    <row r="1522" spans="7:8">
      <c r="G1522" s="87"/>
      <c r="H1522" s="90"/>
    </row>
    <row r="1523" spans="7:8">
      <c r="G1523" s="87"/>
      <c r="H1523" s="90"/>
    </row>
    <row r="1524" spans="7:8">
      <c r="G1524" s="87"/>
      <c r="H1524" s="90"/>
    </row>
    <row r="1525" spans="7:8">
      <c r="G1525" s="87"/>
      <c r="H1525" s="90"/>
    </row>
    <row r="1526" spans="7:8">
      <c r="G1526" s="87"/>
      <c r="H1526" s="90"/>
    </row>
    <row r="1527" spans="7:8">
      <c r="G1527" s="87"/>
      <c r="H1527" s="90"/>
    </row>
    <row r="1528" spans="7:8">
      <c r="G1528" s="87"/>
      <c r="H1528" s="90"/>
    </row>
    <row r="1529" spans="7:8">
      <c r="G1529" s="87"/>
      <c r="H1529" s="90"/>
    </row>
    <row r="1530" spans="7:8">
      <c r="G1530" s="87"/>
      <c r="H1530" s="90"/>
    </row>
    <row r="1531" spans="7:8">
      <c r="G1531" s="87"/>
      <c r="H1531" s="90"/>
    </row>
    <row r="1532" spans="7:8">
      <c r="G1532" s="87"/>
      <c r="H1532" s="90"/>
    </row>
    <row r="1533" spans="7:8">
      <c r="G1533" s="87"/>
      <c r="H1533" s="90"/>
    </row>
    <row r="1534" spans="7:8">
      <c r="G1534" s="87"/>
      <c r="H1534" s="90"/>
    </row>
    <row r="1535" spans="7:8">
      <c r="G1535" s="87"/>
      <c r="H1535" s="90"/>
    </row>
    <row r="1536" spans="7:8">
      <c r="G1536" s="87"/>
      <c r="H1536" s="90"/>
    </row>
    <row r="1537" spans="7:8">
      <c r="G1537" s="87"/>
      <c r="H1537" s="90"/>
    </row>
    <row r="1538" spans="7:8">
      <c r="G1538" s="87"/>
      <c r="H1538" s="90"/>
    </row>
    <row r="1539" spans="7:8">
      <c r="G1539" s="87"/>
      <c r="H1539" s="90"/>
    </row>
    <row r="1540" spans="7:8">
      <c r="G1540" s="87"/>
      <c r="H1540" s="90"/>
    </row>
    <row r="1541" spans="7:8">
      <c r="G1541" s="87"/>
      <c r="H1541" s="90"/>
    </row>
    <row r="1542" spans="7:8">
      <c r="G1542" s="87"/>
      <c r="H1542" s="90"/>
    </row>
    <row r="1543" spans="7:8">
      <c r="G1543" s="87"/>
      <c r="H1543" s="90"/>
    </row>
    <row r="1544" spans="7:8">
      <c r="G1544" s="87"/>
      <c r="H1544" s="90"/>
    </row>
    <row r="1545" spans="7:8">
      <c r="G1545" s="87"/>
      <c r="H1545" s="90"/>
    </row>
    <row r="1546" spans="7:8">
      <c r="G1546" s="87"/>
      <c r="H1546" s="90"/>
    </row>
    <row r="1547" spans="7:8">
      <c r="G1547" s="87"/>
      <c r="H1547" s="90"/>
    </row>
    <row r="1548" spans="7:8">
      <c r="G1548" s="87"/>
      <c r="H1548" s="90"/>
    </row>
    <row r="1549" spans="7:8">
      <c r="G1549" s="87"/>
      <c r="H1549" s="90"/>
    </row>
    <row r="1550" spans="7:8">
      <c r="G1550" s="87"/>
      <c r="H1550" s="90"/>
    </row>
    <row r="1551" spans="7:8">
      <c r="G1551" s="87"/>
      <c r="H1551" s="90"/>
    </row>
    <row r="1552" spans="7:8">
      <c r="G1552" s="87"/>
      <c r="H1552" s="90"/>
    </row>
    <row r="1553" spans="7:8">
      <c r="G1553" s="87"/>
      <c r="H1553" s="90"/>
    </row>
    <row r="1554" spans="7:8">
      <c r="G1554" s="87"/>
      <c r="H1554" s="90"/>
    </row>
    <row r="1555" spans="7:8">
      <c r="G1555" s="87"/>
      <c r="H1555" s="90"/>
    </row>
    <row r="1556" spans="7:8">
      <c r="G1556" s="87"/>
      <c r="H1556" s="90"/>
    </row>
    <row r="1557" spans="7:8">
      <c r="G1557" s="87"/>
      <c r="H1557" s="90"/>
    </row>
    <row r="1558" spans="7:8">
      <c r="G1558" s="87"/>
      <c r="H1558" s="90"/>
    </row>
    <row r="1559" spans="7:8">
      <c r="G1559" s="87"/>
      <c r="H1559" s="90"/>
    </row>
    <row r="1560" spans="7:8">
      <c r="G1560" s="87"/>
      <c r="H1560" s="90"/>
    </row>
    <row r="1561" spans="7:8">
      <c r="G1561" s="87"/>
      <c r="H1561" s="90"/>
    </row>
    <row r="1562" spans="7:8">
      <c r="G1562" s="87"/>
      <c r="H1562" s="90"/>
    </row>
    <row r="1563" spans="7:8">
      <c r="G1563" s="87"/>
      <c r="H1563" s="90"/>
    </row>
    <row r="1564" spans="7:8">
      <c r="G1564" s="87"/>
      <c r="H1564" s="90"/>
    </row>
    <row r="1565" spans="7:8">
      <c r="G1565" s="87"/>
      <c r="H1565" s="90"/>
    </row>
    <row r="1566" spans="7:8">
      <c r="G1566" s="87"/>
      <c r="H1566" s="90"/>
    </row>
    <row r="1567" spans="7:8">
      <c r="G1567" s="87"/>
      <c r="H1567" s="90"/>
    </row>
    <row r="1568" spans="7:8">
      <c r="G1568" s="87"/>
      <c r="H1568" s="90"/>
    </row>
    <row r="1569" spans="7:8">
      <c r="G1569" s="87"/>
      <c r="H1569" s="90"/>
    </row>
    <row r="1570" spans="7:8">
      <c r="G1570" s="87"/>
      <c r="H1570" s="90"/>
    </row>
    <row r="1571" spans="7:8">
      <c r="G1571" s="87"/>
      <c r="H1571" s="90"/>
    </row>
    <row r="1572" spans="7:8">
      <c r="G1572" s="87"/>
      <c r="H1572" s="90"/>
    </row>
    <row r="1573" spans="7:8">
      <c r="G1573" s="87"/>
      <c r="H1573" s="90"/>
    </row>
    <row r="1574" spans="7:8">
      <c r="G1574" s="87"/>
      <c r="H1574" s="90"/>
    </row>
    <row r="1575" spans="7:8">
      <c r="G1575" s="87"/>
      <c r="H1575" s="90"/>
    </row>
    <row r="1576" spans="7:8">
      <c r="G1576" s="87"/>
      <c r="H1576" s="90"/>
    </row>
    <row r="1577" spans="7:8">
      <c r="G1577" s="87"/>
      <c r="H1577" s="90"/>
    </row>
    <row r="1578" spans="7:8">
      <c r="G1578" s="87"/>
      <c r="H1578" s="90"/>
    </row>
    <row r="1579" spans="7:8">
      <c r="G1579" s="87"/>
      <c r="H1579" s="90"/>
    </row>
    <row r="1580" spans="7:8">
      <c r="G1580" s="87"/>
      <c r="H1580" s="90"/>
    </row>
    <row r="1581" spans="7:8">
      <c r="G1581" s="87"/>
      <c r="H1581" s="90"/>
    </row>
    <row r="1582" spans="7:8">
      <c r="G1582" s="87"/>
      <c r="H1582" s="90"/>
    </row>
    <row r="1583" spans="7:8">
      <c r="G1583" s="87"/>
      <c r="H1583" s="90"/>
    </row>
    <row r="1584" spans="7:8">
      <c r="G1584" s="87"/>
      <c r="H1584" s="90"/>
    </row>
    <row r="1585" spans="7:8">
      <c r="G1585" s="87"/>
      <c r="H1585" s="90"/>
    </row>
    <row r="1586" spans="7:8">
      <c r="G1586" s="87"/>
      <c r="H1586" s="90"/>
    </row>
    <row r="1587" spans="7:8">
      <c r="G1587" s="87"/>
      <c r="H1587" s="90"/>
    </row>
    <row r="1588" spans="7:8">
      <c r="G1588" s="87"/>
      <c r="H1588" s="90"/>
    </row>
    <row r="1589" spans="7:8">
      <c r="G1589" s="87"/>
      <c r="H1589" s="90"/>
    </row>
    <row r="1590" spans="7:8">
      <c r="G1590" s="87"/>
      <c r="H1590" s="90"/>
    </row>
    <row r="1591" spans="7:8">
      <c r="G1591" s="87"/>
      <c r="H1591" s="90"/>
    </row>
    <row r="1592" spans="7:8">
      <c r="G1592" s="87"/>
      <c r="H1592" s="90"/>
    </row>
    <row r="1593" spans="7:8">
      <c r="G1593" s="87"/>
      <c r="H1593" s="90"/>
    </row>
    <row r="1594" spans="7:8">
      <c r="G1594" s="87"/>
      <c r="H1594" s="90"/>
    </row>
    <row r="1595" spans="7:8">
      <c r="G1595" s="87"/>
      <c r="H1595" s="90"/>
    </row>
    <row r="1596" spans="7:8">
      <c r="G1596" s="87"/>
      <c r="H1596" s="90"/>
    </row>
    <row r="1597" spans="7:8">
      <c r="G1597" s="87"/>
      <c r="H1597" s="90"/>
    </row>
    <row r="1598" spans="7:8">
      <c r="G1598" s="87"/>
      <c r="H1598" s="90"/>
    </row>
    <row r="1599" spans="7:8">
      <c r="G1599" s="87"/>
      <c r="H1599" s="90"/>
    </row>
    <row r="1600" spans="7:8">
      <c r="G1600" s="87"/>
      <c r="H1600" s="90"/>
    </row>
    <row r="1601" spans="7:8">
      <c r="G1601" s="87"/>
      <c r="H1601" s="90"/>
    </row>
    <row r="1602" spans="7:8">
      <c r="G1602" s="87"/>
      <c r="H1602" s="90"/>
    </row>
    <row r="1603" spans="7:8">
      <c r="G1603" s="87"/>
      <c r="H1603" s="90"/>
    </row>
    <row r="1604" spans="7:8">
      <c r="G1604" s="87"/>
      <c r="H1604" s="90"/>
    </row>
    <row r="1605" spans="7:8">
      <c r="G1605" s="87"/>
      <c r="H1605" s="90"/>
    </row>
    <row r="1606" spans="7:8">
      <c r="G1606" s="87"/>
      <c r="H1606" s="90"/>
    </row>
    <row r="1607" spans="7:8">
      <c r="G1607" s="87"/>
      <c r="H1607" s="90"/>
    </row>
    <row r="1608" spans="7:8">
      <c r="G1608" s="87"/>
      <c r="H1608" s="90"/>
    </row>
    <row r="1609" spans="7:8">
      <c r="G1609" s="87"/>
      <c r="H1609" s="90"/>
    </row>
    <row r="1610" spans="7:8">
      <c r="G1610" s="87"/>
      <c r="H1610" s="90"/>
    </row>
    <row r="1611" spans="7:8">
      <c r="G1611" s="87"/>
      <c r="H1611" s="90"/>
    </row>
    <row r="1612" spans="7:8">
      <c r="G1612" s="87"/>
      <c r="H1612" s="90"/>
    </row>
    <row r="1613" spans="7:8">
      <c r="G1613" s="87"/>
      <c r="H1613" s="90"/>
    </row>
    <row r="1614" spans="7:8">
      <c r="G1614" s="87"/>
      <c r="H1614" s="90"/>
    </row>
    <row r="1615" spans="7:8">
      <c r="G1615" s="87"/>
      <c r="H1615" s="90"/>
    </row>
    <row r="1616" spans="7:8">
      <c r="G1616" s="87"/>
      <c r="H1616" s="90"/>
    </row>
    <row r="1617" spans="7:8">
      <c r="G1617" s="87"/>
      <c r="H1617" s="90"/>
    </row>
    <row r="1618" spans="7:8">
      <c r="G1618" s="87"/>
      <c r="H1618" s="90"/>
    </row>
    <row r="1619" spans="7:8">
      <c r="G1619" s="87"/>
      <c r="H1619" s="90"/>
    </row>
    <row r="1620" spans="7:8">
      <c r="G1620" s="87"/>
      <c r="H1620" s="90"/>
    </row>
    <row r="1621" spans="7:8">
      <c r="G1621" s="87"/>
      <c r="H1621" s="90"/>
    </row>
    <row r="1622" spans="7:8">
      <c r="G1622" s="87"/>
      <c r="H1622" s="90"/>
    </row>
    <row r="1623" spans="7:8">
      <c r="G1623" s="87"/>
      <c r="H1623" s="90"/>
    </row>
    <row r="1624" spans="7:8">
      <c r="G1624" s="87"/>
      <c r="H1624" s="90"/>
    </row>
    <row r="1625" spans="7:8">
      <c r="G1625" s="87"/>
      <c r="H1625" s="90"/>
    </row>
    <row r="1626" spans="7:8">
      <c r="G1626" s="87"/>
      <c r="H1626" s="90"/>
    </row>
    <row r="1627" spans="7:8">
      <c r="G1627" s="87"/>
      <c r="H1627" s="90"/>
    </row>
    <row r="1628" spans="7:8">
      <c r="G1628" s="87"/>
      <c r="H1628" s="90"/>
    </row>
    <row r="1629" spans="7:8">
      <c r="G1629" s="87"/>
      <c r="H1629" s="90"/>
    </row>
    <row r="1630" spans="7:8">
      <c r="G1630" s="87"/>
      <c r="H1630" s="90"/>
    </row>
    <row r="1631" spans="7:8">
      <c r="G1631" s="87"/>
      <c r="H1631" s="90"/>
    </row>
    <row r="1632" spans="7:8">
      <c r="G1632" s="87"/>
      <c r="H1632" s="90"/>
    </row>
    <row r="1633" spans="7:8">
      <c r="G1633" s="87"/>
      <c r="H1633" s="90"/>
    </row>
    <row r="1634" spans="7:8">
      <c r="G1634" s="87"/>
      <c r="H1634" s="90"/>
    </row>
    <row r="1635" spans="7:8">
      <c r="G1635" s="87"/>
      <c r="H1635" s="90"/>
    </row>
    <row r="1636" spans="7:8">
      <c r="G1636" s="87"/>
      <c r="H1636" s="90"/>
    </row>
    <row r="1637" spans="7:8">
      <c r="G1637" s="87"/>
      <c r="H1637" s="90"/>
    </row>
    <row r="1638" spans="7:8">
      <c r="G1638" s="87"/>
      <c r="H1638" s="90"/>
    </row>
    <row r="1639" spans="7:8">
      <c r="G1639" s="87"/>
      <c r="H1639" s="90"/>
    </row>
    <row r="1640" spans="7:8">
      <c r="G1640" s="87"/>
      <c r="H1640" s="90"/>
    </row>
    <row r="1641" spans="7:8">
      <c r="G1641" s="87"/>
      <c r="H1641" s="90"/>
    </row>
    <row r="1642" spans="7:8">
      <c r="G1642" s="87"/>
      <c r="H1642" s="90"/>
    </row>
    <row r="1643" spans="7:8">
      <c r="G1643" s="87"/>
      <c r="H1643" s="90"/>
    </row>
    <row r="1644" spans="7:8">
      <c r="G1644" s="87"/>
      <c r="H1644" s="90"/>
    </row>
    <row r="1645" spans="7:8">
      <c r="G1645" s="87"/>
      <c r="H1645" s="90"/>
    </row>
    <row r="1646" spans="7:8">
      <c r="G1646" s="87"/>
      <c r="H1646" s="90"/>
    </row>
    <row r="1647" spans="7:8">
      <c r="G1647" s="87"/>
      <c r="H1647" s="90"/>
    </row>
    <row r="1648" spans="7:8">
      <c r="G1648" s="87"/>
      <c r="H1648" s="90"/>
    </row>
    <row r="1649" spans="7:8">
      <c r="G1649" s="87"/>
      <c r="H1649" s="90"/>
    </row>
    <row r="1650" spans="7:8">
      <c r="G1650" s="87"/>
      <c r="H1650" s="90"/>
    </row>
    <row r="1651" spans="7:8">
      <c r="G1651" s="87"/>
      <c r="H1651" s="90"/>
    </row>
    <row r="1652" spans="7:8">
      <c r="G1652" s="87"/>
      <c r="H1652" s="90"/>
    </row>
    <row r="1653" spans="7:8">
      <c r="G1653" s="87"/>
      <c r="H1653" s="90"/>
    </row>
    <row r="1654" spans="7:8">
      <c r="G1654" s="87"/>
      <c r="H1654" s="90"/>
    </row>
    <row r="1655" spans="7:8">
      <c r="G1655" s="87"/>
      <c r="H1655" s="90"/>
    </row>
    <row r="1656" spans="7:8">
      <c r="G1656" s="87"/>
      <c r="H1656" s="90"/>
    </row>
    <row r="1657" spans="7:8">
      <c r="G1657" s="87"/>
      <c r="H1657" s="90"/>
    </row>
    <row r="1658" spans="7:8">
      <c r="G1658" s="87"/>
      <c r="H1658" s="90"/>
    </row>
    <row r="1659" spans="7:8">
      <c r="G1659" s="87"/>
      <c r="H1659" s="90"/>
    </row>
    <row r="1660" spans="7:8">
      <c r="G1660" s="87"/>
      <c r="H1660" s="90"/>
    </row>
    <row r="1661" spans="7:8">
      <c r="G1661" s="87"/>
      <c r="H1661" s="90"/>
    </row>
    <row r="1662" spans="7:8">
      <c r="G1662" s="87"/>
      <c r="H1662" s="90"/>
    </row>
    <row r="1663" spans="7:8">
      <c r="G1663" s="87"/>
      <c r="H1663" s="90"/>
    </row>
    <row r="1664" spans="7:8">
      <c r="G1664" s="87"/>
      <c r="H1664" s="90"/>
    </row>
    <row r="1665" spans="7:8">
      <c r="G1665" s="87"/>
      <c r="H1665" s="90"/>
    </row>
    <row r="1666" spans="7:8">
      <c r="G1666" s="87"/>
      <c r="H1666" s="90"/>
    </row>
    <row r="1667" spans="7:8">
      <c r="G1667" s="87"/>
      <c r="H1667" s="90"/>
    </row>
    <row r="1668" spans="7:8">
      <c r="G1668" s="87"/>
      <c r="H1668" s="90"/>
    </row>
    <row r="1669" spans="7:8">
      <c r="G1669" s="87"/>
      <c r="H1669" s="90"/>
    </row>
    <row r="1670" spans="7:8">
      <c r="G1670" s="87"/>
      <c r="H1670" s="90"/>
    </row>
    <row r="1671" spans="7:8">
      <c r="G1671" s="87"/>
      <c r="H1671" s="90"/>
    </row>
    <row r="1672" spans="7:8">
      <c r="G1672" s="87"/>
      <c r="H1672" s="90"/>
    </row>
    <row r="1673" spans="7:8">
      <c r="G1673" s="87"/>
      <c r="H1673" s="90"/>
    </row>
    <row r="1674" spans="7:8">
      <c r="G1674" s="87"/>
      <c r="H1674" s="90"/>
    </row>
    <row r="1675" spans="7:8">
      <c r="G1675" s="87"/>
      <c r="H1675" s="90"/>
    </row>
    <row r="1676" spans="7:8">
      <c r="G1676" s="87"/>
      <c r="H1676" s="90"/>
    </row>
    <row r="1677" spans="7:8">
      <c r="G1677" s="87"/>
      <c r="H1677" s="90"/>
    </row>
    <row r="1678" spans="7:8">
      <c r="G1678" s="87"/>
      <c r="H1678" s="90"/>
    </row>
    <row r="1679" spans="7:8">
      <c r="G1679" s="87"/>
      <c r="H1679" s="90"/>
    </row>
    <row r="1680" spans="7:8">
      <c r="G1680" s="87"/>
      <c r="H1680" s="90"/>
    </row>
    <row r="1681" spans="7:8">
      <c r="G1681" s="87"/>
      <c r="H1681" s="90"/>
    </row>
    <row r="1682" spans="7:8">
      <c r="G1682" s="87"/>
      <c r="H1682" s="90"/>
    </row>
    <row r="1683" spans="7:8">
      <c r="G1683" s="87"/>
      <c r="H1683" s="90"/>
    </row>
    <row r="1684" spans="7:8">
      <c r="G1684" s="87"/>
      <c r="H1684" s="90"/>
    </row>
    <row r="1685" spans="7:8">
      <c r="G1685" s="87"/>
      <c r="H1685" s="90"/>
    </row>
    <row r="1686" spans="7:8">
      <c r="G1686" s="87"/>
      <c r="H1686" s="90"/>
    </row>
    <row r="1687" spans="7:8">
      <c r="G1687" s="87"/>
      <c r="H1687" s="90"/>
    </row>
    <row r="1688" spans="7:8">
      <c r="G1688" s="87"/>
      <c r="H1688" s="90"/>
    </row>
    <row r="1689" spans="7:8">
      <c r="G1689" s="87"/>
      <c r="H1689" s="90"/>
    </row>
    <row r="1690" spans="7:8">
      <c r="G1690" s="87"/>
      <c r="H1690" s="90"/>
    </row>
    <row r="1691" spans="7:8">
      <c r="G1691" s="87"/>
      <c r="H1691" s="90"/>
    </row>
    <row r="1692" spans="7:8">
      <c r="G1692" s="87"/>
      <c r="H1692" s="90"/>
    </row>
    <row r="1693" spans="7:8">
      <c r="G1693" s="87"/>
      <c r="H1693" s="90"/>
    </row>
    <row r="1694" spans="7:8">
      <c r="G1694" s="87"/>
      <c r="H1694" s="90"/>
    </row>
    <row r="1695" spans="7:8">
      <c r="G1695" s="87"/>
      <c r="H1695" s="90"/>
    </row>
    <row r="1696" spans="7:8">
      <c r="G1696" s="87"/>
      <c r="H1696" s="90"/>
    </row>
    <row r="1697" spans="7:8">
      <c r="G1697" s="87"/>
      <c r="H1697" s="90"/>
    </row>
    <row r="1698" spans="7:8">
      <c r="G1698" s="87"/>
      <c r="H1698" s="90"/>
    </row>
    <row r="1699" spans="7:8">
      <c r="G1699" s="87"/>
      <c r="H1699" s="90"/>
    </row>
    <row r="1700" spans="7:8">
      <c r="G1700" s="87"/>
      <c r="H1700" s="90"/>
    </row>
    <row r="1701" spans="7:8">
      <c r="G1701" s="87"/>
      <c r="H1701" s="90"/>
    </row>
    <row r="1702" spans="7:8">
      <c r="G1702" s="87"/>
      <c r="H1702" s="90"/>
    </row>
    <row r="1703" spans="7:8">
      <c r="G1703" s="87"/>
      <c r="H1703" s="90"/>
    </row>
    <row r="1704" spans="7:8">
      <c r="G1704" s="87"/>
      <c r="H1704" s="90"/>
    </row>
    <row r="1705" spans="7:8">
      <c r="G1705" s="87"/>
      <c r="H1705" s="90"/>
    </row>
    <row r="1706" spans="7:8">
      <c r="G1706" s="87"/>
      <c r="H1706" s="90"/>
    </row>
    <row r="1707" spans="7:8">
      <c r="G1707" s="87"/>
      <c r="H1707" s="90"/>
    </row>
    <row r="1708" spans="7:8">
      <c r="G1708" s="87"/>
      <c r="H1708" s="90"/>
    </row>
    <row r="1709" spans="7:8">
      <c r="G1709" s="87"/>
      <c r="H1709" s="90"/>
    </row>
    <row r="1710" spans="7:8">
      <c r="G1710" s="87"/>
      <c r="H1710" s="90"/>
    </row>
    <row r="1711" spans="7:8">
      <c r="G1711" s="87"/>
      <c r="H1711" s="90"/>
    </row>
    <row r="1712" spans="7:8">
      <c r="G1712" s="87"/>
      <c r="H1712" s="90"/>
    </row>
    <row r="1713" spans="7:8">
      <c r="G1713" s="87"/>
      <c r="H1713" s="90"/>
    </row>
    <row r="1714" spans="7:8">
      <c r="G1714" s="87"/>
      <c r="H1714" s="90"/>
    </row>
    <row r="1715" spans="7:8">
      <c r="G1715" s="87"/>
      <c r="H1715" s="90"/>
    </row>
    <row r="1716" spans="7:8">
      <c r="G1716" s="87"/>
      <c r="H1716" s="90"/>
    </row>
    <row r="1717" spans="7:8">
      <c r="G1717" s="87"/>
      <c r="H1717" s="90"/>
    </row>
    <row r="1718" spans="7:8">
      <c r="G1718" s="87"/>
      <c r="H1718" s="90"/>
    </row>
    <row r="1719" spans="7:8">
      <c r="G1719" s="87"/>
      <c r="H1719" s="90"/>
    </row>
    <row r="1720" spans="7:8">
      <c r="G1720" s="87"/>
      <c r="H1720" s="90"/>
    </row>
    <row r="1721" spans="7:8">
      <c r="G1721" s="87"/>
      <c r="H1721" s="90"/>
    </row>
    <row r="1722" spans="7:8">
      <c r="G1722" s="87"/>
      <c r="H1722" s="90"/>
    </row>
    <row r="1723" spans="7:8">
      <c r="G1723" s="87"/>
      <c r="H1723" s="90"/>
    </row>
    <row r="1724" spans="7:8">
      <c r="G1724" s="87"/>
      <c r="H1724" s="90"/>
    </row>
    <row r="1725" spans="7:8">
      <c r="G1725" s="87"/>
      <c r="H1725" s="90"/>
    </row>
    <row r="1726" spans="7:8">
      <c r="G1726" s="87"/>
      <c r="H1726" s="90"/>
    </row>
    <row r="1727" spans="7:8">
      <c r="G1727" s="87"/>
      <c r="H1727" s="90"/>
    </row>
    <row r="1728" spans="7:8">
      <c r="G1728" s="87"/>
      <c r="H1728" s="90"/>
    </row>
    <row r="1729" spans="7:8">
      <c r="G1729" s="87"/>
      <c r="H1729" s="90"/>
    </row>
    <row r="1730" spans="7:8">
      <c r="G1730" s="87"/>
      <c r="H1730" s="90"/>
    </row>
    <row r="1731" spans="7:8">
      <c r="G1731" s="87"/>
      <c r="H1731" s="90"/>
    </row>
    <row r="1732" spans="7:8">
      <c r="G1732" s="87"/>
      <c r="H1732" s="90"/>
    </row>
    <row r="1733" spans="7:8">
      <c r="G1733" s="87"/>
      <c r="H1733" s="90"/>
    </row>
    <row r="1734" spans="7:8">
      <c r="G1734" s="87"/>
      <c r="H1734" s="90"/>
    </row>
    <row r="1735" spans="7:8">
      <c r="G1735" s="87"/>
      <c r="H1735" s="90"/>
    </row>
    <row r="1736" spans="7:8">
      <c r="G1736" s="87"/>
      <c r="H1736" s="90"/>
    </row>
    <row r="1737" spans="7:8">
      <c r="G1737" s="87"/>
      <c r="H1737" s="90"/>
    </row>
    <row r="1738" spans="7:8">
      <c r="G1738" s="87"/>
      <c r="H1738" s="90"/>
    </row>
    <row r="1739" spans="7:8">
      <c r="G1739" s="87"/>
      <c r="H1739" s="90"/>
    </row>
    <row r="1740" spans="7:8">
      <c r="G1740" s="87"/>
      <c r="H1740" s="90"/>
    </row>
    <row r="1741" spans="7:8">
      <c r="G1741" s="87"/>
      <c r="H1741" s="90"/>
    </row>
    <row r="1742" spans="7:8">
      <c r="G1742" s="87"/>
      <c r="H1742" s="90"/>
    </row>
    <row r="1743" spans="7:8">
      <c r="G1743" s="87"/>
      <c r="H1743" s="90"/>
    </row>
    <row r="1744" spans="7:8">
      <c r="G1744" s="87"/>
      <c r="H1744" s="90"/>
    </row>
    <row r="1745" spans="7:8">
      <c r="G1745" s="87"/>
      <c r="H1745" s="90"/>
    </row>
    <row r="1746" spans="7:8">
      <c r="G1746" s="87"/>
      <c r="H1746" s="90"/>
    </row>
    <row r="1747" spans="7:8">
      <c r="G1747" s="87"/>
      <c r="H1747" s="90"/>
    </row>
    <row r="1748" spans="7:8">
      <c r="G1748" s="87"/>
      <c r="H1748" s="90"/>
    </row>
    <row r="1749" spans="7:8">
      <c r="G1749" s="87"/>
      <c r="H1749" s="90"/>
    </row>
    <row r="1750" spans="7:8">
      <c r="G1750" s="87"/>
      <c r="H1750" s="90"/>
    </row>
    <row r="1751" spans="7:8">
      <c r="G1751" s="87"/>
      <c r="H1751" s="90"/>
    </row>
    <row r="1752" spans="7:8">
      <c r="G1752" s="87"/>
      <c r="H1752" s="90"/>
    </row>
    <row r="1753" spans="7:8">
      <c r="G1753" s="87"/>
      <c r="H1753" s="90"/>
    </row>
    <row r="1754" spans="7:8">
      <c r="G1754" s="87"/>
      <c r="H1754" s="90"/>
    </row>
    <row r="1755" spans="7:8">
      <c r="G1755" s="87"/>
      <c r="H1755" s="90"/>
    </row>
    <row r="1756" spans="7:8">
      <c r="G1756" s="87"/>
      <c r="H1756" s="90"/>
    </row>
    <row r="1757" spans="7:8">
      <c r="G1757" s="87"/>
      <c r="H1757" s="90"/>
    </row>
    <row r="1758" spans="7:8">
      <c r="G1758" s="87"/>
      <c r="H1758" s="90"/>
    </row>
    <row r="1759" spans="7:8">
      <c r="G1759" s="87"/>
      <c r="H1759" s="90"/>
    </row>
    <row r="1760" spans="7:8">
      <c r="G1760" s="87"/>
      <c r="H1760" s="90"/>
    </row>
    <row r="1761" spans="7:8">
      <c r="G1761" s="87"/>
      <c r="H1761" s="90"/>
    </row>
    <row r="1762" spans="7:8">
      <c r="G1762" s="87"/>
      <c r="H1762" s="90"/>
    </row>
    <row r="1763" spans="7:8">
      <c r="G1763" s="87"/>
      <c r="H1763" s="90"/>
    </row>
    <row r="1764" spans="7:8">
      <c r="G1764" s="87"/>
      <c r="H1764" s="90"/>
    </row>
    <row r="1765" spans="7:8">
      <c r="G1765" s="87"/>
      <c r="H1765" s="90"/>
    </row>
    <row r="1766" spans="7:8">
      <c r="G1766" s="87"/>
      <c r="H1766" s="90"/>
    </row>
    <row r="1767" spans="7:8">
      <c r="G1767" s="87"/>
      <c r="H1767" s="90"/>
    </row>
    <row r="1768" spans="7:8">
      <c r="G1768" s="87"/>
      <c r="H1768" s="90"/>
    </row>
    <row r="1769" spans="7:8">
      <c r="G1769" s="87"/>
      <c r="H1769" s="90"/>
    </row>
    <row r="1770" spans="7:8">
      <c r="G1770" s="87"/>
      <c r="H1770" s="90"/>
    </row>
    <row r="1771" spans="7:8">
      <c r="G1771" s="87"/>
      <c r="H1771" s="90"/>
    </row>
    <row r="1772" spans="7:8">
      <c r="G1772" s="87"/>
      <c r="H1772" s="90"/>
    </row>
    <row r="1773" spans="7:8">
      <c r="G1773" s="87"/>
      <c r="H1773" s="90"/>
    </row>
    <row r="1774" spans="7:8">
      <c r="G1774" s="87"/>
      <c r="H1774" s="90"/>
    </row>
    <row r="1775" spans="7:8">
      <c r="G1775" s="87"/>
      <c r="H1775" s="90"/>
    </row>
    <row r="1776" spans="7:8">
      <c r="G1776" s="87"/>
      <c r="H1776" s="90"/>
    </row>
    <row r="1777" spans="7:8">
      <c r="G1777" s="87"/>
      <c r="H1777" s="90"/>
    </row>
    <row r="1778" spans="7:8">
      <c r="G1778" s="87"/>
      <c r="H1778" s="90"/>
    </row>
    <row r="1779" spans="7:8">
      <c r="G1779" s="87"/>
      <c r="H1779" s="90"/>
    </row>
    <row r="1780" spans="7:8">
      <c r="G1780" s="87"/>
      <c r="H1780" s="90"/>
    </row>
    <row r="1781" spans="7:8">
      <c r="G1781" s="87"/>
      <c r="H1781" s="90"/>
    </row>
    <row r="1782" spans="7:8">
      <c r="G1782" s="87"/>
      <c r="H1782" s="90"/>
    </row>
    <row r="1783" spans="7:8">
      <c r="G1783" s="87"/>
      <c r="H1783" s="90"/>
    </row>
    <row r="1784" spans="7:8">
      <c r="G1784" s="87"/>
      <c r="H1784" s="90"/>
    </row>
    <row r="1785" spans="7:8">
      <c r="G1785" s="87"/>
      <c r="H1785" s="90"/>
    </row>
    <row r="1786" spans="7:8">
      <c r="G1786" s="87"/>
      <c r="H1786" s="90"/>
    </row>
    <row r="1787" spans="7:8">
      <c r="G1787" s="87"/>
      <c r="H1787" s="90"/>
    </row>
    <row r="1788" spans="7:8">
      <c r="G1788" s="87"/>
      <c r="H1788" s="90"/>
    </row>
    <row r="1789" spans="7:8">
      <c r="G1789" s="87"/>
      <c r="H1789" s="90"/>
    </row>
    <row r="1790" spans="7:8">
      <c r="G1790" s="87"/>
      <c r="H1790" s="90"/>
    </row>
    <row r="1791" spans="7:8">
      <c r="G1791" s="87"/>
      <c r="H1791" s="90"/>
    </row>
    <row r="1792" spans="7:8">
      <c r="G1792" s="87"/>
      <c r="H1792" s="90"/>
    </row>
    <row r="1793" spans="7:8">
      <c r="G1793" s="87"/>
      <c r="H1793" s="90"/>
    </row>
    <row r="1794" spans="7:8">
      <c r="G1794" s="87"/>
      <c r="H1794" s="90"/>
    </row>
    <row r="1795" spans="7:8">
      <c r="G1795" s="87"/>
      <c r="H1795" s="90"/>
    </row>
    <row r="1796" spans="7:8">
      <c r="G1796" s="87"/>
      <c r="H1796" s="90"/>
    </row>
    <row r="1797" spans="7:8">
      <c r="G1797" s="87"/>
      <c r="H1797" s="90"/>
    </row>
    <row r="1798" spans="7:8">
      <c r="G1798" s="87"/>
      <c r="H1798" s="90"/>
    </row>
    <row r="1799" spans="7:8">
      <c r="G1799" s="87"/>
      <c r="H1799" s="90"/>
    </row>
    <row r="1800" spans="7:8">
      <c r="G1800" s="87"/>
      <c r="H1800" s="90"/>
    </row>
    <row r="1801" spans="7:8">
      <c r="G1801" s="87"/>
      <c r="H1801" s="90"/>
    </row>
    <row r="1802" spans="7:8">
      <c r="G1802" s="87"/>
      <c r="H1802" s="90"/>
    </row>
    <row r="1803" spans="7:8">
      <c r="G1803" s="87"/>
      <c r="H1803" s="90"/>
    </row>
    <row r="1804" spans="7:8">
      <c r="G1804" s="87"/>
      <c r="H1804" s="90"/>
    </row>
    <row r="1805" spans="7:8">
      <c r="G1805" s="87"/>
      <c r="H1805" s="90"/>
    </row>
    <row r="1806" spans="7:8">
      <c r="G1806" s="87"/>
      <c r="H1806" s="90"/>
    </row>
    <row r="1807" spans="7:8">
      <c r="G1807" s="87"/>
      <c r="H1807" s="90"/>
    </row>
    <row r="1808" spans="7:8">
      <c r="G1808" s="87"/>
      <c r="H1808" s="90"/>
    </row>
    <row r="1809" spans="7:8">
      <c r="G1809" s="87"/>
      <c r="H1809" s="90"/>
    </row>
    <row r="1810" spans="7:8">
      <c r="G1810" s="87"/>
      <c r="H1810" s="90"/>
    </row>
    <row r="1811" spans="7:8">
      <c r="G1811" s="87"/>
      <c r="H1811" s="90"/>
    </row>
    <row r="1812" spans="7:8">
      <c r="G1812" s="87"/>
      <c r="H1812" s="90"/>
    </row>
    <row r="1813" spans="7:8">
      <c r="G1813" s="87"/>
      <c r="H1813" s="90"/>
    </row>
    <row r="1814" spans="7:8">
      <c r="G1814" s="87"/>
      <c r="H1814" s="90"/>
    </row>
    <row r="1815" spans="7:8">
      <c r="G1815" s="87"/>
      <c r="H1815" s="90"/>
    </row>
    <row r="1816" spans="7:8">
      <c r="G1816" s="87"/>
      <c r="H1816" s="90"/>
    </row>
    <row r="1817" spans="7:8">
      <c r="G1817" s="87"/>
      <c r="H1817" s="90"/>
    </row>
    <row r="1818" spans="7:8">
      <c r="G1818" s="87"/>
      <c r="H1818" s="90"/>
    </row>
    <row r="1819" spans="7:8">
      <c r="G1819" s="87"/>
      <c r="H1819" s="90"/>
    </row>
    <row r="1820" spans="7:8">
      <c r="G1820" s="87"/>
      <c r="H1820" s="90"/>
    </row>
    <row r="1821" spans="7:8">
      <c r="G1821" s="87"/>
      <c r="H1821" s="90"/>
    </row>
    <row r="1822" spans="7:8">
      <c r="G1822" s="87"/>
      <c r="H1822" s="90"/>
    </row>
    <row r="1823" spans="7:8">
      <c r="G1823" s="87"/>
      <c r="H1823" s="90"/>
    </row>
    <row r="1824" spans="7:8">
      <c r="G1824" s="87"/>
      <c r="H1824" s="90"/>
    </row>
    <row r="1825" spans="7:8">
      <c r="G1825" s="87"/>
      <c r="H1825" s="90"/>
    </row>
    <row r="1826" spans="7:8">
      <c r="G1826" s="87"/>
      <c r="H1826" s="90"/>
    </row>
    <row r="1827" spans="7:8">
      <c r="G1827" s="87"/>
      <c r="H1827" s="90"/>
    </row>
    <row r="1828" spans="7:8">
      <c r="G1828" s="87"/>
      <c r="H1828" s="90"/>
    </row>
    <row r="1829" spans="7:8">
      <c r="G1829" s="87"/>
      <c r="H1829" s="90"/>
    </row>
    <row r="1830" spans="7:8">
      <c r="G1830" s="87"/>
      <c r="H1830" s="90"/>
    </row>
    <row r="1831" spans="7:8">
      <c r="G1831" s="87"/>
      <c r="H1831" s="90"/>
    </row>
    <row r="1832" spans="7:8">
      <c r="G1832" s="87"/>
      <c r="H1832" s="90"/>
    </row>
    <row r="1833" spans="7:8">
      <c r="G1833" s="87"/>
      <c r="H1833" s="90"/>
    </row>
    <row r="1834" spans="7:8">
      <c r="G1834" s="87"/>
      <c r="H1834" s="90"/>
    </row>
    <row r="1835" spans="7:8">
      <c r="G1835" s="87"/>
      <c r="H1835" s="90"/>
    </row>
    <row r="1836" spans="7:8">
      <c r="G1836" s="87"/>
      <c r="H1836" s="90"/>
    </row>
    <row r="1837" spans="7:8">
      <c r="G1837" s="87"/>
      <c r="H1837" s="90"/>
    </row>
    <row r="1838" spans="7:8">
      <c r="G1838" s="87"/>
      <c r="H1838" s="90"/>
    </row>
    <row r="1839" spans="7:8">
      <c r="G1839" s="87"/>
      <c r="H1839" s="90"/>
    </row>
    <row r="1840" spans="7:8">
      <c r="G1840" s="87"/>
      <c r="H1840" s="90"/>
    </row>
    <row r="1841" spans="7:8">
      <c r="G1841" s="87"/>
      <c r="H1841" s="90"/>
    </row>
    <row r="1842" spans="7:8">
      <c r="G1842" s="87"/>
      <c r="H1842" s="90"/>
    </row>
    <row r="1843" spans="7:8">
      <c r="G1843" s="87"/>
      <c r="H1843" s="90"/>
    </row>
    <row r="1844" spans="7:8">
      <c r="G1844" s="87"/>
      <c r="H1844" s="90"/>
    </row>
    <row r="1845" spans="7:8">
      <c r="G1845" s="87"/>
      <c r="H1845" s="90"/>
    </row>
    <row r="1846" spans="7:8">
      <c r="G1846" s="87"/>
      <c r="H1846" s="90"/>
    </row>
    <row r="1847" spans="7:8">
      <c r="G1847" s="87"/>
      <c r="H1847" s="90"/>
    </row>
    <row r="1848" spans="7:8">
      <c r="G1848" s="87"/>
      <c r="H1848" s="90"/>
    </row>
    <row r="1849" spans="7:8">
      <c r="G1849" s="87"/>
      <c r="H1849" s="90"/>
    </row>
    <row r="1850" spans="7:8">
      <c r="G1850" s="87"/>
      <c r="H1850" s="90"/>
    </row>
    <row r="1851" spans="7:8">
      <c r="G1851" s="87"/>
      <c r="H1851" s="90"/>
    </row>
    <row r="1852" spans="7:8">
      <c r="G1852" s="87"/>
      <c r="H1852" s="90"/>
    </row>
    <row r="1853" spans="7:8">
      <c r="G1853" s="87"/>
      <c r="H1853" s="90"/>
    </row>
    <row r="1854" spans="7:8">
      <c r="G1854" s="87"/>
      <c r="H1854" s="90"/>
    </row>
    <row r="1855" spans="7:8">
      <c r="G1855" s="87"/>
      <c r="H1855" s="90"/>
    </row>
    <row r="1856" spans="7:8">
      <c r="G1856" s="87"/>
      <c r="H1856" s="90"/>
    </row>
    <row r="1857" spans="7:8">
      <c r="G1857" s="87"/>
      <c r="H1857" s="90"/>
    </row>
    <row r="1858" spans="7:8">
      <c r="G1858" s="87"/>
      <c r="H1858" s="90"/>
    </row>
    <row r="1859" spans="7:8">
      <c r="G1859" s="87"/>
      <c r="H1859" s="90"/>
    </row>
    <row r="1860" spans="7:8">
      <c r="G1860" s="87"/>
      <c r="H1860" s="90"/>
    </row>
    <row r="1861" spans="7:8">
      <c r="G1861" s="87"/>
      <c r="H1861" s="90"/>
    </row>
    <row r="1862" spans="7:8">
      <c r="G1862" s="87"/>
      <c r="H1862" s="90"/>
    </row>
    <row r="1863" spans="7:8">
      <c r="G1863" s="87"/>
      <c r="H1863" s="90"/>
    </row>
    <row r="1864" spans="7:8">
      <c r="G1864" s="87"/>
      <c r="H1864" s="90"/>
    </row>
    <row r="1865" spans="7:8">
      <c r="G1865" s="87"/>
      <c r="H1865" s="90"/>
    </row>
    <row r="1866" spans="7:8">
      <c r="G1866" s="87"/>
      <c r="H1866" s="90"/>
    </row>
    <row r="1867" spans="7:8">
      <c r="G1867" s="87"/>
      <c r="H1867" s="90"/>
    </row>
    <row r="1868" spans="7:8">
      <c r="G1868" s="87"/>
      <c r="H1868" s="90"/>
    </row>
    <row r="1869" spans="7:8">
      <c r="G1869" s="87"/>
      <c r="H1869" s="90"/>
    </row>
    <row r="1870" spans="7:8">
      <c r="G1870" s="87"/>
      <c r="H1870" s="90"/>
    </row>
    <row r="1871" spans="7:8">
      <c r="G1871" s="87"/>
      <c r="H1871" s="90"/>
    </row>
    <row r="1872" spans="7:8">
      <c r="G1872" s="87"/>
      <c r="H1872" s="90"/>
    </row>
    <row r="1873" spans="7:8">
      <c r="G1873" s="87"/>
      <c r="H1873" s="90"/>
    </row>
    <row r="1874" spans="7:8">
      <c r="G1874" s="87"/>
      <c r="H1874" s="90"/>
    </row>
    <row r="1875" spans="7:8">
      <c r="G1875" s="87"/>
      <c r="H1875" s="90"/>
    </row>
    <row r="1876" spans="7:8">
      <c r="G1876" s="87"/>
      <c r="H1876" s="90"/>
    </row>
    <row r="1877" spans="7:8">
      <c r="G1877" s="87"/>
      <c r="H1877" s="90"/>
    </row>
    <row r="1878" spans="7:8">
      <c r="G1878" s="87"/>
      <c r="H1878" s="90"/>
    </row>
    <row r="1879" spans="7:8">
      <c r="G1879" s="87"/>
      <c r="H1879" s="90"/>
    </row>
    <row r="1880" spans="7:8">
      <c r="G1880" s="87"/>
      <c r="H1880" s="90"/>
    </row>
    <row r="1881" spans="7:8">
      <c r="G1881" s="87"/>
      <c r="H1881" s="90"/>
    </row>
    <row r="1882" spans="7:8">
      <c r="G1882" s="87"/>
      <c r="H1882" s="90"/>
    </row>
    <row r="1883" spans="7:8">
      <c r="G1883" s="87"/>
      <c r="H1883" s="90"/>
    </row>
    <row r="1884" spans="7:8">
      <c r="G1884" s="87"/>
      <c r="H1884" s="90"/>
    </row>
    <row r="1885" spans="7:8">
      <c r="G1885" s="87"/>
      <c r="H1885" s="90"/>
    </row>
    <row r="1886" spans="7:8">
      <c r="G1886" s="87"/>
      <c r="H1886" s="90"/>
    </row>
    <row r="1887" spans="7:8">
      <c r="G1887" s="87"/>
      <c r="H1887" s="90"/>
    </row>
    <row r="1888" spans="7:8">
      <c r="G1888" s="87"/>
      <c r="H1888" s="90"/>
    </row>
    <row r="1889" spans="7:8">
      <c r="G1889" s="87"/>
      <c r="H1889" s="90"/>
    </row>
    <row r="1890" spans="7:8">
      <c r="G1890" s="87"/>
      <c r="H1890" s="90"/>
    </row>
    <row r="1891" spans="7:8">
      <c r="G1891" s="87"/>
      <c r="H1891" s="90"/>
    </row>
    <row r="1892" spans="7:8">
      <c r="G1892" s="87"/>
      <c r="H1892" s="90"/>
    </row>
    <row r="1893" spans="7:8">
      <c r="G1893" s="87"/>
      <c r="H1893" s="90"/>
    </row>
    <row r="1894" spans="7:8">
      <c r="G1894" s="87"/>
      <c r="H1894" s="90"/>
    </row>
    <row r="1895" spans="7:8">
      <c r="G1895" s="87"/>
      <c r="H1895" s="90"/>
    </row>
    <row r="1896" spans="7:8">
      <c r="G1896" s="87"/>
      <c r="H1896" s="90"/>
    </row>
    <row r="1897" spans="7:8">
      <c r="G1897" s="87"/>
      <c r="H1897" s="90"/>
    </row>
    <row r="1898" spans="7:8">
      <c r="G1898" s="87"/>
      <c r="H1898" s="90"/>
    </row>
    <row r="1899" spans="7:8">
      <c r="G1899" s="87"/>
      <c r="H1899" s="90"/>
    </row>
    <row r="1900" spans="7:8">
      <c r="G1900" s="87"/>
      <c r="H1900" s="90"/>
    </row>
    <row r="1901" spans="7:8">
      <c r="G1901" s="87"/>
      <c r="H1901" s="90"/>
    </row>
    <row r="1902" spans="7:8">
      <c r="G1902" s="87"/>
      <c r="H1902" s="90"/>
    </row>
    <row r="1903" spans="7:8">
      <c r="G1903" s="87"/>
      <c r="H1903" s="90"/>
    </row>
    <row r="1904" spans="7:8">
      <c r="G1904" s="87"/>
      <c r="H1904" s="90"/>
    </row>
    <row r="1905" spans="7:8">
      <c r="G1905" s="87"/>
      <c r="H1905" s="90"/>
    </row>
    <row r="1906" spans="7:8">
      <c r="G1906" s="87"/>
      <c r="H1906" s="90"/>
    </row>
    <row r="1907" spans="7:8">
      <c r="G1907" s="87"/>
      <c r="H1907" s="90"/>
    </row>
    <row r="1908" spans="7:8">
      <c r="G1908" s="87"/>
      <c r="H1908" s="90"/>
    </row>
    <row r="1909" spans="7:8">
      <c r="G1909" s="87"/>
      <c r="H1909" s="90"/>
    </row>
    <row r="1910" spans="7:8">
      <c r="G1910" s="87"/>
      <c r="H1910" s="90"/>
    </row>
    <row r="1911" spans="7:8">
      <c r="G1911" s="87"/>
      <c r="H1911" s="90"/>
    </row>
    <row r="1912" spans="7:8">
      <c r="G1912" s="87"/>
      <c r="H1912" s="90"/>
    </row>
    <row r="1913" spans="7:8">
      <c r="G1913" s="87"/>
      <c r="H1913" s="90"/>
    </row>
    <row r="1914" spans="7:8">
      <c r="G1914" s="87"/>
      <c r="H1914" s="90"/>
    </row>
    <row r="1915" spans="7:8">
      <c r="G1915" s="87"/>
      <c r="H1915" s="90"/>
    </row>
    <row r="1916" spans="7:8">
      <c r="G1916" s="87"/>
      <c r="H1916" s="90"/>
    </row>
    <row r="1917" spans="7:8">
      <c r="G1917" s="87"/>
      <c r="H1917" s="90"/>
    </row>
    <row r="1918" spans="7:8">
      <c r="G1918" s="87"/>
      <c r="H1918" s="90"/>
    </row>
    <row r="1919" spans="7:8">
      <c r="G1919" s="87"/>
      <c r="H1919" s="90"/>
    </row>
    <row r="1920" spans="7:8">
      <c r="G1920" s="87"/>
      <c r="H1920" s="90"/>
    </row>
    <row r="1921" spans="7:8">
      <c r="G1921" s="87"/>
      <c r="H1921" s="90"/>
    </row>
    <row r="1922" spans="7:8">
      <c r="G1922" s="87"/>
      <c r="H1922" s="90"/>
    </row>
    <row r="1923" spans="7:8">
      <c r="G1923" s="87"/>
      <c r="H1923" s="90"/>
    </row>
    <row r="1924" spans="7:8">
      <c r="G1924" s="87"/>
      <c r="H1924" s="90"/>
    </row>
    <row r="1925" spans="7:8">
      <c r="G1925" s="87"/>
      <c r="H1925" s="90"/>
    </row>
    <row r="1926" spans="7:8">
      <c r="G1926" s="87"/>
      <c r="H1926" s="90"/>
    </row>
    <row r="1927" spans="7:8">
      <c r="G1927" s="87"/>
      <c r="H1927" s="90"/>
    </row>
    <row r="1928" spans="7:8">
      <c r="G1928" s="87"/>
      <c r="H1928" s="90"/>
    </row>
    <row r="1929" spans="7:8">
      <c r="G1929" s="87"/>
      <c r="H1929" s="90"/>
    </row>
    <row r="1930" spans="7:8">
      <c r="G1930" s="87"/>
      <c r="H1930" s="90"/>
    </row>
    <row r="1931" spans="7:8">
      <c r="G1931" s="87"/>
      <c r="H1931" s="90"/>
    </row>
    <row r="1932" spans="7:8">
      <c r="G1932" s="87"/>
      <c r="H1932" s="90"/>
    </row>
    <row r="1933" spans="7:8">
      <c r="G1933" s="87"/>
      <c r="H1933" s="90"/>
    </row>
    <row r="1934" spans="7:8">
      <c r="G1934" s="87"/>
      <c r="H1934" s="90"/>
    </row>
    <row r="1935" spans="7:8">
      <c r="G1935" s="87"/>
      <c r="H1935" s="90"/>
    </row>
    <row r="1936" spans="7:8">
      <c r="G1936" s="87"/>
      <c r="H1936" s="90"/>
    </row>
    <row r="1937" spans="7:8">
      <c r="G1937" s="87"/>
      <c r="H1937" s="90"/>
    </row>
    <row r="1938" spans="7:8">
      <c r="G1938" s="87"/>
      <c r="H1938" s="90"/>
    </row>
    <row r="1939" spans="7:8">
      <c r="G1939" s="87"/>
      <c r="H1939" s="90"/>
    </row>
    <row r="1940" spans="7:8">
      <c r="G1940" s="87"/>
      <c r="H1940" s="90"/>
    </row>
    <row r="1941" spans="7:8">
      <c r="G1941" s="87"/>
      <c r="H1941" s="90"/>
    </row>
    <row r="1942" spans="7:8">
      <c r="G1942" s="87"/>
      <c r="H1942" s="90"/>
    </row>
    <row r="1943" spans="7:8">
      <c r="G1943" s="87"/>
      <c r="H1943" s="90"/>
    </row>
    <row r="1944" spans="7:8">
      <c r="G1944" s="87"/>
      <c r="H1944" s="90"/>
    </row>
    <row r="1945" spans="7:8">
      <c r="G1945" s="87"/>
      <c r="H1945" s="90"/>
    </row>
    <row r="1946" spans="7:8">
      <c r="G1946" s="87"/>
      <c r="H1946" s="90"/>
    </row>
    <row r="1947" spans="7:8">
      <c r="G1947" s="87"/>
      <c r="H1947" s="90"/>
    </row>
    <row r="1948" spans="7:8">
      <c r="G1948" s="87"/>
      <c r="H1948" s="90"/>
    </row>
    <row r="1949" spans="7:8">
      <c r="G1949" s="87"/>
      <c r="H1949" s="90"/>
    </row>
    <row r="1950" spans="7:8">
      <c r="G1950" s="87"/>
      <c r="H1950" s="90"/>
    </row>
    <row r="1951" spans="7:8">
      <c r="G1951" s="87"/>
      <c r="H1951" s="90"/>
    </row>
    <row r="1952" spans="7:8">
      <c r="G1952" s="87"/>
      <c r="H1952" s="90"/>
    </row>
    <row r="1953" spans="7:8">
      <c r="G1953" s="87"/>
      <c r="H1953" s="90"/>
    </row>
    <row r="1954" spans="7:8">
      <c r="G1954" s="87"/>
      <c r="H1954" s="90"/>
    </row>
    <row r="1955" spans="7:8">
      <c r="G1955" s="87"/>
      <c r="H1955" s="90"/>
    </row>
    <row r="1956" spans="7:8">
      <c r="G1956" s="87"/>
      <c r="H1956" s="90"/>
    </row>
    <row r="1957" spans="7:8">
      <c r="G1957" s="87"/>
      <c r="H1957" s="90"/>
    </row>
    <row r="1958" spans="7:8">
      <c r="G1958" s="87"/>
      <c r="H1958" s="90"/>
    </row>
    <row r="1959" spans="7:8">
      <c r="G1959" s="87"/>
      <c r="H1959" s="90"/>
    </row>
    <row r="1960" spans="7:8">
      <c r="G1960" s="87"/>
      <c r="H1960" s="90"/>
    </row>
    <row r="1961" spans="7:8">
      <c r="G1961" s="87"/>
      <c r="H1961" s="90"/>
    </row>
    <row r="1962" spans="7:8">
      <c r="G1962" s="87"/>
      <c r="H1962" s="90"/>
    </row>
    <row r="1963" spans="7:8">
      <c r="G1963" s="87"/>
      <c r="H1963" s="90"/>
    </row>
    <row r="1964" spans="7:8">
      <c r="G1964" s="87"/>
      <c r="H1964" s="90"/>
    </row>
    <row r="1965" spans="7:8">
      <c r="G1965" s="87"/>
      <c r="H1965" s="90"/>
    </row>
    <row r="1966" spans="7:8">
      <c r="G1966" s="87"/>
      <c r="H1966" s="90"/>
    </row>
    <row r="1967" spans="7:8">
      <c r="G1967" s="87"/>
      <c r="H1967" s="90"/>
    </row>
    <row r="1968" spans="7:8">
      <c r="G1968" s="87"/>
      <c r="H1968" s="90"/>
    </row>
    <row r="1969" spans="7:8">
      <c r="G1969" s="87"/>
      <c r="H1969" s="90"/>
    </row>
    <row r="1970" spans="7:8">
      <c r="G1970" s="87"/>
      <c r="H1970" s="90"/>
    </row>
    <row r="1971" spans="7:8">
      <c r="G1971" s="87"/>
      <c r="H1971" s="90"/>
    </row>
    <row r="1972" spans="7:8">
      <c r="G1972" s="87"/>
      <c r="H1972" s="90"/>
    </row>
    <row r="1973" spans="7:8">
      <c r="G1973" s="87"/>
      <c r="H1973" s="90"/>
    </row>
    <row r="1974" spans="7:8">
      <c r="G1974" s="87"/>
      <c r="H1974" s="90"/>
    </row>
    <row r="1975" spans="7:8">
      <c r="G1975" s="87"/>
      <c r="H1975" s="90"/>
    </row>
    <row r="1976" spans="7:8">
      <c r="G1976" s="87"/>
      <c r="H1976" s="90"/>
    </row>
    <row r="1977" spans="7:8">
      <c r="G1977" s="87"/>
      <c r="H1977" s="90"/>
    </row>
    <row r="1978" spans="7:8">
      <c r="G1978" s="87"/>
      <c r="H1978" s="90"/>
    </row>
    <row r="1979" spans="7:8">
      <c r="G1979" s="87"/>
      <c r="H1979" s="90"/>
    </row>
    <row r="1980" spans="7:8">
      <c r="G1980" s="87"/>
      <c r="H1980" s="90"/>
    </row>
    <row r="1981" spans="7:8">
      <c r="G1981" s="87"/>
      <c r="H1981" s="90"/>
    </row>
    <row r="1982" spans="7:8">
      <c r="G1982" s="87"/>
      <c r="H1982" s="90"/>
    </row>
    <row r="1983" spans="7:8">
      <c r="G1983" s="87"/>
      <c r="H1983" s="90"/>
    </row>
    <row r="1984" spans="7:8">
      <c r="G1984" s="87"/>
      <c r="H1984" s="90"/>
    </row>
    <row r="1985" spans="7:8">
      <c r="G1985" s="87"/>
      <c r="H1985" s="90"/>
    </row>
    <row r="1986" spans="7:8">
      <c r="G1986" s="87"/>
      <c r="H1986" s="90"/>
    </row>
    <row r="1987" spans="7:8">
      <c r="G1987" s="87"/>
      <c r="H1987" s="90"/>
    </row>
    <row r="1988" spans="7:8">
      <c r="G1988" s="87"/>
      <c r="H1988" s="90"/>
    </row>
    <row r="1989" spans="7:8">
      <c r="G1989" s="87"/>
      <c r="H1989" s="90"/>
    </row>
    <row r="1990" spans="7:8">
      <c r="G1990" s="87"/>
      <c r="H1990" s="90"/>
    </row>
    <row r="1991" spans="7:8">
      <c r="G1991" s="87"/>
      <c r="H1991" s="90"/>
    </row>
    <row r="1992" spans="7:8">
      <c r="G1992" s="87"/>
      <c r="H1992" s="90"/>
    </row>
    <row r="1993" spans="7:8">
      <c r="G1993" s="87"/>
      <c r="H1993" s="90"/>
    </row>
    <row r="1994" spans="7:8">
      <c r="G1994" s="87"/>
      <c r="H1994" s="90"/>
    </row>
    <row r="1995" spans="7:8">
      <c r="G1995" s="87"/>
      <c r="H1995" s="90"/>
    </row>
    <row r="1996" spans="7:8">
      <c r="G1996" s="87"/>
      <c r="H1996" s="90"/>
    </row>
    <row r="1997" spans="7:8">
      <c r="G1997" s="87"/>
      <c r="H1997" s="90"/>
    </row>
    <row r="1998" spans="7:8">
      <c r="G1998" s="87"/>
      <c r="H1998" s="90"/>
    </row>
    <row r="1999" spans="7:8">
      <c r="G1999" s="87"/>
      <c r="H1999" s="90"/>
    </row>
    <row r="2000" spans="7:8">
      <c r="G2000" s="87"/>
      <c r="H2000" s="90"/>
    </row>
    <row r="2001" spans="7:8">
      <c r="G2001" s="87"/>
      <c r="H2001" s="90"/>
    </row>
    <row r="2002" spans="7:8">
      <c r="G2002" s="87"/>
      <c r="H2002" s="90"/>
    </row>
    <row r="2003" spans="7:8">
      <c r="G2003" s="87"/>
      <c r="H2003" s="90"/>
    </row>
    <row r="2004" spans="7:8">
      <c r="G2004" s="87"/>
      <c r="H2004" s="90"/>
    </row>
    <row r="2005" spans="7:8">
      <c r="G2005" s="87"/>
      <c r="H2005" s="90"/>
    </row>
    <row r="2006" spans="7:8">
      <c r="G2006" s="87"/>
      <c r="H2006" s="90"/>
    </row>
    <row r="2007" spans="7:8">
      <c r="G2007" s="87"/>
      <c r="H2007" s="90"/>
    </row>
    <row r="2008" spans="7:8">
      <c r="G2008" s="87"/>
      <c r="H2008" s="90"/>
    </row>
    <row r="2009" spans="7:8">
      <c r="G2009" s="87"/>
      <c r="H2009" s="90"/>
    </row>
    <row r="2010" spans="7:8">
      <c r="G2010" s="87"/>
      <c r="H2010" s="90"/>
    </row>
    <row r="2011" spans="7:8">
      <c r="G2011" s="87"/>
      <c r="H2011" s="90"/>
    </row>
    <row r="2012" spans="7:8">
      <c r="G2012" s="87"/>
      <c r="H2012" s="90"/>
    </row>
    <row r="2013" spans="7:8">
      <c r="G2013" s="87"/>
      <c r="H2013" s="90"/>
    </row>
    <row r="2014" spans="7:8">
      <c r="G2014" s="87"/>
      <c r="H2014" s="90"/>
    </row>
    <row r="2015" spans="7:8">
      <c r="G2015" s="87"/>
      <c r="H2015" s="90"/>
    </row>
    <row r="2016" spans="7:8">
      <c r="G2016" s="87"/>
      <c r="H2016" s="90"/>
    </row>
    <row r="2017" spans="7:8">
      <c r="G2017" s="87"/>
      <c r="H2017" s="90"/>
    </row>
    <row r="2018" spans="7:8">
      <c r="G2018" s="87"/>
      <c r="H2018" s="90"/>
    </row>
    <row r="2019" spans="7:8">
      <c r="G2019" s="87"/>
      <c r="H2019" s="90"/>
    </row>
    <row r="2020" spans="7:8">
      <c r="G2020" s="87"/>
      <c r="H2020" s="90"/>
    </row>
    <row r="2021" spans="7:8">
      <c r="G2021" s="87"/>
      <c r="H2021" s="90"/>
    </row>
    <row r="2022" spans="7:8">
      <c r="G2022" s="87"/>
      <c r="H2022" s="90"/>
    </row>
    <row r="2023" spans="7:8">
      <c r="G2023" s="87"/>
      <c r="H2023" s="90"/>
    </row>
    <row r="2024" spans="7:8">
      <c r="G2024" s="87"/>
      <c r="H2024" s="90"/>
    </row>
    <row r="2025" spans="7:8">
      <c r="G2025" s="87"/>
      <c r="H2025" s="90"/>
    </row>
    <row r="2026" spans="7:8">
      <c r="G2026" s="87"/>
      <c r="H2026" s="90"/>
    </row>
    <row r="2027" spans="7:8">
      <c r="G2027" s="87"/>
      <c r="H2027" s="90"/>
    </row>
    <row r="2028" spans="7:8">
      <c r="G2028" s="87"/>
      <c r="H2028" s="90"/>
    </row>
    <row r="2029" spans="7:8">
      <c r="G2029" s="87"/>
      <c r="H2029" s="90"/>
    </row>
    <row r="2030" spans="7:8">
      <c r="G2030" s="87"/>
      <c r="H2030" s="90"/>
    </row>
    <row r="2031" spans="7:8">
      <c r="G2031" s="87"/>
      <c r="H2031" s="90"/>
    </row>
    <row r="2032" spans="7:8">
      <c r="G2032" s="87"/>
      <c r="H2032" s="90"/>
    </row>
    <row r="2033" spans="7:8">
      <c r="G2033" s="87"/>
      <c r="H2033" s="90"/>
    </row>
    <row r="2034" spans="7:8">
      <c r="G2034" s="87"/>
      <c r="H2034" s="90"/>
    </row>
    <row r="2035" spans="7:8">
      <c r="G2035" s="87"/>
      <c r="H2035" s="90"/>
    </row>
    <row r="2036" spans="7:8">
      <c r="G2036" s="87"/>
      <c r="H2036" s="90"/>
    </row>
    <row r="2037" spans="7:8">
      <c r="G2037" s="87"/>
      <c r="H2037" s="90"/>
    </row>
    <row r="2038" spans="7:8">
      <c r="G2038" s="87"/>
      <c r="H2038" s="90"/>
    </row>
    <row r="2039" spans="7:8">
      <c r="G2039" s="87"/>
      <c r="H2039" s="90"/>
    </row>
    <row r="2040" spans="7:8">
      <c r="G2040" s="87"/>
      <c r="H2040" s="90"/>
    </row>
    <row r="2041" spans="7:8">
      <c r="G2041" s="87"/>
      <c r="H2041" s="90"/>
    </row>
    <row r="2042" spans="7:8">
      <c r="G2042" s="87"/>
      <c r="H2042" s="90"/>
    </row>
    <row r="2043" spans="7:8">
      <c r="G2043" s="87"/>
      <c r="H2043" s="90"/>
    </row>
    <row r="2044" spans="7:8">
      <c r="G2044" s="87"/>
      <c r="H2044" s="90"/>
    </row>
    <row r="2045" spans="7:8">
      <c r="G2045" s="87"/>
      <c r="H2045" s="90"/>
    </row>
    <row r="2046" spans="7:8">
      <c r="G2046" s="87"/>
      <c r="H2046" s="90"/>
    </row>
    <row r="2047" spans="7:8">
      <c r="G2047" s="87"/>
      <c r="H2047" s="90"/>
    </row>
    <row r="2048" spans="7:8">
      <c r="G2048" s="87"/>
      <c r="H2048" s="90"/>
    </row>
    <row r="2049" spans="7:8">
      <c r="G2049" s="87"/>
      <c r="H2049" s="90"/>
    </row>
    <row r="2050" spans="7:8">
      <c r="G2050" s="87"/>
      <c r="H2050" s="90"/>
    </row>
    <row r="2051" spans="7:8">
      <c r="G2051" s="87"/>
      <c r="H2051" s="90"/>
    </row>
    <row r="2052" spans="7:8">
      <c r="G2052" s="87"/>
      <c r="H2052" s="90"/>
    </row>
    <row r="2053" spans="7:8">
      <c r="G2053" s="87"/>
      <c r="H2053" s="90"/>
    </row>
    <row r="2054" spans="7:8">
      <c r="G2054" s="87"/>
      <c r="H2054" s="90"/>
    </row>
    <row r="2055" spans="7:8">
      <c r="G2055" s="87"/>
      <c r="H2055" s="90"/>
    </row>
    <row r="2056" spans="7:8">
      <c r="G2056" s="87"/>
      <c r="H2056" s="90"/>
    </row>
    <row r="2057" spans="7:8">
      <c r="G2057" s="87"/>
      <c r="H2057" s="90"/>
    </row>
    <row r="2058" spans="7:8">
      <c r="G2058" s="87"/>
      <c r="H2058" s="90"/>
    </row>
    <row r="2059" spans="7:8">
      <c r="G2059" s="87"/>
      <c r="H2059" s="90"/>
    </row>
    <row r="2060" spans="7:8">
      <c r="G2060" s="87"/>
      <c r="H2060" s="90"/>
    </row>
    <row r="2061" spans="7:8">
      <c r="G2061" s="87"/>
      <c r="H2061" s="90"/>
    </row>
    <row r="2062" spans="7:8">
      <c r="G2062" s="87"/>
      <c r="H2062" s="90"/>
    </row>
    <row r="2063" spans="7:8">
      <c r="G2063" s="87"/>
      <c r="H2063" s="90"/>
    </row>
    <row r="2064" spans="7:8">
      <c r="G2064" s="87"/>
      <c r="H2064" s="90"/>
    </row>
    <row r="2065" spans="7:8">
      <c r="G2065" s="87"/>
      <c r="H2065" s="90"/>
    </row>
    <row r="2066" spans="7:8">
      <c r="G2066" s="87"/>
      <c r="H2066" s="90"/>
    </row>
    <row r="2067" spans="7:8">
      <c r="G2067" s="87"/>
      <c r="H2067" s="90"/>
    </row>
    <row r="2068" spans="7:8">
      <c r="G2068" s="87"/>
      <c r="H2068" s="90"/>
    </row>
    <row r="2069" spans="7:8">
      <c r="G2069" s="87"/>
      <c r="H2069" s="90"/>
    </row>
    <row r="2070" spans="7:8">
      <c r="G2070" s="87"/>
      <c r="H2070" s="90"/>
    </row>
    <row r="2071" spans="7:8">
      <c r="G2071" s="87"/>
      <c r="H2071" s="90"/>
    </row>
    <row r="2072" spans="7:8">
      <c r="G2072" s="87"/>
      <c r="H2072" s="90"/>
    </row>
    <row r="2073" spans="7:8">
      <c r="G2073" s="87"/>
      <c r="H2073" s="90"/>
    </row>
    <row r="2074" spans="7:8">
      <c r="G2074" s="87"/>
      <c r="H2074" s="90"/>
    </row>
    <row r="2075" spans="7:8">
      <c r="G2075" s="87"/>
      <c r="H2075" s="90"/>
    </row>
    <row r="2076" spans="7:8">
      <c r="G2076" s="87"/>
      <c r="H2076" s="90"/>
    </row>
    <row r="2077" spans="7:8">
      <c r="G2077" s="87"/>
      <c r="H2077" s="90"/>
    </row>
    <row r="2078" spans="7:8">
      <c r="G2078" s="87"/>
      <c r="H2078" s="90"/>
    </row>
    <row r="2079" spans="7:8">
      <c r="G2079" s="87"/>
      <c r="H2079" s="90"/>
    </row>
    <row r="2080" spans="7:8">
      <c r="G2080" s="87"/>
      <c r="H2080" s="90"/>
    </row>
    <row r="2081" spans="7:8">
      <c r="G2081" s="87"/>
      <c r="H2081" s="90"/>
    </row>
    <row r="2082" spans="7:8">
      <c r="G2082" s="87"/>
      <c r="H2082" s="90"/>
    </row>
    <row r="2083" spans="7:8">
      <c r="G2083" s="87"/>
      <c r="H2083" s="90"/>
    </row>
    <row r="2084" spans="7:8">
      <c r="G2084" s="87"/>
      <c r="H2084" s="90"/>
    </row>
    <row r="2085" spans="7:8">
      <c r="G2085" s="87"/>
      <c r="H2085" s="90"/>
    </row>
    <row r="2086" spans="7:8">
      <c r="G2086" s="87"/>
      <c r="H2086" s="90"/>
    </row>
    <row r="2087" spans="7:8">
      <c r="G2087" s="87"/>
      <c r="H2087" s="90"/>
    </row>
    <row r="2088" spans="7:8">
      <c r="G2088" s="87"/>
      <c r="H2088" s="90"/>
    </row>
    <row r="2089" spans="7:8">
      <c r="G2089" s="87"/>
      <c r="H2089" s="90"/>
    </row>
    <row r="2090" spans="7:8">
      <c r="G2090" s="87"/>
      <c r="H2090" s="90"/>
    </row>
    <row r="2091" spans="7:8">
      <c r="G2091" s="87"/>
      <c r="H2091" s="90"/>
    </row>
    <row r="2092" spans="7:8">
      <c r="G2092" s="87"/>
      <c r="H2092" s="90"/>
    </row>
    <row r="2093" spans="7:8">
      <c r="G2093" s="87"/>
      <c r="H2093" s="90"/>
    </row>
    <row r="2094" spans="7:8">
      <c r="G2094" s="87"/>
      <c r="H2094" s="90"/>
    </row>
    <row r="2095" spans="7:8">
      <c r="G2095" s="87"/>
      <c r="H2095" s="90"/>
    </row>
    <row r="2096" spans="7:8">
      <c r="G2096" s="87"/>
      <c r="H2096" s="90"/>
    </row>
    <row r="2097" spans="7:8">
      <c r="G2097" s="87"/>
      <c r="H2097" s="90"/>
    </row>
    <row r="2098" spans="7:8">
      <c r="G2098" s="87"/>
      <c r="H2098" s="90"/>
    </row>
    <row r="2099" spans="7:8">
      <c r="G2099" s="87"/>
      <c r="H2099" s="90"/>
    </row>
    <row r="2100" spans="7:8">
      <c r="G2100" s="87"/>
      <c r="H2100" s="90"/>
    </row>
    <row r="2101" spans="7:8">
      <c r="G2101" s="87"/>
      <c r="H2101" s="90"/>
    </row>
    <row r="2102" spans="7:8">
      <c r="G2102" s="87"/>
      <c r="H2102" s="90"/>
    </row>
    <row r="2103" spans="7:8">
      <c r="G2103" s="87"/>
      <c r="H2103" s="90"/>
    </row>
    <row r="2104" spans="7:8">
      <c r="G2104" s="87"/>
      <c r="H2104" s="90"/>
    </row>
    <row r="2105" spans="7:8">
      <c r="G2105" s="87"/>
      <c r="H2105" s="90"/>
    </row>
    <row r="2106" spans="7:8">
      <c r="G2106" s="87"/>
      <c r="H2106" s="90"/>
    </row>
    <row r="2107" spans="7:8">
      <c r="G2107" s="87"/>
      <c r="H2107" s="90"/>
    </row>
    <row r="2108" spans="7:8">
      <c r="G2108" s="87"/>
      <c r="H2108" s="90"/>
    </row>
    <row r="2109" spans="7:8">
      <c r="G2109" s="87"/>
      <c r="H2109" s="90"/>
    </row>
    <row r="2110" spans="7:8">
      <c r="G2110" s="87"/>
      <c r="H2110" s="90"/>
    </row>
    <row r="2111" spans="7:8">
      <c r="G2111" s="87"/>
      <c r="H2111" s="90"/>
    </row>
    <row r="2112" spans="7:8">
      <c r="G2112" s="87"/>
      <c r="H2112" s="90"/>
    </row>
    <row r="2113" spans="7:8">
      <c r="G2113" s="87"/>
      <c r="H2113" s="90"/>
    </row>
    <row r="2114" spans="7:8">
      <c r="G2114" s="87"/>
      <c r="H2114" s="90"/>
    </row>
    <row r="2115" spans="7:8">
      <c r="G2115" s="87"/>
      <c r="H2115" s="90"/>
    </row>
    <row r="2116" spans="7:8">
      <c r="G2116" s="87"/>
      <c r="H2116" s="90"/>
    </row>
    <row r="2117" spans="7:8">
      <c r="G2117" s="87"/>
      <c r="H2117" s="90"/>
    </row>
    <row r="2118" spans="7:8">
      <c r="G2118" s="87"/>
      <c r="H2118" s="90"/>
    </row>
    <row r="2119" spans="7:8">
      <c r="G2119" s="87"/>
      <c r="H2119" s="90"/>
    </row>
    <row r="2120" spans="7:8">
      <c r="G2120" s="87"/>
      <c r="H2120" s="90"/>
    </row>
    <row r="2121" spans="7:8">
      <c r="G2121" s="87"/>
      <c r="H2121" s="90"/>
    </row>
    <row r="2122" spans="7:8">
      <c r="G2122" s="87"/>
      <c r="H2122" s="90"/>
    </row>
    <row r="2123" spans="7:8">
      <c r="G2123" s="87"/>
      <c r="H2123" s="90"/>
    </row>
    <row r="2124" spans="7:8">
      <c r="G2124" s="87"/>
      <c r="H2124" s="90"/>
    </row>
    <row r="2125" spans="7:8">
      <c r="G2125" s="87"/>
      <c r="H2125" s="90"/>
    </row>
    <row r="2126" spans="7:8">
      <c r="G2126" s="87"/>
      <c r="H2126" s="90"/>
    </row>
    <row r="2127" spans="7:8">
      <c r="G2127" s="87"/>
      <c r="H2127" s="90"/>
    </row>
    <row r="2128" spans="7:8">
      <c r="G2128" s="87"/>
      <c r="H2128" s="90"/>
    </row>
    <row r="2129" spans="7:8">
      <c r="G2129" s="87"/>
      <c r="H2129" s="90"/>
    </row>
    <row r="2130" spans="7:8">
      <c r="G2130" s="87"/>
      <c r="H2130" s="90"/>
    </row>
    <row r="2131" spans="7:8">
      <c r="G2131" s="87"/>
      <c r="H2131" s="90"/>
    </row>
    <row r="2132" spans="7:8">
      <c r="G2132" s="87"/>
      <c r="H2132" s="90"/>
    </row>
    <row r="2133" spans="7:8">
      <c r="G2133" s="87"/>
      <c r="H2133" s="90"/>
    </row>
    <row r="2134" spans="7:8">
      <c r="G2134" s="87"/>
      <c r="H2134" s="90"/>
    </row>
    <row r="2135" spans="7:8">
      <c r="G2135" s="87"/>
      <c r="H2135" s="90"/>
    </row>
    <row r="2136" spans="7:8">
      <c r="G2136" s="87"/>
      <c r="H2136" s="90"/>
    </row>
    <row r="2137" spans="7:8">
      <c r="G2137" s="87"/>
      <c r="H2137" s="90"/>
    </row>
    <row r="2138" spans="7:8">
      <c r="G2138" s="87"/>
      <c r="H2138" s="90"/>
    </row>
    <row r="2139" spans="7:8">
      <c r="G2139" s="87"/>
      <c r="H2139" s="90"/>
    </row>
    <row r="2140" spans="7:8">
      <c r="G2140" s="87"/>
      <c r="H2140" s="90"/>
    </row>
    <row r="2141" spans="7:8">
      <c r="G2141" s="87"/>
      <c r="H2141" s="90"/>
    </row>
    <row r="2142" spans="7:8">
      <c r="G2142" s="87"/>
      <c r="H2142" s="90"/>
    </row>
    <row r="2143" spans="7:8">
      <c r="G2143" s="87"/>
      <c r="H2143" s="90"/>
    </row>
    <row r="2144" spans="7:8">
      <c r="G2144" s="87"/>
      <c r="H2144" s="90"/>
    </row>
    <row r="2145" spans="7:8">
      <c r="G2145" s="87"/>
      <c r="H2145" s="90"/>
    </row>
    <row r="2146" spans="7:8">
      <c r="G2146" s="87"/>
      <c r="H2146" s="90"/>
    </row>
    <row r="2147" spans="7:8">
      <c r="G2147" s="87"/>
      <c r="H2147" s="90"/>
    </row>
    <row r="2148" spans="7:8">
      <c r="G2148" s="87"/>
      <c r="H2148" s="90"/>
    </row>
    <row r="2149" spans="7:8">
      <c r="G2149" s="87"/>
      <c r="H2149" s="90"/>
    </row>
    <row r="2150" spans="7:8">
      <c r="G2150" s="87"/>
      <c r="H2150" s="90"/>
    </row>
    <row r="2151" spans="7:8">
      <c r="G2151" s="87"/>
      <c r="H2151" s="90"/>
    </row>
    <row r="2152" spans="7:8">
      <c r="G2152" s="87"/>
      <c r="H2152" s="90"/>
    </row>
    <row r="2153" spans="7:8">
      <c r="G2153" s="87"/>
      <c r="H2153" s="90"/>
    </row>
    <row r="2154" spans="7:8">
      <c r="G2154" s="87"/>
      <c r="H2154" s="90"/>
    </row>
    <row r="2155" spans="7:8">
      <c r="G2155" s="87"/>
      <c r="H2155" s="90"/>
    </row>
    <row r="2156" spans="7:8">
      <c r="G2156" s="87"/>
      <c r="H2156" s="90"/>
    </row>
    <row r="2157" spans="7:8">
      <c r="G2157" s="87"/>
      <c r="H2157" s="90"/>
    </row>
    <row r="2158" spans="7:8">
      <c r="G2158" s="87"/>
      <c r="H2158" s="90"/>
    </row>
    <row r="2159" spans="7:8">
      <c r="G2159" s="87"/>
      <c r="H2159" s="90"/>
    </row>
    <row r="2160" spans="7:8">
      <c r="G2160" s="87"/>
      <c r="H2160" s="90"/>
    </row>
    <row r="2161" spans="7:8">
      <c r="G2161" s="87"/>
      <c r="H2161" s="90"/>
    </row>
    <row r="2162" spans="7:8">
      <c r="G2162" s="87"/>
      <c r="H2162" s="90"/>
    </row>
    <row r="2163" spans="7:8">
      <c r="G2163" s="87"/>
      <c r="H2163" s="90"/>
    </row>
    <row r="2164" spans="7:8">
      <c r="G2164" s="87"/>
      <c r="H2164" s="90"/>
    </row>
    <row r="2165" spans="7:8">
      <c r="G2165" s="87"/>
      <c r="H2165" s="90"/>
    </row>
    <row r="2166" spans="7:8">
      <c r="G2166" s="87"/>
      <c r="H2166" s="90"/>
    </row>
    <row r="2167" spans="7:8">
      <c r="G2167" s="87"/>
      <c r="H2167" s="90"/>
    </row>
    <row r="2168" spans="7:8">
      <c r="G2168" s="87"/>
      <c r="H2168" s="90"/>
    </row>
    <row r="2169" spans="7:8">
      <c r="G2169" s="87"/>
      <c r="H2169" s="90"/>
    </row>
    <row r="2170" spans="7:8">
      <c r="G2170" s="87"/>
      <c r="H2170" s="90"/>
    </row>
    <row r="2171" spans="7:8">
      <c r="G2171" s="87"/>
      <c r="H2171" s="90"/>
    </row>
    <row r="2172" spans="7:8">
      <c r="G2172" s="87"/>
      <c r="H2172" s="90"/>
    </row>
    <row r="2173" spans="7:8">
      <c r="G2173" s="87"/>
      <c r="H2173" s="90"/>
    </row>
    <row r="2174" spans="7:8">
      <c r="G2174" s="87"/>
      <c r="H2174" s="90"/>
    </row>
    <row r="2175" spans="7:8">
      <c r="G2175" s="87"/>
      <c r="H2175" s="90"/>
    </row>
    <row r="2176" spans="7:8">
      <c r="G2176" s="87"/>
      <c r="H2176" s="90"/>
    </row>
    <row r="2177" spans="7:8">
      <c r="G2177" s="87"/>
      <c r="H2177" s="90"/>
    </row>
    <row r="2178" spans="7:8">
      <c r="G2178" s="87"/>
      <c r="H2178" s="90"/>
    </row>
    <row r="2179" spans="7:8">
      <c r="G2179" s="87"/>
      <c r="H2179" s="90"/>
    </row>
    <row r="2180" spans="7:8">
      <c r="G2180" s="87"/>
      <c r="H2180" s="90"/>
    </row>
    <row r="2181" spans="7:8">
      <c r="G2181" s="87"/>
      <c r="H2181" s="90"/>
    </row>
    <row r="2182" spans="7:8">
      <c r="G2182" s="87"/>
      <c r="H2182" s="90"/>
    </row>
    <row r="2183" spans="7:8">
      <c r="G2183" s="87"/>
      <c r="H2183" s="90"/>
    </row>
    <row r="2184" spans="7:8">
      <c r="G2184" s="87"/>
      <c r="H2184" s="90"/>
    </row>
    <row r="2185" spans="7:8">
      <c r="G2185" s="87"/>
      <c r="H2185" s="90"/>
    </row>
    <row r="2186" spans="7:8">
      <c r="G2186" s="87"/>
      <c r="H2186" s="90"/>
    </row>
    <row r="2187" spans="7:8">
      <c r="G2187" s="87"/>
      <c r="H2187" s="90"/>
    </row>
    <row r="2188" spans="7:8">
      <c r="G2188" s="87"/>
      <c r="H2188" s="90"/>
    </row>
    <row r="2189" spans="7:8">
      <c r="G2189" s="87"/>
      <c r="H2189" s="90"/>
    </row>
    <row r="2190" spans="7:8">
      <c r="G2190" s="87"/>
      <c r="H2190" s="90"/>
    </row>
    <row r="2191" spans="7:8">
      <c r="G2191" s="87"/>
      <c r="H2191" s="90"/>
    </row>
    <row r="2192" spans="7:8">
      <c r="G2192" s="87"/>
      <c r="H2192" s="90"/>
    </row>
    <row r="2193" spans="7:8">
      <c r="G2193" s="87"/>
      <c r="H2193" s="90"/>
    </row>
    <row r="2194" spans="7:8">
      <c r="G2194" s="87"/>
      <c r="H2194" s="90"/>
    </row>
    <row r="2195" spans="7:8">
      <c r="G2195" s="87"/>
      <c r="H2195" s="90"/>
    </row>
    <row r="2196" spans="7:8">
      <c r="G2196" s="87"/>
      <c r="H2196" s="90"/>
    </row>
    <row r="2197" spans="7:8">
      <c r="G2197" s="87"/>
      <c r="H2197" s="90"/>
    </row>
    <row r="2198" spans="7:8">
      <c r="G2198" s="87"/>
      <c r="H2198" s="90"/>
    </row>
    <row r="2199" spans="7:8">
      <c r="G2199" s="87"/>
      <c r="H2199" s="90"/>
    </row>
    <row r="2200" spans="7:8">
      <c r="G2200" s="87"/>
      <c r="H2200" s="90"/>
    </row>
    <row r="2201" spans="7:8">
      <c r="G2201" s="87"/>
      <c r="H2201" s="90"/>
    </row>
    <row r="2202" spans="7:8">
      <c r="G2202" s="87"/>
      <c r="H2202" s="90"/>
    </row>
    <row r="2203" spans="7:8">
      <c r="G2203" s="87"/>
      <c r="H2203" s="90"/>
    </row>
    <row r="2204" spans="7:8">
      <c r="G2204" s="87"/>
      <c r="H2204" s="90"/>
    </row>
    <row r="2205" spans="7:8">
      <c r="G2205" s="87"/>
      <c r="H2205" s="90"/>
    </row>
    <row r="2206" spans="7:8">
      <c r="G2206" s="87"/>
      <c r="H2206" s="90"/>
    </row>
    <row r="2207" spans="7:8">
      <c r="G2207" s="87"/>
      <c r="H2207" s="90"/>
    </row>
    <row r="2208" spans="7:8">
      <c r="G2208" s="87"/>
      <c r="H2208" s="90"/>
    </row>
    <row r="2209" spans="7:8">
      <c r="G2209" s="87"/>
      <c r="H2209" s="90"/>
    </row>
    <row r="2210" spans="7:8">
      <c r="G2210" s="87"/>
      <c r="H2210" s="90"/>
    </row>
    <row r="2211" spans="7:8">
      <c r="G2211" s="87"/>
      <c r="H2211" s="90"/>
    </row>
    <row r="2212" spans="7:8">
      <c r="G2212" s="87"/>
      <c r="H2212" s="90"/>
    </row>
    <row r="2213" spans="7:8">
      <c r="G2213" s="87"/>
      <c r="H2213" s="90"/>
    </row>
    <row r="2214" spans="7:8">
      <c r="G2214" s="87"/>
      <c r="H2214" s="90"/>
    </row>
    <row r="2215" spans="7:8">
      <c r="G2215" s="87"/>
      <c r="H2215" s="90"/>
    </row>
    <row r="2216" spans="7:8">
      <c r="G2216" s="87"/>
      <c r="H2216" s="90"/>
    </row>
    <row r="2217" spans="7:8">
      <c r="G2217" s="87"/>
      <c r="H2217" s="90"/>
    </row>
    <row r="2218" spans="7:8">
      <c r="G2218" s="87"/>
      <c r="H2218" s="90"/>
    </row>
    <row r="2219" spans="7:8">
      <c r="G2219" s="87"/>
      <c r="H2219" s="90"/>
    </row>
    <row r="2220" spans="7:8">
      <c r="G2220" s="87"/>
      <c r="H2220" s="90"/>
    </row>
    <row r="2221" spans="7:8">
      <c r="G2221" s="87"/>
      <c r="H2221" s="90"/>
    </row>
    <row r="2222" spans="7:8">
      <c r="G2222" s="87"/>
      <c r="H2222" s="90"/>
    </row>
    <row r="2223" spans="7:8">
      <c r="G2223" s="87"/>
      <c r="H2223" s="90"/>
    </row>
    <row r="2224" spans="7:8">
      <c r="G2224" s="87"/>
      <c r="H2224" s="90"/>
    </row>
    <row r="2225" spans="7:8">
      <c r="G2225" s="87"/>
      <c r="H2225" s="90"/>
    </row>
    <row r="2226" spans="7:8">
      <c r="G2226" s="87"/>
      <c r="H2226" s="90"/>
    </row>
    <row r="2227" spans="7:8">
      <c r="G2227" s="87"/>
      <c r="H2227" s="90"/>
    </row>
    <row r="2228" spans="7:8">
      <c r="G2228" s="87"/>
      <c r="H2228" s="90"/>
    </row>
    <row r="2229" spans="7:8">
      <c r="G2229" s="87"/>
      <c r="H2229" s="90"/>
    </row>
    <row r="2230" spans="7:8">
      <c r="G2230" s="87"/>
      <c r="H2230" s="90"/>
    </row>
    <row r="2231" spans="7:8">
      <c r="G2231" s="87"/>
      <c r="H2231" s="90"/>
    </row>
    <row r="2232" spans="7:8">
      <c r="G2232" s="87"/>
      <c r="H2232" s="90"/>
    </row>
    <row r="2233" spans="7:8">
      <c r="G2233" s="87"/>
      <c r="H2233" s="90"/>
    </row>
    <row r="2234" spans="7:8">
      <c r="G2234" s="87"/>
      <c r="H2234" s="90"/>
    </row>
    <row r="2235" spans="7:8">
      <c r="G2235" s="87"/>
      <c r="H2235" s="90"/>
    </row>
    <row r="2236" spans="7:8">
      <c r="G2236" s="87"/>
      <c r="H2236" s="90"/>
    </row>
    <row r="2237" spans="7:8">
      <c r="G2237" s="87"/>
      <c r="H2237" s="90"/>
    </row>
    <row r="2238" spans="7:8">
      <c r="G2238" s="87"/>
      <c r="H2238" s="90"/>
    </row>
    <row r="2239" spans="7:8">
      <c r="G2239" s="87"/>
      <c r="H2239" s="90"/>
    </row>
    <row r="2240" spans="7:8">
      <c r="G2240" s="87"/>
      <c r="H2240" s="90"/>
    </row>
    <row r="2241" spans="7:8">
      <c r="G2241" s="87"/>
      <c r="H2241" s="90"/>
    </row>
    <row r="2242" spans="7:8">
      <c r="G2242" s="87"/>
      <c r="H2242" s="90"/>
    </row>
    <row r="2243" spans="7:8">
      <c r="G2243" s="87"/>
      <c r="H2243" s="90"/>
    </row>
    <row r="2244" spans="7:8">
      <c r="G2244" s="87"/>
      <c r="H2244" s="90"/>
    </row>
    <row r="2245" spans="7:8">
      <c r="G2245" s="87"/>
      <c r="H2245" s="90"/>
    </row>
    <row r="2246" spans="7:8">
      <c r="G2246" s="87"/>
      <c r="H2246" s="90"/>
    </row>
    <row r="2247" spans="7:8">
      <c r="G2247" s="87"/>
      <c r="H2247" s="90"/>
    </row>
    <row r="2248" spans="7:8">
      <c r="G2248" s="87"/>
      <c r="H2248" s="90"/>
    </row>
    <row r="2249" spans="7:8">
      <c r="G2249" s="87"/>
      <c r="H2249" s="90"/>
    </row>
    <row r="2250" spans="7:8">
      <c r="G2250" s="87"/>
      <c r="H2250" s="90"/>
    </row>
    <row r="2251" spans="7:8">
      <c r="G2251" s="87"/>
      <c r="H2251" s="90"/>
    </row>
    <row r="2252" spans="7:8">
      <c r="G2252" s="87"/>
      <c r="H2252" s="90"/>
    </row>
    <row r="2253" spans="7:8">
      <c r="G2253" s="87"/>
      <c r="H2253" s="90"/>
    </row>
    <row r="2254" spans="7:8">
      <c r="G2254" s="87"/>
      <c r="H2254" s="90"/>
    </row>
    <row r="2255" spans="7:8">
      <c r="G2255" s="87"/>
      <c r="H2255" s="90"/>
    </row>
    <row r="2256" spans="7:8">
      <c r="G2256" s="87"/>
      <c r="H2256" s="90"/>
    </row>
    <row r="2257" spans="7:8">
      <c r="G2257" s="87"/>
      <c r="H2257" s="90"/>
    </row>
    <row r="2258" spans="7:8">
      <c r="G2258" s="87"/>
      <c r="H2258" s="90"/>
    </row>
    <row r="2259" spans="7:8">
      <c r="G2259" s="87"/>
      <c r="H2259" s="90"/>
    </row>
    <row r="2260" spans="7:8">
      <c r="G2260" s="87"/>
      <c r="H2260" s="90"/>
    </row>
    <row r="2261" spans="7:8">
      <c r="G2261" s="87"/>
      <c r="H2261" s="90"/>
    </row>
    <row r="2262" spans="7:8">
      <c r="G2262" s="87"/>
      <c r="H2262" s="90"/>
    </row>
    <row r="2263" spans="7:8">
      <c r="G2263" s="87"/>
      <c r="H2263" s="90"/>
    </row>
    <row r="2264" spans="7:8">
      <c r="G2264" s="87"/>
      <c r="H2264" s="90"/>
    </row>
    <row r="2265" spans="7:8">
      <c r="G2265" s="87"/>
      <c r="H2265" s="90"/>
    </row>
    <row r="2266" spans="7:8">
      <c r="G2266" s="87"/>
      <c r="H2266" s="90"/>
    </row>
    <row r="2267" spans="7:8">
      <c r="G2267" s="87"/>
      <c r="H2267" s="90"/>
    </row>
    <row r="2268" spans="7:8">
      <c r="G2268" s="87"/>
      <c r="H2268" s="90"/>
    </row>
    <row r="2269" spans="7:8">
      <c r="G2269" s="87"/>
      <c r="H2269" s="90"/>
    </row>
    <row r="2270" spans="7:8">
      <c r="G2270" s="87"/>
      <c r="H2270" s="90"/>
    </row>
    <row r="2271" spans="7:8">
      <c r="G2271" s="87"/>
      <c r="H2271" s="90"/>
    </row>
    <row r="2272" spans="7:8">
      <c r="G2272" s="87"/>
      <c r="H2272" s="90"/>
    </row>
    <row r="2273" spans="7:8">
      <c r="G2273" s="87"/>
      <c r="H2273" s="90"/>
    </row>
    <row r="2274" spans="7:8">
      <c r="G2274" s="87"/>
      <c r="H2274" s="90"/>
    </row>
    <row r="2275" spans="7:8">
      <c r="G2275" s="87"/>
      <c r="H2275" s="90"/>
    </row>
    <row r="2276" spans="7:8">
      <c r="G2276" s="87"/>
      <c r="H2276" s="90"/>
    </row>
    <row r="2277" spans="7:8">
      <c r="G2277" s="87"/>
      <c r="H2277" s="90"/>
    </row>
    <row r="2278" spans="7:8">
      <c r="G2278" s="87"/>
      <c r="H2278" s="90"/>
    </row>
    <row r="2279" spans="7:8">
      <c r="G2279" s="87"/>
      <c r="H2279" s="90"/>
    </row>
    <row r="2280" spans="7:8">
      <c r="G2280" s="87"/>
      <c r="H2280" s="90"/>
    </row>
    <row r="2281" spans="7:8">
      <c r="G2281" s="87"/>
      <c r="H2281" s="90"/>
    </row>
    <row r="2282" spans="7:8">
      <c r="G2282" s="87"/>
      <c r="H2282" s="90"/>
    </row>
    <row r="2283" spans="7:8">
      <c r="G2283" s="87"/>
      <c r="H2283" s="90"/>
    </row>
    <row r="2284" spans="7:8">
      <c r="G2284" s="87"/>
      <c r="H2284" s="90"/>
    </row>
    <row r="2285" spans="7:8">
      <c r="G2285" s="87"/>
      <c r="H2285" s="90"/>
    </row>
    <row r="2286" spans="7:8">
      <c r="G2286" s="87"/>
      <c r="H2286" s="90"/>
    </row>
    <row r="2287" spans="7:8">
      <c r="G2287" s="87"/>
      <c r="H2287" s="90"/>
    </row>
    <row r="2288" spans="7:8">
      <c r="G2288" s="87"/>
      <c r="H2288" s="90"/>
    </row>
    <row r="2289" spans="7:8">
      <c r="G2289" s="87"/>
      <c r="H2289" s="90"/>
    </row>
    <row r="2290" spans="7:8">
      <c r="G2290" s="87"/>
      <c r="H2290" s="90"/>
    </row>
    <row r="2291" spans="7:8">
      <c r="G2291" s="87"/>
      <c r="H2291" s="90"/>
    </row>
    <row r="2292" spans="7:8">
      <c r="G2292" s="87"/>
      <c r="H2292" s="90"/>
    </row>
    <row r="2293" spans="7:8">
      <c r="G2293" s="87"/>
      <c r="H2293" s="90"/>
    </row>
    <row r="2294" spans="7:8">
      <c r="G2294" s="87"/>
      <c r="H2294" s="90"/>
    </row>
    <row r="2295" spans="7:8">
      <c r="G2295" s="87"/>
      <c r="H2295" s="90"/>
    </row>
    <row r="2296" spans="7:8">
      <c r="G2296" s="87"/>
      <c r="H2296" s="90"/>
    </row>
    <row r="2297" spans="7:8">
      <c r="G2297" s="87"/>
      <c r="H2297" s="90"/>
    </row>
    <row r="2298" spans="7:8">
      <c r="G2298" s="87"/>
      <c r="H2298" s="90"/>
    </row>
    <row r="2299" spans="7:8">
      <c r="G2299" s="87"/>
      <c r="H2299" s="90"/>
    </row>
    <row r="2300" spans="7:8">
      <c r="G2300" s="87"/>
      <c r="H2300" s="90"/>
    </row>
    <row r="2301" spans="7:8">
      <c r="G2301" s="87"/>
      <c r="H2301" s="90"/>
    </row>
    <row r="2302" spans="7:8">
      <c r="G2302" s="87"/>
      <c r="H2302" s="90"/>
    </row>
    <row r="2303" spans="7:8">
      <c r="G2303" s="87"/>
      <c r="H2303" s="90"/>
    </row>
    <row r="2304" spans="7:8">
      <c r="G2304" s="87"/>
      <c r="H2304" s="90"/>
    </row>
    <row r="2305" spans="7:8">
      <c r="G2305" s="87"/>
      <c r="H2305" s="90"/>
    </row>
    <row r="2306" spans="7:8">
      <c r="G2306" s="87"/>
      <c r="H2306" s="90"/>
    </row>
    <row r="2307" spans="7:8">
      <c r="G2307" s="87"/>
      <c r="H2307" s="90"/>
    </row>
    <row r="2308" spans="7:8">
      <c r="G2308" s="87"/>
      <c r="H2308" s="90"/>
    </row>
    <row r="2309" spans="7:8">
      <c r="G2309" s="87"/>
      <c r="H2309" s="90"/>
    </row>
    <row r="2310" spans="7:8">
      <c r="G2310" s="87"/>
      <c r="H2310" s="90"/>
    </row>
    <row r="2311" spans="7:8">
      <c r="G2311" s="87"/>
      <c r="H2311" s="90"/>
    </row>
    <row r="2312" spans="7:8">
      <c r="G2312" s="87"/>
      <c r="H2312" s="90"/>
    </row>
    <row r="2313" spans="7:8">
      <c r="G2313" s="87"/>
      <c r="H2313" s="90"/>
    </row>
    <row r="2314" spans="7:8">
      <c r="G2314" s="87"/>
      <c r="H2314" s="90"/>
    </row>
    <row r="2315" spans="7:8">
      <c r="G2315" s="87"/>
      <c r="H2315" s="90"/>
    </row>
    <row r="2316" spans="7:8">
      <c r="G2316" s="87"/>
      <c r="H2316" s="90"/>
    </row>
    <row r="2317" spans="7:8">
      <c r="G2317" s="87"/>
      <c r="H2317" s="90"/>
    </row>
    <row r="2318" spans="7:8">
      <c r="G2318" s="87"/>
      <c r="H2318" s="90"/>
    </row>
    <row r="2319" spans="7:8">
      <c r="G2319" s="87"/>
      <c r="H2319" s="90"/>
    </row>
    <row r="2320" spans="7:8">
      <c r="G2320" s="87"/>
      <c r="H2320" s="90"/>
    </row>
    <row r="2321" spans="7:8">
      <c r="G2321" s="87"/>
      <c r="H2321" s="90"/>
    </row>
    <row r="2322" spans="7:8">
      <c r="G2322" s="87"/>
      <c r="H2322" s="90"/>
    </row>
    <row r="2323" spans="7:8">
      <c r="G2323" s="87"/>
      <c r="H2323" s="90"/>
    </row>
    <row r="2324" spans="7:8">
      <c r="G2324" s="87"/>
      <c r="H2324" s="90"/>
    </row>
    <row r="2325" spans="7:8">
      <c r="G2325" s="87"/>
      <c r="H2325" s="90"/>
    </row>
    <row r="2326" spans="7:8">
      <c r="G2326" s="87"/>
      <c r="H2326" s="90"/>
    </row>
    <row r="2327" spans="7:8">
      <c r="G2327" s="87"/>
      <c r="H2327" s="90"/>
    </row>
    <row r="2328" spans="7:8">
      <c r="G2328" s="87"/>
      <c r="H2328" s="90"/>
    </row>
    <row r="2329" spans="7:8">
      <c r="G2329" s="87"/>
      <c r="H2329" s="90"/>
    </row>
    <row r="2330" spans="7:8">
      <c r="G2330" s="87"/>
      <c r="H2330" s="90"/>
    </row>
    <row r="2331" spans="7:8">
      <c r="G2331" s="87"/>
      <c r="H2331" s="90"/>
    </row>
    <row r="2332" spans="7:8">
      <c r="G2332" s="87"/>
      <c r="H2332" s="90"/>
    </row>
    <row r="2333" spans="7:8">
      <c r="G2333" s="87"/>
      <c r="H2333" s="90"/>
    </row>
    <row r="2334" spans="7:8">
      <c r="G2334" s="87"/>
      <c r="H2334" s="90"/>
    </row>
    <row r="2335" spans="7:8">
      <c r="G2335" s="87"/>
      <c r="H2335" s="90"/>
    </row>
    <row r="2336" spans="7:8">
      <c r="G2336" s="87"/>
      <c r="H2336" s="90"/>
    </row>
    <row r="2337" spans="7:8">
      <c r="G2337" s="87"/>
      <c r="H2337" s="90"/>
    </row>
    <row r="2338" spans="7:8">
      <c r="G2338" s="87"/>
      <c r="H2338" s="90"/>
    </row>
    <row r="2339" spans="7:8">
      <c r="G2339" s="87"/>
      <c r="H2339" s="90"/>
    </row>
    <row r="2340" spans="7:8">
      <c r="G2340" s="87"/>
      <c r="H2340" s="90"/>
    </row>
    <row r="2341" spans="7:8">
      <c r="G2341" s="87"/>
      <c r="H2341" s="90"/>
    </row>
    <row r="2342" spans="7:8">
      <c r="G2342" s="87"/>
      <c r="H2342" s="90"/>
    </row>
    <row r="2343" spans="7:8">
      <c r="G2343" s="87"/>
      <c r="H2343" s="90"/>
    </row>
    <row r="2344" spans="7:8">
      <c r="G2344" s="87"/>
      <c r="H2344" s="90"/>
    </row>
    <row r="2345" spans="7:8">
      <c r="G2345" s="87"/>
      <c r="H2345" s="90"/>
    </row>
    <row r="2346" spans="7:8">
      <c r="G2346" s="87"/>
      <c r="H2346" s="90"/>
    </row>
    <row r="2347" spans="7:8">
      <c r="G2347" s="87"/>
      <c r="H2347" s="90"/>
    </row>
    <row r="2348" spans="7:8">
      <c r="G2348" s="87"/>
      <c r="H2348" s="90"/>
    </row>
    <row r="2349" spans="7:8">
      <c r="G2349" s="87"/>
      <c r="H2349" s="90"/>
    </row>
    <row r="2350" spans="7:8">
      <c r="G2350" s="87"/>
      <c r="H2350" s="90"/>
    </row>
    <row r="2351" spans="7:8">
      <c r="G2351" s="87"/>
      <c r="H2351" s="90"/>
    </row>
    <row r="2352" spans="7:8">
      <c r="G2352" s="87"/>
      <c r="H2352" s="90"/>
    </row>
    <row r="2353" spans="7:8">
      <c r="G2353" s="87"/>
      <c r="H2353" s="90"/>
    </row>
    <row r="2354" spans="7:8">
      <c r="G2354" s="87"/>
      <c r="H2354" s="90"/>
    </row>
    <row r="2355" spans="7:8">
      <c r="G2355" s="87"/>
      <c r="H2355" s="90"/>
    </row>
    <row r="2356" spans="7:8">
      <c r="G2356" s="87"/>
      <c r="H2356" s="90"/>
    </row>
    <row r="2357" spans="7:8">
      <c r="G2357" s="87"/>
      <c r="H2357" s="90"/>
    </row>
    <row r="2358" spans="7:8">
      <c r="G2358" s="87"/>
      <c r="H2358" s="90"/>
    </row>
    <row r="2359" spans="7:8">
      <c r="G2359" s="87"/>
      <c r="H2359" s="90"/>
    </row>
    <row r="2360" spans="7:8">
      <c r="G2360" s="87"/>
      <c r="H2360" s="90"/>
    </row>
    <row r="2361" spans="7:8">
      <c r="G2361" s="87"/>
      <c r="H2361" s="90"/>
    </row>
    <row r="2362" spans="7:8">
      <c r="G2362" s="87"/>
      <c r="H2362" s="90"/>
    </row>
    <row r="2363" spans="7:8">
      <c r="G2363" s="87"/>
      <c r="H2363" s="90"/>
    </row>
    <row r="2364" spans="7:8">
      <c r="G2364" s="87"/>
      <c r="H2364" s="90"/>
    </row>
    <row r="2365" spans="7:8">
      <c r="G2365" s="87"/>
      <c r="H2365" s="90"/>
    </row>
    <row r="2366" spans="7:8">
      <c r="G2366" s="87"/>
      <c r="H2366" s="90"/>
    </row>
    <row r="2367" spans="7:8">
      <c r="G2367" s="87"/>
      <c r="H2367" s="90"/>
    </row>
    <row r="2368" spans="7:8">
      <c r="G2368" s="87"/>
      <c r="H2368" s="90"/>
    </row>
    <row r="2369" spans="7:8">
      <c r="G2369" s="87"/>
      <c r="H2369" s="90"/>
    </row>
    <row r="2370" spans="7:8">
      <c r="G2370" s="87"/>
      <c r="H2370" s="90"/>
    </row>
    <row r="2371" spans="7:8">
      <c r="G2371" s="87"/>
      <c r="H2371" s="90"/>
    </row>
    <row r="2372" spans="7:8">
      <c r="G2372" s="87"/>
      <c r="H2372" s="90"/>
    </row>
    <row r="2373" spans="7:8">
      <c r="G2373" s="87"/>
      <c r="H2373" s="90"/>
    </row>
    <row r="2374" spans="7:8">
      <c r="G2374" s="87"/>
      <c r="H2374" s="90"/>
    </row>
    <row r="2375" spans="7:8">
      <c r="G2375" s="87"/>
      <c r="H2375" s="90"/>
    </row>
    <row r="2376" spans="7:8">
      <c r="G2376" s="87"/>
      <c r="H2376" s="90"/>
    </row>
    <row r="2377" spans="7:8">
      <c r="G2377" s="87"/>
      <c r="H2377" s="90"/>
    </row>
    <row r="2378" spans="7:8">
      <c r="G2378" s="87"/>
      <c r="H2378" s="90"/>
    </row>
    <row r="2379" spans="7:8">
      <c r="G2379" s="87"/>
      <c r="H2379" s="90"/>
    </row>
    <row r="2380" spans="7:8">
      <c r="G2380" s="87"/>
      <c r="H2380" s="90"/>
    </row>
    <row r="2381" spans="7:8">
      <c r="G2381" s="87"/>
      <c r="H2381" s="90"/>
    </row>
    <row r="2382" spans="7:8">
      <c r="G2382" s="87"/>
      <c r="H2382" s="90"/>
    </row>
    <row r="2383" spans="7:8">
      <c r="G2383" s="87"/>
      <c r="H2383" s="90"/>
    </row>
    <row r="2384" spans="7:8">
      <c r="G2384" s="87"/>
      <c r="H2384" s="90"/>
    </row>
    <row r="2385" spans="7:8">
      <c r="G2385" s="87"/>
      <c r="H2385" s="90"/>
    </row>
    <row r="2386" spans="7:8">
      <c r="G2386" s="87"/>
      <c r="H2386" s="90"/>
    </row>
    <row r="2387" spans="7:8">
      <c r="G2387" s="87"/>
      <c r="H2387" s="90"/>
    </row>
    <row r="2388" spans="7:8">
      <c r="G2388" s="87"/>
      <c r="H2388" s="90"/>
    </row>
    <row r="2389" spans="7:8">
      <c r="G2389" s="87"/>
      <c r="H2389" s="90"/>
    </row>
    <row r="2390" spans="7:8">
      <c r="G2390" s="87"/>
      <c r="H2390" s="90"/>
    </row>
    <row r="2391" spans="7:8">
      <c r="G2391" s="87"/>
      <c r="H2391" s="90"/>
    </row>
    <row r="2392" spans="7:8">
      <c r="G2392" s="87"/>
      <c r="H2392" s="90"/>
    </row>
    <row r="2393" spans="7:8">
      <c r="G2393" s="87"/>
      <c r="H2393" s="90"/>
    </row>
    <row r="2394" spans="7:8">
      <c r="G2394" s="87"/>
      <c r="H2394" s="90"/>
    </row>
    <row r="2395" spans="7:8">
      <c r="G2395" s="87"/>
      <c r="H2395" s="90"/>
    </row>
    <row r="2396" spans="7:8">
      <c r="G2396" s="87"/>
      <c r="H2396" s="90"/>
    </row>
    <row r="2397" spans="7:8">
      <c r="G2397" s="87"/>
      <c r="H2397" s="90"/>
    </row>
    <row r="2398" spans="7:8">
      <c r="G2398" s="87"/>
      <c r="H2398" s="90"/>
    </row>
    <row r="2399" spans="7:8">
      <c r="G2399" s="87"/>
      <c r="H2399" s="90"/>
    </row>
    <row r="2400" spans="7:8">
      <c r="G2400" s="87"/>
      <c r="H2400" s="90"/>
    </row>
    <row r="2401" spans="7:8">
      <c r="G2401" s="87"/>
      <c r="H2401" s="90"/>
    </row>
    <row r="2402" spans="7:8">
      <c r="G2402" s="87"/>
      <c r="H2402" s="90"/>
    </row>
    <row r="2403" spans="7:8">
      <c r="G2403" s="87"/>
      <c r="H2403" s="90"/>
    </row>
    <row r="2404" spans="7:8">
      <c r="G2404" s="87"/>
      <c r="H2404" s="90"/>
    </row>
    <row r="2405" spans="7:8">
      <c r="G2405" s="87"/>
      <c r="H2405" s="90"/>
    </row>
    <row r="2406" spans="7:8">
      <c r="G2406" s="87"/>
      <c r="H2406" s="90"/>
    </row>
    <row r="2407" spans="7:8">
      <c r="G2407" s="87"/>
      <c r="H2407" s="90"/>
    </row>
    <row r="2408" spans="7:8">
      <c r="G2408" s="87"/>
      <c r="H2408" s="90"/>
    </row>
    <row r="2409" spans="7:8">
      <c r="G2409" s="87"/>
      <c r="H2409" s="90"/>
    </row>
    <row r="2410" spans="7:8">
      <c r="G2410" s="87"/>
      <c r="H2410" s="90"/>
    </row>
    <row r="2411" spans="7:8">
      <c r="G2411" s="87"/>
      <c r="H2411" s="90"/>
    </row>
    <row r="2412" spans="7:8">
      <c r="G2412" s="87"/>
      <c r="H2412" s="90"/>
    </row>
    <row r="2413" spans="7:8">
      <c r="G2413" s="87"/>
      <c r="H2413" s="90"/>
    </row>
    <row r="2414" spans="7:8">
      <c r="G2414" s="87"/>
      <c r="H2414" s="90"/>
    </row>
    <row r="2415" spans="7:8">
      <c r="G2415" s="87"/>
      <c r="H2415" s="90"/>
    </row>
    <row r="2416" spans="7:8">
      <c r="G2416" s="87"/>
      <c r="H2416" s="90"/>
    </row>
    <row r="2417" spans="7:8">
      <c r="G2417" s="87"/>
      <c r="H2417" s="90"/>
    </row>
    <row r="2418" spans="7:8">
      <c r="G2418" s="87"/>
      <c r="H2418" s="90"/>
    </row>
    <row r="2419" spans="7:8">
      <c r="G2419" s="87"/>
      <c r="H2419" s="90"/>
    </row>
    <row r="2420" spans="7:8">
      <c r="G2420" s="87"/>
      <c r="H2420" s="90"/>
    </row>
    <row r="2421" spans="7:8">
      <c r="G2421" s="87"/>
      <c r="H2421" s="90"/>
    </row>
    <row r="2422" spans="7:8">
      <c r="G2422" s="87"/>
      <c r="H2422" s="90"/>
    </row>
    <row r="2423" spans="7:8">
      <c r="G2423" s="87"/>
      <c r="H2423" s="90"/>
    </row>
    <row r="2424" spans="7:8">
      <c r="G2424" s="87"/>
      <c r="H2424" s="90"/>
    </row>
    <row r="2425" spans="7:8">
      <c r="G2425" s="87"/>
      <c r="H2425" s="90"/>
    </row>
    <row r="2426" spans="7:8">
      <c r="G2426" s="87"/>
      <c r="H2426" s="90"/>
    </row>
    <row r="2427" spans="7:8">
      <c r="G2427" s="87"/>
      <c r="H2427" s="90"/>
    </row>
    <row r="2428" spans="7:8">
      <c r="G2428" s="87"/>
      <c r="H2428" s="90"/>
    </row>
    <row r="2429" spans="7:8">
      <c r="G2429" s="87"/>
      <c r="H2429" s="90"/>
    </row>
    <row r="2430" spans="7:8">
      <c r="G2430" s="87"/>
      <c r="H2430" s="90"/>
    </row>
    <row r="2431" spans="7:8">
      <c r="G2431" s="87"/>
      <c r="H2431" s="90"/>
    </row>
    <row r="2432" spans="7:8">
      <c r="G2432" s="87"/>
      <c r="H2432" s="90"/>
    </row>
    <row r="2433" spans="7:8">
      <c r="G2433" s="87"/>
      <c r="H2433" s="90"/>
    </row>
    <row r="2434" spans="7:8">
      <c r="G2434" s="87"/>
      <c r="H2434" s="90"/>
    </row>
    <row r="2435" spans="7:8">
      <c r="G2435" s="87"/>
      <c r="H2435" s="90"/>
    </row>
    <row r="2436" spans="7:8">
      <c r="G2436" s="87"/>
      <c r="H2436" s="90"/>
    </row>
    <row r="2437" spans="7:8">
      <c r="G2437" s="87"/>
      <c r="H2437" s="90"/>
    </row>
    <row r="2438" spans="7:8">
      <c r="G2438" s="87"/>
      <c r="H2438" s="90"/>
    </row>
    <row r="2439" spans="7:8">
      <c r="G2439" s="87"/>
      <c r="H2439" s="90"/>
    </row>
    <row r="2440" spans="7:8">
      <c r="G2440" s="87"/>
      <c r="H2440" s="90"/>
    </row>
    <row r="2441" spans="7:8">
      <c r="G2441" s="87"/>
      <c r="H2441" s="90"/>
    </row>
    <row r="2442" spans="7:8">
      <c r="G2442" s="87"/>
      <c r="H2442" s="90"/>
    </row>
    <row r="2443" spans="7:8">
      <c r="G2443" s="87"/>
      <c r="H2443" s="90"/>
    </row>
    <row r="2444" spans="7:8">
      <c r="G2444" s="87"/>
      <c r="H2444" s="90"/>
    </row>
    <row r="2445" spans="7:8">
      <c r="G2445" s="87"/>
      <c r="H2445" s="90"/>
    </row>
    <row r="2446" spans="7:8">
      <c r="G2446" s="87"/>
      <c r="H2446" s="90"/>
    </row>
    <row r="2447" spans="7:8">
      <c r="G2447" s="87"/>
      <c r="H2447" s="90"/>
    </row>
    <row r="2448" spans="7:8">
      <c r="G2448" s="87"/>
      <c r="H2448" s="90"/>
    </row>
    <row r="2449" spans="7:8">
      <c r="G2449" s="87"/>
      <c r="H2449" s="90"/>
    </row>
    <row r="2450" spans="7:8">
      <c r="G2450" s="87"/>
      <c r="H2450" s="90"/>
    </row>
    <row r="2451" spans="7:8">
      <c r="G2451" s="87"/>
      <c r="H2451" s="90"/>
    </row>
    <row r="2452" spans="7:8">
      <c r="G2452" s="87"/>
      <c r="H2452" s="90"/>
    </row>
    <row r="2453" spans="7:8">
      <c r="G2453" s="87"/>
      <c r="H2453" s="90"/>
    </row>
    <row r="2454" spans="7:8">
      <c r="G2454" s="87"/>
      <c r="H2454" s="90"/>
    </row>
    <row r="2455" spans="7:8">
      <c r="G2455" s="87"/>
      <c r="H2455" s="90"/>
    </row>
    <row r="2456" spans="7:8">
      <c r="G2456" s="87"/>
      <c r="H2456" s="90"/>
    </row>
    <row r="2457" spans="7:8">
      <c r="G2457" s="87"/>
      <c r="H2457" s="90"/>
    </row>
    <row r="2458" spans="7:8">
      <c r="G2458" s="87"/>
      <c r="H2458" s="90"/>
    </row>
    <row r="2459" spans="7:8">
      <c r="G2459" s="87"/>
      <c r="H2459" s="90"/>
    </row>
    <row r="2460" spans="7:8">
      <c r="G2460" s="87"/>
      <c r="H2460" s="90"/>
    </row>
    <row r="2461" spans="7:8">
      <c r="G2461" s="87"/>
      <c r="H2461" s="90"/>
    </row>
    <row r="2462" spans="7:8">
      <c r="G2462" s="87"/>
      <c r="H2462" s="90"/>
    </row>
    <row r="2463" spans="7:8">
      <c r="G2463" s="87"/>
      <c r="H2463" s="90"/>
    </row>
    <row r="2464" spans="7:8">
      <c r="G2464" s="87"/>
      <c r="H2464" s="90"/>
    </row>
    <row r="2465" spans="7:8">
      <c r="G2465" s="87"/>
      <c r="H2465" s="90"/>
    </row>
    <row r="2466" spans="7:8">
      <c r="G2466" s="87"/>
      <c r="H2466" s="90"/>
    </row>
    <row r="2467" spans="7:8">
      <c r="G2467" s="87"/>
      <c r="H2467" s="90"/>
    </row>
    <row r="2468" spans="7:8">
      <c r="G2468" s="87"/>
      <c r="H2468" s="90"/>
    </row>
    <row r="2469" spans="7:8">
      <c r="G2469" s="87"/>
      <c r="H2469" s="90"/>
    </row>
    <row r="2470" spans="7:8">
      <c r="G2470" s="87"/>
      <c r="H2470" s="90"/>
    </row>
    <row r="2471" spans="7:8">
      <c r="G2471" s="87"/>
      <c r="H2471" s="90"/>
    </row>
    <row r="2472" spans="7:8">
      <c r="G2472" s="87"/>
      <c r="H2472" s="90"/>
    </row>
    <row r="2473" spans="7:8">
      <c r="G2473" s="87"/>
      <c r="H2473" s="90"/>
    </row>
    <row r="2474" spans="7:8">
      <c r="G2474" s="87"/>
      <c r="H2474" s="90"/>
    </row>
    <row r="2475" spans="7:8">
      <c r="G2475" s="87"/>
      <c r="H2475" s="90"/>
    </row>
    <row r="2476" spans="7:8">
      <c r="G2476" s="87"/>
      <c r="H2476" s="90"/>
    </row>
    <row r="2477" spans="7:8">
      <c r="G2477" s="87"/>
      <c r="H2477" s="90"/>
    </row>
    <row r="2478" spans="7:8">
      <c r="G2478" s="87"/>
      <c r="H2478" s="90"/>
    </row>
    <row r="2479" spans="7:8">
      <c r="G2479" s="87"/>
      <c r="H2479" s="90"/>
    </row>
    <row r="2480" spans="7:8">
      <c r="G2480" s="87"/>
      <c r="H2480" s="90"/>
    </row>
    <row r="2481" spans="7:8">
      <c r="G2481" s="87"/>
      <c r="H2481" s="90"/>
    </row>
    <row r="2482" spans="7:8">
      <c r="G2482" s="87"/>
      <c r="H2482" s="90"/>
    </row>
    <row r="2483" spans="7:8">
      <c r="G2483" s="87"/>
      <c r="H2483" s="90"/>
    </row>
    <row r="2484" spans="7:8">
      <c r="G2484" s="87"/>
      <c r="H2484" s="90"/>
    </row>
    <row r="2485" spans="7:8">
      <c r="G2485" s="87"/>
      <c r="H2485" s="90"/>
    </row>
    <row r="2486" spans="7:8">
      <c r="G2486" s="87"/>
      <c r="H2486" s="90"/>
    </row>
    <row r="2487" spans="7:8">
      <c r="G2487" s="87"/>
      <c r="H2487" s="90"/>
    </row>
    <row r="2488" spans="7:8">
      <c r="G2488" s="87"/>
      <c r="H2488" s="90"/>
    </row>
    <row r="2489" spans="7:8">
      <c r="G2489" s="87"/>
      <c r="H2489" s="90"/>
    </row>
    <row r="2490" spans="7:8">
      <c r="G2490" s="87"/>
      <c r="H2490" s="90"/>
    </row>
    <row r="2491" spans="7:8">
      <c r="G2491" s="87"/>
      <c r="H2491" s="90"/>
    </row>
    <row r="2492" spans="7:8">
      <c r="G2492" s="87"/>
      <c r="H2492" s="90"/>
    </row>
    <row r="2493" spans="7:8">
      <c r="G2493" s="87"/>
      <c r="H2493" s="90"/>
    </row>
    <row r="2494" spans="7:8">
      <c r="G2494" s="87"/>
      <c r="H2494" s="90"/>
    </row>
    <row r="2495" spans="7:8">
      <c r="G2495" s="87"/>
      <c r="H2495" s="90"/>
    </row>
    <row r="2496" spans="7:8">
      <c r="G2496" s="87"/>
      <c r="H2496" s="90"/>
    </row>
    <row r="2497" spans="7:8">
      <c r="G2497" s="87"/>
      <c r="H2497" s="90"/>
    </row>
    <row r="2498" spans="7:8">
      <c r="G2498" s="87"/>
      <c r="H2498" s="90"/>
    </row>
    <row r="2499" spans="7:8">
      <c r="G2499" s="87"/>
      <c r="H2499" s="90"/>
    </row>
    <row r="2500" spans="7:8">
      <c r="G2500" s="87"/>
      <c r="H2500" s="90"/>
    </row>
    <row r="2501" spans="7:8">
      <c r="G2501" s="87"/>
      <c r="H2501" s="90"/>
    </row>
    <row r="2502" spans="7:8">
      <c r="G2502" s="87"/>
      <c r="H2502" s="90"/>
    </row>
    <row r="2503" spans="7:8">
      <c r="G2503" s="87"/>
      <c r="H2503" s="90"/>
    </row>
    <row r="2504" spans="7:8">
      <c r="G2504" s="87"/>
      <c r="H2504" s="90"/>
    </row>
    <row r="2505" spans="7:8">
      <c r="G2505" s="87"/>
      <c r="H2505" s="90"/>
    </row>
    <row r="2506" spans="7:8">
      <c r="G2506" s="87"/>
      <c r="H2506" s="90"/>
    </row>
    <row r="2507" spans="7:8">
      <c r="G2507" s="87"/>
      <c r="H2507" s="90"/>
    </row>
    <row r="2508" spans="7:8">
      <c r="G2508" s="87"/>
      <c r="H2508" s="90"/>
    </row>
    <row r="2509" spans="7:8">
      <c r="G2509" s="87"/>
      <c r="H2509" s="90"/>
    </row>
    <row r="2510" spans="7:8">
      <c r="G2510" s="87"/>
      <c r="H2510" s="90"/>
    </row>
    <row r="2511" spans="7:8">
      <c r="G2511" s="87"/>
      <c r="H2511" s="90"/>
    </row>
    <row r="2512" spans="7:8">
      <c r="G2512" s="87"/>
      <c r="H2512" s="90"/>
    </row>
    <row r="2513" spans="7:8">
      <c r="G2513" s="87"/>
      <c r="H2513" s="90"/>
    </row>
    <row r="2514" spans="7:8">
      <c r="G2514" s="87"/>
      <c r="H2514" s="90"/>
    </row>
    <row r="2515" spans="7:8">
      <c r="G2515" s="87"/>
      <c r="H2515" s="90"/>
    </row>
    <row r="2516" spans="7:8">
      <c r="G2516" s="87"/>
      <c r="H2516" s="90"/>
    </row>
    <row r="2517" spans="7:8">
      <c r="G2517" s="87"/>
      <c r="H2517" s="90"/>
    </row>
    <row r="2518" spans="7:8">
      <c r="G2518" s="87"/>
      <c r="H2518" s="90"/>
    </row>
    <row r="2519" spans="7:8">
      <c r="G2519" s="87"/>
      <c r="H2519" s="90"/>
    </row>
    <row r="2520" spans="7:8">
      <c r="G2520" s="87"/>
      <c r="H2520" s="90"/>
    </row>
    <row r="2521" spans="7:8">
      <c r="G2521" s="87"/>
      <c r="H2521" s="90"/>
    </row>
    <row r="2522" spans="7:8">
      <c r="G2522" s="87"/>
      <c r="H2522" s="90"/>
    </row>
    <row r="2523" spans="7:8">
      <c r="G2523" s="87"/>
      <c r="H2523" s="90"/>
    </row>
    <row r="2524" spans="7:8">
      <c r="G2524" s="87"/>
      <c r="H2524" s="90"/>
    </row>
    <row r="2525" spans="7:8">
      <c r="G2525" s="87"/>
      <c r="H2525" s="90"/>
    </row>
    <row r="2526" spans="7:8">
      <c r="G2526" s="87"/>
      <c r="H2526" s="90"/>
    </row>
    <row r="2527" spans="7:8">
      <c r="G2527" s="87"/>
      <c r="H2527" s="90"/>
    </row>
    <row r="2528" spans="7:8">
      <c r="G2528" s="87"/>
      <c r="H2528" s="90"/>
    </row>
    <row r="2529" spans="7:8">
      <c r="G2529" s="87"/>
      <c r="H2529" s="90"/>
    </row>
    <row r="2530" spans="7:8">
      <c r="G2530" s="87"/>
      <c r="H2530" s="90"/>
    </row>
    <row r="2531" spans="7:8">
      <c r="G2531" s="87"/>
      <c r="H2531" s="90"/>
    </row>
    <row r="2532" spans="7:8">
      <c r="G2532" s="87"/>
      <c r="H2532" s="90"/>
    </row>
    <row r="2533" spans="7:8">
      <c r="G2533" s="87"/>
      <c r="H2533" s="90"/>
    </row>
    <row r="2534" spans="7:8">
      <c r="G2534" s="87"/>
      <c r="H2534" s="90"/>
    </row>
    <row r="2535" spans="7:8">
      <c r="G2535" s="87"/>
      <c r="H2535" s="90"/>
    </row>
    <row r="2536" spans="7:8">
      <c r="G2536" s="87"/>
      <c r="H2536" s="90"/>
    </row>
    <row r="2537" spans="7:8">
      <c r="G2537" s="87"/>
      <c r="H2537" s="90"/>
    </row>
    <row r="2538" spans="7:8">
      <c r="G2538" s="87"/>
      <c r="H2538" s="90"/>
    </row>
    <row r="2539" spans="7:8">
      <c r="G2539" s="87"/>
      <c r="H2539" s="90"/>
    </row>
    <row r="2540" spans="7:8">
      <c r="G2540" s="87"/>
      <c r="H2540" s="90"/>
    </row>
    <row r="2541" spans="7:8">
      <c r="G2541" s="87"/>
      <c r="H2541" s="90"/>
    </row>
    <row r="2542" spans="7:8">
      <c r="G2542" s="87"/>
      <c r="H2542" s="90"/>
    </row>
    <row r="2543" spans="7:8">
      <c r="G2543" s="87"/>
      <c r="H2543" s="90"/>
    </row>
    <row r="2544" spans="7:8">
      <c r="G2544" s="87"/>
      <c r="H2544" s="90"/>
    </row>
    <row r="2545" spans="7:8">
      <c r="G2545" s="87"/>
      <c r="H2545" s="90"/>
    </row>
    <row r="2546" spans="7:8">
      <c r="G2546" s="87"/>
      <c r="H2546" s="90"/>
    </row>
    <row r="2547" spans="7:8">
      <c r="G2547" s="87"/>
      <c r="H2547" s="90"/>
    </row>
    <row r="2548" spans="7:8">
      <c r="G2548" s="87"/>
      <c r="H2548" s="90"/>
    </row>
    <row r="2549" spans="7:8">
      <c r="G2549" s="87"/>
      <c r="H2549" s="90"/>
    </row>
    <row r="2550" spans="7:8">
      <c r="G2550" s="87"/>
      <c r="H2550" s="90"/>
    </row>
    <row r="2551" spans="7:8">
      <c r="G2551" s="87"/>
      <c r="H2551" s="90"/>
    </row>
    <row r="2552" spans="7:8">
      <c r="G2552" s="87"/>
      <c r="H2552" s="90"/>
    </row>
    <row r="2553" spans="7:8">
      <c r="G2553" s="87"/>
      <c r="H2553" s="90"/>
    </row>
    <row r="2554" spans="7:8">
      <c r="G2554" s="87"/>
      <c r="H2554" s="90"/>
    </row>
    <row r="2555" spans="7:8">
      <c r="G2555" s="87"/>
      <c r="H2555" s="90"/>
    </row>
    <row r="2556" spans="7:8">
      <c r="G2556" s="87"/>
      <c r="H2556" s="90"/>
    </row>
    <row r="2557" spans="7:8">
      <c r="G2557" s="87"/>
      <c r="H2557" s="90"/>
    </row>
    <row r="2558" spans="7:8">
      <c r="G2558" s="87"/>
      <c r="H2558" s="90"/>
    </row>
    <row r="2559" spans="7:8">
      <c r="G2559" s="87"/>
      <c r="H2559" s="90"/>
    </row>
    <row r="2560" spans="7:8">
      <c r="G2560" s="87"/>
      <c r="H2560" s="90"/>
    </row>
    <row r="2561" spans="7:8">
      <c r="G2561" s="87"/>
      <c r="H2561" s="90"/>
    </row>
    <row r="2562" spans="7:8">
      <c r="G2562" s="87"/>
      <c r="H2562" s="90"/>
    </row>
    <row r="2563" spans="7:8">
      <c r="G2563" s="87"/>
      <c r="H2563" s="90"/>
    </row>
    <row r="2564" spans="7:8">
      <c r="G2564" s="87"/>
      <c r="H2564" s="90"/>
    </row>
    <row r="2565" spans="7:8">
      <c r="G2565" s="87"/>
      <c r="H2565" s="90"/>
    </row>
    <row r="2566" spans="7:8">
      <c r="G2566" s="87"/>
      <c r="H2566" s="90"/>
    </row>
    <row r="2567" spans="7:8">
      <c r="G2567" s="87"/>
      <c r="H2567" s="90"/>
    </row>
    <row r="2568" spans="7:8">
      <c r="G2568" s="87"/>
      <c r="H2568" s="90"/>
    </row>
    <row r="2569" spans="7:8">
      <c r="G2569" s="87"/>
      <c r="H2569" s="90"/>
    </row>
    <row r="2570" spans="7:8">
      <c r="G2570" s="87"/>
      <c r="H2570" s="90"/>
    </row>
    <row r="2571" spans="7:8">
      <c r="G2571" s="87"/>
      <c r="H2571" s="90"/>
    </row>
    <row r="2572" spans="7:8">
      <c r="G2572" s="87"/>
      <c r="H2572" s="90"/>
    </row>
    <row r="2573" spans="7:8">
      <c r="G2573" s="87"/>
      <c r="H2573" s="90"/>
    </row>
    <row r="2574" spans="7:8">
      <c r="G2574" s="87"/>
      <c r="H2574" s="90"/>
    </row>
    <row r="2575" spans="7:8">
      <c r="G2575" s="87"/>
      <c r="H2575" s="90"/>
    </row>
    <row r="2576" spans="7:8">
      <c r="G2576" s="87"/>
      <c r="H2576" s="90"/>
    </row>
    <row r="2577" spans="7:8">
      <c r="G2577" s="87"/>
      <c r="H2577" s="90"/>
    </row>
    <row r="2578" spans="7:8">
      <c r="G2578" s="87"/>
      <c r="H2578" s="90"/>
    </row>
    <row r="2579" spans="7:8">
      <c r="G2579" s="87"/>
      <c r="H2579" s="90"/>
    </row>
    <row r="2580" spans="7:8">
      <c r="G2580" s="87"/>
      <c r="H2580" s="90"/>
    </row>
    <row r="2581" spans="7:8">
      <c r="G2581" s="87"/>
      <c r="H2581" s="90"/>
    </row>
    <row r="2582" spans="7:8">
      <c r="G2582" s="87"/>
      <c r="H2582" s="90"/>
    </row>
    <row r="2583" spans="7:8">
      <c r="G2583" s="87"/>
      <c r="H2583" s="90"/>
    </row>
    <row r="2584" spans="7:8">
      <c r="G2584" s="87"/>
      <c r="H2584" s="90"/>
    </row>
    <row r="2585" spans="7:8">
      <c r="G2585" s="87"/>
      <c r="H2585" s="90"/>
    </row>
    <row r="2586" spans="7:8">
      <c r="G2586" s="87"/>
      <c r="H2586" s="90"/>
    </row>
    <row r="2587" spans="7:8">
      <c r="G2587" s="87"/>
      <c r="H2587" s="90"/>
    </row>
    <row r="2588" spans="7:8">
      <c r="G2588" s="87"/>
      <c r="H2588" s="90"/>
    </row>
    <row r="2589" spans="7:8">
      <c r="G2589" s="87"/>
      <c r="H2589" s="90"/>
    </row>
    <row r="2590" spans="7:8">
      <c r="G2590" s="87"/>
      <c r="H2590" s="90"/>
    </row>
    <row r="2591" spans="7:8">
      <c r="G2591" s="87"/>
      <c r="H2591" s="90"/>
    </row>
    <row r="2592" spans="7:8">
      <c r="G2592" s="87"/>
      <c r="H2592" s="90"/>
    </row>
    <row r="2593" spans="7:8">
      <c r="G2593" s="87"/>
      <c r="H2593" s="90"/>
    </row>
    <row r="2594" spans="7:8">
      <c r="G2594" s="87"/>
      <c r="H2594" s="90"/>
    </row>
    <row r="2595" spans="7:8">
      <c r="G2595" s="87"/>
      <c r="H2595" s="90"/>
    </row>
    <row r="2596" spans="7:8">
      <c r="G2596" s="87"/>
      <c r="H2596" s="90"/>
    </row>
    <row r="2597" spans="7:8">
      <c r="G2597" s="87"/>
      <c r="H2597" s="90"/>
    </row>
    <row r="2598" spans="7:8">
      <c r="G2598" s="87"/>
      <c r="H2598" s="90"/>
    </row>
    <row r="2599" spans="7:8">
      <c r="G2599" s="87"/>
      <c r="H2599" s="90"/>
    </row>
    <row r="2600" spans="7:8">
      <c r="G2600" s="87"/>
      <c r="H2600" s="90"/>
    </row>
    <row r="2601" spans="7:8">
      <c r="G2601" s="87"/>
      <c r="H2601" s="90"/>
    </row>
    <row r="2602" spans="7:8">
      <c r="G2602" s="87"/>
      <c r="H2602" s="90"/>
    </row>
    <row r="2603" spans="7:8">
      <c r="G2603" s="87"/>
      <c r="H2603" s="90"/>
    </row>
    <row r="2604" spans="7:8">
      <c r="G2604" s="87"/>
      <c r="H2604" s="90"/>
    </row>
    <row r="2605" spans="7:8">
      <c r="G2605" s="87"/>
      <c r="H2605" s="90"/>
    </row>
    <row r="2606" spans="7:8">
      <c r="G2606" s="87"/>
      <c r="H2606" s="90"/>
    </row>
    <row r="2607" spans="7:8">
      <c r="G2607" s="87"/>
      <c r="H2607" s="90"/>
    </row>
    <row r="2608" spans="7:8">
      <c r="G2608" s="87"/>
      <c r="H2608" s="90"/>
    </row>
    <row r="2609" spans="7:8">
      <c r="G2609" s="87"/>
      <c r="H2609" s="90"/>
    </row>
    <row r="2610" spans="7:8">
      <c r="G2610" s="87"/>
      <c r="H2610" s="90"/>
    </row>
    <row r="2611" spans="7:8">
      <c r="G2611" s="87"/>
      <c r="H2611" s="90"/>
    </row>
    <row r="2612" spans="7:8">
      <c r="G2612" s="87"/>
      <c r="H2612" s="90"/>
    </row>
    <row r="2613" spans="7:8">
      <c r="G2613" s="87"/>
      <c r="H2613" s="90"/>
    </row>
    <row r="2614" spans="7:8">
      <c r="G2614" s="87"/>
      <c r="H2614" s="90"/>
    </row>
    <row r="2615" spans="7:8">
      <c r="G2615" s="87"/>
      <c r="H2615" s="90"/>
    </row>
    <row r="2616" spans="7:8">
      <c r="G2616" s="87"/>
      <c r="H2616" s="90"/>
    </row>
    <row r="2617" spans="7:8">
      <c r="G2617" s="87"/>
      <c r="H2617" s="90"/>
    </row>
    <row r="2618" spans="7:8">
      <c r="G2618" s="87"/>
      <c r="H2618" s="90"/>
    </row>
    <row r="2619" spans="7:8">
      <c r="G2619" s="87"/>
      <c r="H2619" s="90"/>
    </row>
    <row r="2620" spans="7:8">
      <c r="G2620" s="87"/>
      <c r="H2620" s="90"/>
    </row>
    <row r="2621" spans="7:8">
      <c r="G2621" s="87"/>
      <c r="H2621" s="90"/>
    </row>
    <row r="2622" spans="7:8">
      <c r="G2622" s="87"/>
      <c r="H2622" s="90"/>
    </row>
    <row r="2623" spans="7:8">
      <c r="G2623" s="87"/>
      <c r="H2623" s="90"/>
    </row>
    <row r="2624" spans="7:8">
      <c r="G2624" s="87"/>
      <c r="H2624" s="90"/>
    </row>
    <row r="2625" spans="7:8">
      <c r="G2625" s="87"/>
      <c r="H2625" s="90"/>
    </row>
    <row r="2626" spans="7:8">
      <c r="G2626" s="87"/>
      <c r="H2626" s="90"/>
    </row>
    <row r="2627" spans="7:8">
      <c r="G2627" s="87"/>
      <c r="H2627" s="90"/>
    </row>
    <row r="2628" spans="7:8">
      <c r="G2628" s="87"/>
      <c r="H2628" s="90"/>
    </row>
    <row r="2629" spans="7:8">
      <c r="G2629" s="87"/>
      <c r="H2629" s="90"/>
    </row>
    <row r="2630" spans="7:8">
      <c r="G2630" s="87"/>
      <c r="H2630" s="90"/>
    </row>
    <row r="2631" spans="7:8">
      <c r="G2631" s="87"/>
      <c r="H2631" s="90"/>
    </row>
    <row r="2632" spans="7:8">
      <c r="G2632" s="87"/>
      <c r="H2632" s="90"/>
    </row>
    <row r="2633" spans="7:8">
      <c r="G2633" s="87"/>
      <c r="H2633" s="90"/>
    </row>
    <row r="2634" spans="7:8">
      <c r="G2634" s="87"/>
      <c r="H2634" s="90"/>
    </row>
    <row r="2635" spans="7:8">
      <c r="G2635" s="87"/>
      <c r="H2635" s="90"/>
    </row>
    <row r="2636" spans="7:8">
      <c r="G2636" s="87"/>
      <c r="H2636" s="90"/>
    </row>
    <row r="2637" spans="7:8">
      <c r="G2637" s="87"/>
      <c r="H2637" s="90"/>
    </row>
    <row r="2638" spans="7:8">
      <c r="G2638" s="87"/>
      <c r="H2638" s="90"/>
    </row>
    <row r="2639" spans="7:8">
      <c r="G2639" s="87"/>
      <c r="H2639" s="90"/>
    </row>
    <row r="2640" spans="7:8">
      <c r="G2640" s="87"/>
      <c r="H2640" s="90"/>
    </row>
    <row r="2641" spans="7:8">
      <c r="G2641" s="87"/>
      <c r="H2641" s="90"/>
    </row>
    <row r="2642" spans="7:8">
      <c r="G2642" s="87"/>
      <c r="H2642" s="90"/>
    </row>
    <row r="2643" spans="7:8">
      <c r="G2643" s="87"/>
      <c r="H2643" s="90"/>
    </row>
    <row r="2644" spans="7:8">
      <c r="G2644" s="87"/>
      <c r="H2644" s="90"/>
    </row>
    <row r="2645" spans="7:8">
      <c r="G2645" s="87"/>
      <c r="H2645" s="90"/>
    </row>
    <row r="2646" spans="7:8">
      <c r="G2646" s="87"/>
      <c r="H2646" s="90"/>
    </row>
    <row r="2647" spans="7:8">
      <c r="G2647" s="87"/>
      <c r="H2647" s="90"/>
    </row>
    <row r="2648" spans="7:8">
      <c r="G2648" s="87"/>
      <c r="H2648" s="90"/>
    </row>
    <row r="2649" spans="7:8">
      <c r="G2649" s="87"/>
      <c r="H2649" s="90"/>
    </row>
    <row r="2650" spans="7:8">
      <c r="G2650" s="87"/>
      <c r="H2650" s="90"/>
    </row>
    <row r="2651" spans="7:8">
      <c r="G2651" s="87"/>
      <c r="H2651" s="90"/>
    </row>
    <row r="2652" spans="7:8">
      <c r="G2652" s="87"/>
      <c r="H2652" s="90"/>
    </row>
    <row r="2653" spans="7:8">
      <c r="G2653" s="87"/>
      <c r="H2653" s="90"/>
    </row>
    <row r="2654" spans="7:8">
      <c r="G2654" s="87"/>
      <c r="H2654" s="90"/>
    </row>
    <row r="2655" spans="7:8">
      <c r="G2655" s="87"/>
      <c r="H2655" s="90"/>
    </row>
    <row r="2656" spans="7:8">
      <c r="G2656" s="87"/>
      <c r="H2656" s="90"/>
    </row>
    <row r="2657" spans="7:8">
      <c r="G2657" s="87"/>
      <c r="H2657" s="90"/>
    </row>
    <row r="2658" spans="7:8">
      <c r="G2658" s="87"/>
      <c r="H2658" s="90"/>
    </row>
    <row r="2659" spans="7:8">
      <c r="G2659" s="87"/>
      <c r="H2659" s="90"/>
    </row>
    <row r="2660" spans="7:8">
      <c r="G2660" s="87"/>
      <c r="H2660" s="90"/>
    </row>
    <row r="2661" spans="7:8">
      <c r="G2661" s="87"/>
      <c r="H2661" s="90"/>
    </row>
    <row r="2662" spans="7:8">
      <c r="G2662" s="87"/>
      <c r="H2662" s="90"/>
    </row>
    <row r="2663" spans="7:8">
      <c r="G2663" s="87"/>
      <c r="H2663" s="90"/>
    </row>
    <row r="2664" spans="7:8">
      <c r="G2664" s="87"/>
      <c r="H2664" s="90"/>
    </row>
    <row r="2665" spans="7:8">
      <c r="G2665" s="87"/>
      <c r="H2665" s="90"/>
    </row>
    <row r="2666" spans="7:8">
      <c r="G2666" s="87"/>
      <c r="H2666" s="90"/>
    </row>
    <row r="2667" spans="7:8">
      <c r="G2667" s="87"/>
      <c r="H2667" s="90"/>
    </row>
    <row r="2668" spans="7:8">
      <c r="G2668" s="87"/>
      <c r="H2668" s="90"/>
    </row>
    <row r="2669" spans="7:8">
      <c r="G2669" s="87"/>
      <c r="H2669" s="90"/>
    </row>
    <row r="2670" spans="7:8">
      <c r="G2670" s="87"/>
      <c r="H2670" s="90"/>
    </row>
    <row r="2671" spans="7:8">
      <c r="G2671" s="87"/>
      <c r="H2671" s="90"/>
    </row>
    <row r="2672" spans="7:8">
      <c r="G2672" s="87"/>
      <c r="H2672" s="90"/>
    </row>
    <row r="2673" spans="7:8">
      <c r="G2673" s="87"/>
      <c r="H2673" s="90"/>
    </row>
    <row r="2674" spans="7:8">
      <c r="G2674" s="87"/>
      <c r="H2674" s="90"/>
    </row>
    <row r="2675" spans="7:8">
      <c r="G2675" s="87"/>
      <c r="H2675" s="90"/>
    </row>
    <row r="2676" spans="7:8">
      <c r="G2676" s="87"/>
      <c r="H2676" s="90"/>
    </row>
    <row r="2677" spans="7:8">
      <c r="G2677" s="87"/>
      <c r="H2677" s="90"/>
    </row>
    <row r="2678" spans="7:8">
      <c r="G2678" s="87"/>
      <c r="H2678" s="90"/>
    </row>
    <row r="2679" spans="7:8">
      <c r="G2679" s="87"/>
      <c r="H2679" s="90"/>
    </row>
    <row r="2680" spans="7:8">
      <c r="G2680" s="87"/>
      <c r="H2680" s="90"/>
    </row>
    <row r="2681" spans="7:8">
      <c r="G2681" s="87"/>
      <c r="H2681" s="90"/>
    </row>
    <row r="2682" spans="7:8">
      <c r="G2682" s="87"/>
      <c r="H2682" s="90"/>
    </row>
    <row r="2683" spans="7:8">
      <c r="G2683" s="87"/>
      <c r="H2683" s="90"/>
    </row>
    <row r="2684" spans="7:8">
      <c r="G2684" s="87"/>
      <c r="H2684" s="90"/>
    </row>
    <row r="2685" spans="7:8">
      <c r="G2685" s="87"/>
      <c r="H2685" s="90"/>
    </row>
    <row r="2686" spans="7:8">
      <c r="G2686" s="87"/>
      <c r="H2686" s="90"/>
    </row>
    <row r="2687" spans="7:8">
      <c r="G2687" s="87"/>
      <c r="H2687" s="90"/>
    </row>
    <row r="2688" spans="7:8">
      <c r="G2688" s="87"/>
      <c r="H2688" s="90"/>
    </row>
    <row r="2689" spans="7:8">
      <c r="G2689" s="87"/>
      <c r="H2689" s="90"/>
    </row>
    <row r="2690" spans="7:8">
      <c r="G2690" s="87"/>
      <c r="H2690" s="90"/>
    </row>
    <row r="2691" spans="7:8">
      <c r="G2691" s="87"/>
      <c r="H2691" s="90"/>
    </row>
    <row r="2692" spans="7:8">
      <c r="G2692" s="87"/>
      <c r="H2692" s="90"/>
    </row>
    <row r="2693" spans="7:8">
      <c r="G2693" s="87"/>
      <c r="H2693" s="90"/>
    </row>
    <row r="2694" spans="7:8">
      <c r="G2694" s="87"/>
      <c r="H2694" s="90"/>
    </row>
    <row r="2695" spans="7:8">
      <c r="G2695" s="87"/>
      <c r="H2695" s="90"/>
    </row>
    <row r="2696" spans="7:8">
      <c r="G2696" s="87"/>
      <c r="H2696" s="90"/>
    </row>
    <row r="2697" spans="7:8">
      <c r="G2697" s="87"/>
      <c r="H2697" s="90"/>
    </row>
    <row r="2698" spans="7:8">
      <c r="G2698" s="87"/>
      <c r="H2698" s="90"/>
    </row>
    <row r="2699" spans="7:8">
      <c r="G2699" s="87"/>
      <c r="H2699" s="90"/>
    </row>
    <row r="2700" spans="7:8">
      <c r="G2700" s="87"/>
      <c r="H2700" s="90"/>
    </row>
    <row r="2701" spans="7:8">
      <c r="G2701" s="87"/>
      <c r="H2701" s="90"/>
    </row>
    <row r="2702" spans="7:8">
      <c r="G2702" s="87"/>
      <c r="H2702" s="90"/>
    </row>
    <row r="2703" spans="7:8">
      <c r="G2703" s="87"/>
      <c r="H2703" s="90"/>
    </row>
    <row r="2704" spans="7:8">
      <c r="G2704" s="87"/>
      <c r="H2704" s="90"/>
    </row>
    <row r="2705" spans="7:8">
      <c r="G2705" s="87"/>
      <c r="H2705" s="90"/>
    </row>
    <row r="2706" spans="7:8">
      <c r="G2706" s="87"/>
      <c r="H2706" s="90"/>
    </row>
    <row r="2707" spans="7:8">
      <c r="G2707" s="87"/>
      <c r="H2707" s="90"/>
    </row>
    <row r="2708" spans="7:8">
      <c r="G2708" s="87"/>
      <c r="H2708" s="90"/>
    </row>
    <row r="2709" spans="7:8">
      <c r="G2709" s="87"/>
      <c r="H2709" s="90"/>
    </row>
    <row r="2710" spans="7:8">
      <c r="G2710" s="87"/>
      <c r="H2710" s="90"/>
    </row>
    <row r="2711" spans="7:8">
      <c r="G2711" s="87"/>
      <c r="H2711" s="90"/>
    </row>
    <row r="2712" spans="7:8">
      <c r="G2712" s="87"/>
      <c r="H2712" s="90"/>
    </row>
    <row r="2713" spans="7:8">
      <c r="G2713" s="87"/>
      <c r="H2713" s="90"/>
    </row>
    <row r="2714" spans="7:8">
      <c r="G2714" s="87"/>
      <c r="H2714" s="90"/>
    </row>
    <row r="2715" spans="7:8">
      <c r="G2715" s="87"/>
      <c r="H2715" s="90"/>
    </row>
    <row r="2716" spans="7:8">
      <c r="G2716" s="87"/>
      <c r="H2716" s="90"/>
    </row>
    <row r="2717" spans="7:8">
      <c r="G2717" s="87"/>
      <c r="H2717" s="90"/>
    </row>
    <row r="2718" spans="7:8">
      <c r="G2718" s="87"/>
      <c r="H2718" s="90"/>
    </row>
    <row r="2719" spans="7:8">
      <c r="G2719" s="87"/>
      <c r="H2719" s="90"/>
    </row>
    <row r="2720" spans="7:8">
      <c r="G2720" s="87"/>
      <c r="H2720" s="90"/>
    </row>
    <row r="2721" spans="7:8">
      <c r="G2721" s="87"/>
      <c r="H2721" s="90"/>
    </row>
    <row r="2722" spans="7:8">
      <c r="G2722" s="87"/>
      <c r="H2722" s="90"/>
    </row>
    <row r="2723" spans="7:8">
      <c r="G2723" s="87"/>
      <c r="H2723" s="90"/>
    </row>
    <row r="2724" spans="7:8">
      <c r="G2724" s="87"/>
      <c r="H2724" s="90"/>
    </row>
    <row r="2725" spans="7:8">
      <c r="G2725" s="87"/>
      <c r="H2725" s="90"/>
    </row>
    <row r="2726" spans="7:8">
      <c r="G2726" s="87"/>
      <c r="H2726" s="90"/>
    </row>
    <row r="2727" spans="7:8">
      <c r="G2727" s="87"/>
      <c r="H2727" s="90"/>
    </row>
    <row r="2728" spans="7:8">
      <c r="G2728" s="87"/>
      <c r="H2728" s="90"/>
    </row>
    <row r="2729" spans="7:8">
      <c r="G2729" s="87"/>
      <c r="H2729" s="90"/>
    </row>
    <row r="2730" spans="7:8">
      <c r="G2730" s="87"/>
      <c r="H2730" s="90"/>
    </row>
    <row r="2731" spans="7:8">
      <c r="G2731" s="87"/>
      <c r="H2731" s="90"/>
    </row>
    <row r="2732" spans="7:8">
      <c r="G2732" s="87"/>
      <c r="H2732" s="90"/>
    </row>
    <row r="2733" spans="7:8">
      <c r="G2733" s="87"/>
      <c r="H2733" s="90"/>
    </row>
    <row r="2734" spans="7:8">
      <c r="G2734" s="87"/>
      <c r="H2734" s="90"/>
    </row>
    <row r="2735" spans="7:8">
      <c r="G2735" s="87"/>
      <c r="H2735" s="90"/>
    </row>
    <row r="2736" spans="7:8">
      <c r="G2736" s="87"/>
      <c r="H2736" s="90"/>
    </row>
    <row r="2737" spans="7:8">
      <c r="G2737" s="87"/>
      <c r="H2737" s="90"/>
    </row>
    <row r="2738" spans="7:8">
      <c r="G2738" s="87"/>
      <c r="H2738" s="90"/>
    </row>
    <row r="2739" spans="7:8">
      <c r="G2739" s="87"/>
      <c r="H2739" s="90"/>
    </row>
    <row r="2740" spans="7:8">
      <c r="G2740" s="87"/>
      <c r="H2740" s="90"/>
    </row>
    <row r="2741" spans="7:8">
      <c r="G2741" s="87"/>
      <c r="H2741" s="90"/>
    </row>
    <row r="2742" spans="7:8">
      <c r="G2742" s="87"/>
      <c r="H2742" s="90"/>
    </row>
    <row r="2743" spans="7:8">
      <c r="G2743" s="87"/>
      <c r="H2743" s="90"/>
    </row>
    <row r="2744" spans="7:8">
      <c r="G2744" s="87"/>
      <c r="H2744" s="90"/>
    </row>
    <row r="2745" spans="7:8">
      <c r="G2745" s="87"/>
      <c r="H2745" s="90"/>
    </row>
    <row r="2746" spans="7:8">
      <c r="G2746" s="87"/>
      <c r="H2746" s="90"/>
    </row>
    <row r="2747" spans="7:8">
      <c r="G2747" s="87"/>
      <c r="H2747" s="90"/>
    </row>
    <row r="2748" spans="7:8">
      <c r="G2748" s="87"/>
      <c r="H2748" s="90"/>
    </row>
    <row r="2749" spans="7:8">
      <c r="G2749" s="87"/>
      <c r="H2749" s="90"/>
    </row>
    <row r="2750" spans="7:8">
      <c r="G2750" s="87"/>
      <c r="H2750" s="90"/>
    </row>
    <row r="2751" spans="7:8">
      <c r="G2751" s="87"/>
      <c r="H2751" s="90"/>
    </row>
    <row r="2752" spans="7:8">
      <c r="G2752" s="87"/>
      <c r="H2752" s="90"/>
    </row>
    <row r="2753" spans="7:8">
      <c r="G2753" s="87"/>
      <c r="H2753" s="90"/>
    </row>
    <row r="2754" spans="7:8">
      <c r="G2754" s="87"/>
      <c r="H2754" s="90"/>
    </row>
    <row r="2755" spans="7:8">
      <c r="G2755" s="87"/>
      <c r="H2755" s="90"/>
    </row>
    <row r="2756" spans="7:8">
      <c r="G2756" s="87"/>
      <c r="H2756" s="90"/>
    </row>
    <row r="2757" spans="7:8">
      <c r="G2757" s="87"/>
      <c r="H2757" s="90"/>
    </row>
    <row r="2758" spans="7:8">
      <c r="G2758" s="87"/>
      <c r="H2758" s="90"/>
    </row>
    <row r="2759" spans="7:8">
      <c r="G2759" s="87"/>
      <c r="H2759" s="90"/>
    </row>
    <row r="2760" spans="7:8">
      <c r="G2760" s="87"/>
      <c r="H2760" s="90"/>
    </row>
    <row r="2761" spans="7:8">
      <c r="G2761" s="87"/>
      <c r="H2761" s="90"/>
    </row>
    <row r="2762" spans="7:8">
      <c r="G2762" s="87"/>
      <c r="H2762" s="90"/>
    </row>
    <row r="2763" spans="7:8">
      <c r="G2763" s="87"/>
      <c r="H2763" s="90"/>
    </row>
    <row r="2764" spans="7:8">
      <c r="G2764" s="87"/>
      <c r="H2764" s="90"/>
    </row>
    <row r="2765" spans="7:8">
      <c r="G2765" s="87"/>
      <c r="H2765" s="90"/>
    </row>
    <row r="2766" spans="7:8">
      <c r="G2766" s="87"/>
      <c r="H2766" s="90"/>
    </row>
    <row r="2767" spans="7:8">
      <c r="G2767" s="87"/>
      <c r="H2767" s="90"/>
    </row>
    <row r="2768" spans="7:8">
      <c r="G2768" s="87"/>
      <c r="H2768" s="90"/>
    </row>
    <row r="2769" spans="7:8">
      <c r="G2769" s="87"/>
      <c r="H2769" s="90"/>
    </row>
    <row r="2770" spans="7:8">
      <c r="G2770" s="87"/>
      <c r="H2770" s="90"/>
    </row>
    <row r="2771" spans="7:8">
      <c r="G2771" s="87"/>
      <c r="H2771" s="90"/>
    </row>
    <row r="2772" spans="7:8">
      <c r="G2772" s="87"/>
      <c r="H2772" s="90"/>
    </row>
    <row r="2773" spans="7:8">
      <c r="G2773" s="87"/>
      <c r="H2773" s="90"/>
    </row>
    <row r="2774" spans="7:8">
      <c r="G2774" s="87"/>
      <c r="H2774" s="90"/>
    </row>
    <row r="2775" spans="7:8">
      <c r="G2775" s="87"/>
      <c r="H2775" s="90"/>
    </row>
    <row r="2776" spans="7:8">
      <c r="G2776" s="87"/>
      <c r="H2776" s="90"/>
    </row>
    <row r="2777" spans="7:8">
      <c r="G2777" s="87"/>
      <c r="H2777" s="90"/>
    </row>
    <row r="2778" spans="7:8">
      <c r="G2778" s="87"/>
      <c r="H2778" s="90"/>
    </row>
    <row r="2779" spans="7:8">
      <c r="G2779" s="87"/>
      <c r="H2779" s="90"/>
    </row>
    <row r="2780" spans="7:8">
      <c r="G2780" s="87"/>
      <c r="H2780" s="90"/>
    </row>
    <row r="2781" spans="7:8">
      <c r="G2781" s="87"/>
      <c r="H2781" s="90"/>
    </row>
    <row r="2782" spans="7:8">
      <c r="G2782" s="87"/>
      <c r="H2782" s="90"/>
    </row>
    <row r="2783" spans="7:8">
      <c r="G2783" s="87"/>
      <c r="H2783" s="90"/>
    </row>
    <row r="2784" spans="7:8">
      <c r="G2784" s="87"/>
      <c r="H2784" s="90"/>
    </row>
    <row r="2785" spans="7:8">
      <c r="G2785" s="87"/>
      <c r="H2785" s="90"/>
    </row>
    <row r="2786" spans="7:8">
      <c r="G2786" s="87"/>
      <c r="H2786" s="90"/>
    </row>
    <row r="2787" spans="7:8">
      <c r="G2787" s="87"/>
      <c r="H2787" s="90"/>
    </row>
    <row r="2788" spans="7:8">
      <c r="G2788" s="87"/>
      <c r="H2788" s="90"/>
    </row>
    <row r="2789" spans="7:8">
      <c r="G2789" s="87"/>
      <c r="H2789" s="90"/>
    </row>
    <row r="2790" spans="7:8">
      <c r="G2790" s="87"/>
      <c r="H2790" s="90"/>
    </row>
    <row r="2791" spans="7:8">
      <c r="G2791" s="87"/>
      <c r="H2791" s="90"/>
    </row>
    <row r="2792" spans="7:8">
      <c r="G2792" s="87"/>
      <c r="H2792" s="90"/>
    </row>
    <row r="2793" spans="7:8">
      <c r="G2793" s="87"/>
      <c r="H2793" s="90"/>
    </row>
    <row r="2794" spans="7:8">
      <c r="G2794" s="87"/>
      <c r="H2794" s="90"/>
    </row>
    <row r="2795" spans="7:8">
      <c r="G2795" s="87"/>
      <c r="H2795" s="90"/>
    </row>
    <row r="2796" spans="7:8">
      <c r="G2796" s="87"/>
      <c r="H2796" s="90"/>
    </row>
    <row r="2797" spans="7:8">
      <c r="G2797" s="87"/>
      <c r="H2797" s="90"/>
    </row>
    <row r="2798" spans="7:8">
      <c r="G2798" s="87"/>
      <c r="H2798" s="90"/>
    </row>
    <row r="2799" spans="7:8">
      <c r="G2799" s="87"/>
      <c r="H2799" s="90"/>
    </row>
    <row r="2800" spans="7:8">
      <c r="G2800" s="87"/>
      <c r="H2800" s="90"/>
    </row>
    <row r="2801" spans="7:8">
      <c r="G2801" s="87"/>
      <c r="H2801" s="90"/>
    </row>
    <row r="2802" spans="7:8">
      <c r="G2802" s="87"/>
      <c r="H2802" s="90"/>
    </row>
    <row r="2803" spans="7:8">
      <c r="G2803" s="87"/>
      <c r="H2803" s="90"/>
    </row>
    <row r="2804" spans="7:8">
      <c r="G2804" s="87"/>
      <c r="H2804" s="90"/>
    </row>
    <row r="2805" spans="7:8">
      <c r="G2805" s="87"/>
      <c r="H2805" s="90"/>
    </row>
    <row r="2806" spans="7:8">
      <c r="G2806" s="87"/>
      <c r="H2806" s="90"/>
    </row>
    <row r="2807" spans="7:8">
      <c r="G2807" s="87"/>
      <c r="H2807" s="90"/>
    </row>
    <row r="2808" spans="7:8">
      <c r="G2808" s="87"/>
      <c r="H2808" s="90"/>
    </row>
    <row r="2809" spans="7:8">
      <c r="G2809" s="87"/>
      <c r="H2809" s="90"/>
    </row>
    <row r="2810" spans="7:8">
      <c r="G2810" s="87"/>
      <c r="H2810" s="90"/>
    </row>
    <row r="2811" spans="7:8">
      <c r="G2811" s="87"/>
      <c r="H2811" s="90"/>
    </row>
    <row r="2812" spans="7:8">
      <c r="G2812" s="87"/>
      <c r="H2812" s="90"/>
    </row>
    <row r="2813" spans="7:8">
      <c r="G2813" s="87"/>
      <c r="H2813" s="90"/>
    </row>
    <row r="2814" spans="7:8">
      <c r="G2814" s="87"/>
      <c r="H2814" s="90"/>
    </row>
    <row r="2815" spans="7:8">
      <c r="G2815" s="87"/>
      <c r="H2815" s="90"/>
    </row>
    <row r="2816" spans="7:8">
      <c r="G2816" s="87"/>
      <c r="H2816" s="90"/>
    </row>
    <row r="2817" spans="7:8">
      <c r="G2817" s="87"/>
      <c r="H2817" s="90"/>
    </row>
    <row r="2818" spans="7:8">
      <c r="G2818" s="87"/>
      <c r="H2818" s="90"/>
    </row>
    <row r="2819" spans="7:8">
      <c r="G2819" s="87"/>
      <c r="H2819" s="90"/>
    </row>
    <row r="2820" spans="7:8">
      <c r="G2820" s="87"/>
      <c r="H2820" s="90"/>
    </row>
    <row r="2821" spans="7:8">
      <c r="G2821" s="87"/>
      <c r="H2821" s="90"/>
    </row>
    <row r="2822" spans="7:8">
      <c r="G2822" s="87"/>
      <c r="H2822" s="90"/>
    </row>
    <row r="2823" spans="7:8">
      <c r="G2823" s="87"/>
      <c r="H2823" s="90"/>
    </row>
    <row r="2824" spans="7:8">
      <c r="G2824" s="87"/>
      <c r="H2824" s="90"/>
    </row>
    <row r="2825" spans="7:8">
      <c r="G2825" s="87"/>
      <c r="H2825" s="90"/>
    </row>
    <row r="2826" spans="7:8">
      <c r="G2826" s="87"/>
      <c r="H2826" s="90"/>
    </row>
    <row r="2827" spans="7:8">
      <c r="G2827" s="87"/>
      <c r="H2827" s="90"/>
    </row>
    <row r="2828" spans="7:8">
      <c r="G2828" s="87"/>
      <c r="H2828" s="90"/>
    </row>
    <row r="2829" spans="7:8">
      <c r="G2829" s="87"/>
      <c r="H2829" s="90"/>
    </row>
    <row r="2830" spans="7:8">
      <c r="G2830" s="87"/>
      <c r="H2830" s="90"/>
    </row>
    <row r="2831" spans="7:8">
      <c r="G2831" s="87"/>
      <c r="H2831" s="90"/>
    </row>
    <row r="2832" spans="7:8">
      <c r="G2832" s="87"/>
      <c r="H2832" s="90"/>
    </row>
    <row r="2833" spans="7:8">
      <c r="G2833" s="87"/>
      <c r="H2833" s="90"/>
    </row>
    <row r="2834" spans="7:8">
      <c r="G2834" s="87"/>
      <c r="H2834" s="90"/>
    </row>
    <row r="2835" spans="7:8">
      <c r="G2835" s="87"/>
      <c r="H2835" s="90"/>
    </row>
    <row r="2836" spans="7:8">
      <c r="G2836" s="87"/>
      <c r="H2836" s="90"/>
    </row>
    <row r="2837" spans="7:8">
      <c r="G2837" s="87"/>
      <c r="H2837" s="90"/>
    </row>
    <row r="2838" spans="7:8">
      <c r="G2838" s="87"/>
      <c r="H2838" s="90"/>
    </row>
    <row r="2839" spans="7:8">
      <c r="G2839" s="87"/>
      <c r="H2839" s="90"/>
    </row>
    <row r="2840" spans="7:8">
      <c r="G2840" s="87"/>
      <c r="H2840" s="90"/>
    </row>
    <row r="2841" spans="7:8">
      <c r="G2841" s="87"/>
      <c r="H2841" s="90"/>
    </row>
    <row r="2842" spans="7:8">
      <c r="G2842" s="87"/>
      <c r="H2842" s="90"/>
    </row>
    <row r="2843" spans="7:8">
      <c r="G2843" s="87"/>
      <c r="H2843" s="90"/>
    </row>
    <row r="2844" spans="7:8">
      <c r="G2844" s="87"/>
      <c r="H2844" s="90"/>
    </row>
    <row r="2845" spans="7:8">
      <c r="G2845" s="87"/>
      <c r="H2845" s="90"/>
    </row>
    <row r="2846" spans="7:8">
      <c r="G2846" s="87"/>
      <c r="H2846" s="90"/>
    </row>
    <row r="2847" spans="7:8">
      <c r="G2847" s="87"/>
      <c r="H2847" s="90"/>
    </row>
    <row r="2848" spans="7:8">
      <c r="G2848" s="87"/>
      <c r="H2848" s="90"/>
    </row>
    <row r="2849" spans="7:8">
      <c r="G2849" s="87"/>
      <c r="H2849" s="90"/>
    </row>
    <row r="2850" spans="7:8">
      <c r="G2850" s="87"/>
      <c r="H2850" s="90"/>
    </row>
    <row r="2851" spans="7:8">
      <c r="G2851" s="87"/>
      <c r="H2851" s="90"/>
    </row>
    <row r="2852" spans="7:8">
      <c r="G2852" s="87"/>
      <c r="H2852" s="90"/>
    </row>
    <row r="2853" spans="7:8">
      <c r="G2853" s="87"/>
      <c r="H2853" s="90"/>
    </row>
    <row r="2854" spans="7:8">
      <c r="G2854" s="87"/>
      <c r="H2854" s="90"/>
    </row>
    <row r="2855" spans="7:8">
      <c r="G2855" s="87"/>
      <c r="H2855" s="90"/>
    </row>
    <row r="2856" spans="7:8">
      <c r="G2856" s="87"/>
      <c r="H2856" s="90"/>
    </row>
    <row r="2857" spans="7:8">
      <c r="G2857" s="87"/>
      <c r="H2857" s="90"/>
    </row>
    <row r="2858" spans="7:8">
      <c r="G2858" s="87"/>
      <c r="H2858" s="90"/>
    </row>
    <row r="2859" spans="7:8">
      <c r="G2859" s="87"/>
      <c r="H2859" s="90"/>
    </row>
    <row r="2860" spans="7:8">
      <c r="G2860" s="87"/>
      <c r="H2860" s="90"/>
    </row>
    <row r="2861" spans="7:8">
      <c r="G2861" s="87"/>
      <c r="H2861" s="90"/>
    </row>
    <row r="2862" spans="7:8">
      <c r="G2862" s="87"/>
      <c r="H2862" s="90"/>
    </row>
    <row r="2863" spans="7:8">
      <c r="G2863" s="87"/>
      <c r="H2863" s="90"/>
    </row>
    <row r="2864" spans="7:8">
      <c r="G2864" s="87"/>
      <c r="H2864" s="90"/>
    </row>
    <row r="2865" spans="7:8">
      <c r="G2865" s="87"/>
      <c r="H2865" s="90"/>
    </row>
    <row r="2866" spans="7:8">
      <c r="G2866" s="87"/>
      <c r="H2866" s="90"/>
    </row>
    <row r="2867" spans="7:8">
      <c r="G2867" s="87"/>
      <c r="H2867" s="90"/>
    </row>
    <row r="2868" spans="7:8">
      <c r="G2868" s="87"/>
      <c r="H2868" s="90"/>
    </row>
    <row r="2869" spans="7:8">
      <c r="G2869" s="87"/>
      <c r="H2869" s="90"/>
    </row>
    <row r="2870" spans="7:8">
      <c r="G2870" s="87"/>
      <c r="H2870" s="90"/>
    </row>
    <row r="2871" spans="7:8">
      <c r="G2871" s="87"/>
      <c r="H2871" s="90"/>
    </row>
    <row r="2872" spans="7:8">
      <c r="G2872" s="87"/>
      <c r="H2872" s="90"/>
    </row>
    <row r="2873" spans="7:8">
      <c r="G2873" s="87"/>
      <c r="H2873" s="90"/>
    </row>
    <row r="2874" spans="7:8">
      <c r="G2874" s="87"/>
      <c r="H2874" s="90"/>
    </row>
    <row r="2875" spans="7:8">
      <c r="G2875" s="87"/>
      <c r="H2875" s="90"/>
    </row>
    <row r="2876" spans="7:8">
      <c r="G2876" s="87"/>
      <c r="H2876" s="90"/>
    </row>
    <row r="2877" spans="7:8">
      <c r="G2877" s="87"/>
      <c r="H2877" s="90"/>
    </row>
    <row r="2878" spans="7:8">
      <c r="G2878" s="87"/>
      <c r="H2878" s="90"/>
    </row>
    <row r="2879" spans="7:8">
      <c r="G2879" s="87"/>
      <c r="H2879" s="90"/>
    </row>
    <row r="2880" spans="7:8">
      <c r="G2880" s="87"/>
      <c r="H2880" s="90"/>
    </row>
    <row r="2881" spans="7:8">
      <c r="G2881" s="87"/>
      <c r="H2881" s="90"/>
    </row>
    <row r="2882" spans="7:8">
      <c r="G2882" s="87"/>
      <c r="H2882" s="90"/>
    </row>
    <row r="2883" spans="7:8">
      <c r="G2883" s="87"/>
      <c r="H2883" s="90"/>
    </row>
    <row r="2884" spans="7:8">
      <c r="G2884" s="87"/>
      <c r="H2884" s="90"/>
    </row>
    <row r="2885" spans="7:8">
      <c r="G2885" s="87"/>
      <c r="H2885" s="90"/>
    </row>
    <row r="2886" spans="7:8">
      <c r="G2886" s="87"/>
      <c r="H2886" s="90"/>
    </row>
    <row r="2887" spans="7:8">
      <c r="G2887" s="87"/>
      <c r="H2887" s="90"/>
    </row>
    <row r="2888" spans="7:8">
      <c r="G2888" s="87"/>
      <c r="H2888" s="90"/>
    </row>
    <row r="2889" spans="7:8">
      <c r="G2889" s="87"/>
      <c r="H2889" s="90"/>
    </row>
    <row r="2890" spans="7:8">
      <c r="G2890" s="87"/>
      <c r="H2890" s="90"/>
    </row>
    <row r="2891" spans="7:8">
      <c r="G2891" s="87"/>
      <c r="H2891" s="90"/>
    </row>
    <row r="2892" spans="7:8">
      <c r="G2892" s="87"/>
      <c r="H2892" s="90"/>
    </row>
    <row r="2893" spans="7:8">
      <c r="G2893" s="87"/>
      <c r="H2893" s="90"/>
    </row>
    <row r="2894" spans="7:8">
      <c r="G2894" s="87"/>
      <c r="H2894" s="90"/>
    </row>
    <row r="2895" spans="7:8">
      <c r="G2895" s="87"/>
      <c r="H2895" s="90"/>
    </row>
    <row r="2896" spans="7:8">
      <c r="G2896" s="87"/>
      <c r="H2896" s="90"/>
    </row>
    <row r="2897" spans="7:8">
      <c r="G2897" s="87"/>
      <c r="H2897" s="90"/>
    </row>
    <row r="2898" spans="7:8">
      <c r="G2898" s="87"/>
      <c r="H2898" s="90"/>
    </row>
    <row r="2899" spans="7:8">
      <c r="G2899" s="87"/>
      <c r="H2899" s="90"/>
    </row>
    <row r="2900" spans="7:8">
      <c r="G2900" s="87"/>
      <c r="H2900" s="90"/>
    </row>
    <row r="2901" spans="7:8">
      <c r="G2901" s="87"/>
      <c r="H2901" s="90"/>
    </row>
    <row r="2902" spans="7:8">
      <c r="G2902" s="87"/>
      <c r="H2902" s="90"/>
    </row>
    <row r="2903" spans="7:8">
      <c r="G2903" s="87"/>
      <c r="H2903" s="90"/>
    </row>
    <row r="2904" spans="7:8">
      <c r="G2904" s="87"/>
      <c r="H2904" s="90"/>
    </row>
    <row r="2905" spans="7:8">
      <c r="G2905" s="87"/>
      <c r="H2905" s="90"/>
    </row>
    <row r="2906" spans="7:8">
      <c r="G2906" s="87"/>
      <c r="H2906" s="90"/>
    </row>
    <row r="2907" spans="7:8">
      <c r="G2907" s="87"/>
      <c r="H2907" s="90"/>
    </row>
    <row r="2908" spans="7:8">
      <c r="G2908" s="87"/>
      <c r="H2908" s="90"/>
    </row>
    <row r="2909" spans="7:8">
      <c r="G2909" s="87"/>
      <c r="H2909" s="90"/>
    </row>
    <row r="2910" spans="7:8">
      <c r="G2910" s="87"/>
      <c r="H2910" s="90"/>
    </row>
    <row r="2911" spans="7:8">
      <c r="G2911" s="87"/>
      <c r="H2911" s="90"/>
    </row>
    <row r="2912" spans="7:8">
      <c r="G2912" s="87"/>
      <c r="H2912" s="90"/>
    </row>
    <row r="2913" spans="7:8">
      <c r="G2913" s="87"/>
      <c r="H2913" s="90"/>
    </row>
    <row r="2914" spans="7:8">
      <c r="G2914" s="87"/>
      <c r="H2914" s="90"/>
    </row>
    <row r="2915" spans="7:8">
      <c r="G2915" s="87"/>
      <c r="H2915" s="90"/>
    </row>
    <row r="2916" spans="7:8">
      <c r="G2916" s="87"/>
      <c r="H2916" s="90"/>
    </row>
    <row r="2917" spans="7:8">
      <c r="G2917" s="87"/>
      <c r="H2917" s="90"/>
    </row>
    <row r="2918" spans="7:8">
      <c r="G2918" s="87"/>
      <c r="H2918" s="90"/>
    </row>
    <row r="2919" spans="7:8">
      <c r="G2919" s="87"/>
      <c r="H2919" s="90"/>
    </row>
    <row r="2920" spans="7:8">
      <c r="G2920" s="87"/>
      <c r="H2920" s="90"/>
    </row>
    <row r="2921" spans="7:8">
      <c r="G2921" s="87"/>
      <c r="H2921" s="90"/>
    </row>
    <row r="2922" spans="7:8">
      <c r="G2922" s="87"/>
      <c r="H2922" s="90"/>
    </row>
    <row r="2923" spans="7:8">
      <c r="G2923" s="87"/>
      <c r="H2923" s="90"/>
    </row>
    <row r="2924" spans="7:8">
      <c r="G2924" s="87"/>
      <c r="H2924" s="90"/>
    </row>
    <row r="2925" spans="7:8">
      <c r="G2925" s="87"/>
      <c r="H2925" s="90"/>
    </row>
    <row r="2926" spans="7:8">
      <c r="G2926" s="87"/>
      <c r="H2926" s="90"/>
    </row>
    <row r="2927" spans="7:8">
      <c r="G2927" s="87"/>
      <c r="H2927" s="90"/>
    </row>
    <row r="2928" spans="7:8">
      <c r="G2928" s="87"/>
      <c r="H2928" s="90"/>
    </row>
    <row r="2929" spans="7:8">
      <c r="G2929" s="87"/>
      <c r="H2929" s="90"/>
    </row>
    <row r="2930" spans="7:8">
      <c r="G2930" s="87"/>
      <c r="H2930" s="90"/>
    </row>
    <row r="2931" spans="7:8">
      <c r="G2931" s="87"/>
      <c r="H2931" s="90"/>
    </row>
    <row r="2932" spans="7:8">
      <c r="G2932" s="87"/>
      <c r="H2932" s="90"/>
    </row>
    <row r="2933" spans="7:8">
      <c r="G2933" s="87"/>
      <c r="H2933" s="90"/>
    </row>
    <row r="2934" spans="7:8">
      <c r="G2934" s="87"/>
      <c r="H2934" s="90"/>
    </row>
    <row r="2935" spans="7:8">
      <c r="G2935" s="87"/>
      <c r="H2935" s="90"/>
    </row>
    <row r="2936" spans="7:8">
      <c r="G2936" s="87"/>
      <c r="H2936" s="90"/>
    </row>
    <row r="2937" spans="7:8">
      <c r="G2937" s="87"/>
      <c r="H2937" s="90"/>
    </row>
    <row r="2938" spans="7:8">
      <c r="G2938" s="87"/>
      <c r="H2938" s="90"/>
    </row>
    <row r="2939" spans="7:8">
      <c r="G2939" s="87"/>
      <c r="H2939" s="90"/>
    </row>
    <row r="2940" spans="7:8">
      <c r="G2940" s="87"/>
      <c r="H2940" s="90"/>
    </row>
    <row r="2941" spans="7:8">
      <c r="G2941" s="87"/>
      <c r="H2941" s="90"/>
    </row>
    <row r="2942" spans="7:8">
      <c r="G2942" s="87"/>
      <c r="H2942" s="90"/>
    </row>
    <row r="2943" spans="7:8">
      <c r="G2943" s="87"/>
      <c r="H2943" s="90"/>
    </row>
    <row r="2944" spans="7:8">
      <c r="G2944" s="87"/>
      <c r="H2944" s="90"/>
    </row>
    <row r="2945" spans="7:8">
      <c r="G2945" s="87"/>
      <c r="H2945" s="90"/>
    </row>
    <row r="2946" spans="7:8">
      <c r="G2946" s="87"/>
      <c r="H2946" s="90"/>
    </row>
    <row r="2947" spans="7:8">
      <c r="G2947" s="87"/>
      <c r="H2947" s="90"/>
    </row>
    <row r="2948" spans="7:8">
      <c r="G2948" s="87"/>
      <c r="H2948" s="90"/>
    </row>
    <row r="2949" spans="7:8">
      <c r="G2949" s="87"/>
      <c r="H2949" s="90"/>
    </row>
    <row r="2950" spans="7:8">
      <c r="G2950" s="87"/>
      <c r="H2950" s="90"/>
    </row>
    <row r="2951" spans="7:8">
      <c r="G2951" s="87"/>
      <c r="H2951" s="90"/>
    </row>
    <row r="2952" spans="7:8">
      <c r="G2952" s="87"/>
      <c r="H2952" s="90"/>
    </row>
    <row r="2953" spans="7:8">
      <c r="G2953" s="87"/>
      <c r="H2953" s="90"/>
    </row>
    <row r="2954" spans="7:8">
      <c r="G2954" s="87"/>
      <c r="H2954" s="90"/>
    </row>
    <row r="2955" spans="7:8">
      <c r="G2955" s="87"/>
      <c r="H2955" s="90"/>
    </row>
    <row r="2956" spans="7:8">
      <c r="G2956" s="87"/>
      <c r="H2956" s="90"/>
    </row>
    <row r="2957" spans="7:8">
      <c r="G2957" s="87"/>
      <c r="H2957" s="90"/>
    </row>
    <row r="2958" spans="7:8">
      <c r="G2958" s="87"/>
      <c r="H2958" s="90"/>
    </row>
    <row r="2959" spans="7:8">
      <c r="G2959" s="87"/>
      <c r="H2959" s="90"/>
    </row>
    <row r="2960" spans="7:8">
      <c r="G2960" s="87"/>
      <c r="H2960" s="90"/>
    </row>
    <row r="2961" spans="7:8">
      <c r="G2961" s="87"/>
      <c r="H2961" s="90"/>
    </row>
    <row r="2962" spans="7:8">
      <c r="G2962" s="87"/>
      <c r="H2962" s="90"/>
    </row>
    <row r="2963" spans="7:8">
      <c r="G2963" s="87"/>
      <c r="H2963" s="90"/>
    </row>
    <row r="2964" spans="7:8">
      <c r="G2964" s="87"/>
      <c r="H2964" s="90"/>
    </row>
    <row r="2965" spans="7:8">
      <c r="G2965" s="87"/>
      <c r="H2965" s="90"/>
    </row>
    <row r="2966" spans="7:8">
      <c r="G2966" s="87"/>
      <c r="H2966" s="90"/>
    </row>
    <row r="2967" spans="7:8">
      <c r="G2967" s="87"/>
      <c r="H2967" s="90"/>
    </row>
    <row r="2968" spans="7:8">
      <c r="G2968" s="87"/>
      <c r="H2968" s="90"/>
    </row>
    <row r="2969" spans="7:8">
      <c r="G2969" s="87"/>
      <c r="H2969" s="90"/>
    </row>
    <row r="2970" spans="7:8">
      <c r="G2970" s="87"/>
      <c r="H2970" s="90"/>
    </row>
    <row r="2971" spans="7:8">
      <c r="G2971" s="87"/>
      <c r="H2971" s="90"/>
    </row>
    <row r="2972" spans="7:8">
      <c r="G2972" s="87"/>
      <c r="H2972" s="90"/>
    </row>
    <row r="2973" spans="7:8">
      <c r="G2973" s="87"/>
      <c r="H2973" s="90"/>
    </row>
    <row r="2974" spans="7:8">
      <c r="G2974" s="87"/>
      <c r="H2974" s="90"/>
    </row>
    <row r="2975" spans="7:8">
      <c r="G2975" s="87"/>
      <c r="H2975" s="90"/>
    </row>
    <row r="2976" spans="7:8">
      <c r="G2976" s="87"/>
      <c r="H2976" s="90"/>
    </row>
    <row r="2977" spans="7:8">
      <c r="G2977" s="87"/>
      <c r="H2977" s="90"/>
    </row>
    <row r="2978" spans="7:8">
      <c r="G2978" s="87"/>
      <c r="H2978" s="90"/>
    </row>
    <row r="2979" spans="7:8">
      <c r="G2979" s="87"/>
      <c r="H2979" s="90"/>
    </row>
    <row r="2980" spans="7:8">
      <c r="G2980" s="87"/>
      <c r="H2980" s="90"/>
    </row>
    <row r="2981" spans="7:8">
      <c r="G2981" s="87"/>
      <c r="H2981" s="90"/>
    </row>
    <row r="2982" spans="7:8">
      <c r="G2982" s="87"/>
      <c r="H2982" s="90"/>
    </row>
    <row r="2983" spans="7:8">
      <c r="G2983" s="87"/>
      <c r="H2983" s="90"/>
    </row>
    <row r="2984" spans="7:8">
      <c r="G2984" s="87"/>
      <c r="H2984" s="90"/>
    </row>
    <row r="2985" spans="7:8">
      <c r="G2985" s="87"/>
      <c r="H2985" s="90"/>
    </row>
    <row r="2986" spans="7:8">
      <c r="G2986" s="87"/>
      <c r="H2986" s="90"/>
    </row>
    <row r="2987" spans="7:8">
      <c r="G2987" s="87"/>
      <c r="H2987" s="90"/>
    </row>
    <row r="2988" spans="7:8">
      <c r="G2988" s="87"/>
      <c r="H2988" s="90"/>
    </row>
    <row r="2989" spans="7:8">
      <c r="G2989" s="87"/>
      <c r="H2989" s="90"/>
    </row>
    <row r="2990" spans="7:8">
      <c r="G2990" s="87"/>
      <c r="H2990" s="90"/>
    </row>
    <row r="2991" spans="7:8">
      <c r="G2991" s="87"/>
      <c r="H2991" s="90"/>
    </row>
    <row r="2992" spans="7:8">
      <c r="G2992" s="87"/>
      <c r="H2992" s="90"/>
    </row>
    <row r="2993" spans="7:8">
      <c r="G2993" s="87"/>
      <c r="H2993" s="90"/>
    </row>
    <row r="2994" spans="7:8">
      <c r="G2994" s="87"/>
      <c r="H2994" s="90"/>
    </row>
    <row r="2995" spans="7:8">
      <c r="G2995" s="87"/>
      <c r="H2995" s="90"/>
    </row>
    <row r="2996" spans="7:8">
      <c r="G2996" s="87"/>
      <c r="H2996" s="90"/>
    </row>
    <row r="2997" spans="7:8">
      <c r="G2997" s="87"/>
      <c r="H2997" s="90"/>
    </row>
    <row r="2998" spans="7:8">
      <c r="G2998" s="87"/>
      <c r="H2998" s="90"/>
    </row>
    <row r="2999" spans="7:8">
      <c r="G2999" s="87"/>
      <c r="H2999" s="90"/>
    </row>
    <row r="3000" spans="7:8">
      <c r="G3000" s="87"/>
      <c r="H3000" s="90"/>
    </row>
    <row r="3001" spans="7:8">
      <c r="G3001" s="87"/>
      <c r="H3001" s="90"/>
    </row>
    <row r="3002" spans="7:8">
      <c r="G3002" s="87"/>
      <c r="H3002" s="90"/>
    </row>
    <row r="3003" spans="7:8">
      <c r="G3003" s="87"/>
      <c r="H3003" s="90"/>
    </row>
    <row r="3004" spans="7:8">
      <c r="G3004" s="87"/>
      <c r="H3004" s="90"/>
    </row>
    <row r="3005" spans="7:8">
      <c r="G3005" s="87"/>
      <c r="H3005" s="90"/>
    </row>
    <row r="3006" spans="7:8">
      <c r="G3006" s="87"/>
      <c r="H3006" s="90"/>
    </row>
    <row r="3007" spans="7:8">
      <c r="G3007" s="87"/>
      <c r="H3007" s="90"/>
    </row>
    <row r="3008" spans="7:8">
      <c r="G3008" s="87"/>
      <c r="H3008" s="90"/>
    </row>
    <row r="3009" spans="7:8">
      <c r="G3009" s="87"/>
      <c r="H3009" s="90"/>
    </row>
    <row r="3010" spans="7:8">
      <c r="G3010" s="87"/>
      <c r="H3010" s="90"/>
    </row>
    <row r="3011" spans="7:8">
      <c r="G3011" s="87"/>
      <c r="H3011" s="90"/>
    </row>
    <row r="3012" spans="7:8">
      <c r="G3012" s="87"/>
      <c r="H3012" s="90"/>
    </row>
    <row r="3013" spans="7:8">
      <c r="G3013" s="87"/>
      <c r="H3013" s="90"/>
    </row>
    <row r="3014" spans="7:8">
      <c r="G3014" s="87"/>
      <c r="H3014" s="90"/>
    </row>
    <row r="3015" spans="7:8">
      <c r="G3015" s="87"/>
      <c r="H3015" s="90"/>
    </row>
    <row r="3016" spans="7:8">
      <c r="G3016" s="87"/>
      <c r="H3016" s="90"/>
    </row>
    <row r="3017" spans="7:8">
      <c r="G3017" s="87"/>
      <c r="H3017" s="90"/>
    </row>
    <row r="3018" spans="7:8">
      <c r="G3018" s="87"/>
      <c r="H3018" s="90"/>
    </row>
    <row r="3019" spans="7:8">
      <c r="G3019" s="87"/>
      <c r="H3019" s="90"/>
    </row>
    <row r="3020" spans="7:8">
      <c r="G3020" s="87"/>
      <c r="H3020" s="90"/>
    </row>
    <row r="3021" spans="7:8">
      <c r="G3021" s="87"/>
      <c r="H3021" s="90"/>
    </row>
    <row r="3022" spans="7:8">
      <c r="G3022" s="87"/>
      <c r="H3022" s="90"/>
    </row>
    <row r="3023" spans="7:8">
      <c r="G3023" s="87"/>
      <c r="H3023" s="90"/>
    </row>
    <row r="3024" spans="7:8">
      <c r="G3024" s="87"/>
      <c r="H3024" s="90"/>
    </row>
    <row r="3025" spans="7:8">
      <c r="G3025" s="87"/>
      <c r="H3025" s="90"/>
    </row>
    <row r="3026" spans="7:8">
      <c r="G3026" s="87"/>
      <c r="H3026" s="90"/>
    </row>
    <row r="3027" spans="7:8">
      <c r="G3027" s="87"/>
      <c r="H3027" s="90"/>
    </row>
    <row r="3028" spans="7:8">
      <c r="G3028" s="87"/>
      <c r="H3028" s="90"/>
    </row>
    <row r="3029" spans="7:8">
      <c r="G3029" s="87"/>
      <c r="H3029" s="90"/>
    </row>
    <row r="3030" spans="7:8">
      <c r="G3030" s="87"/>
      <c r="H3030" s="90"/>
    </row>
    <row r="3031" spans="7:8">
      <c r="G3031" s="87"/>
      <c r="H3031" s="90"/>
    </row>
    <row r="3032" spans="7:8">
      <c r="G3032" s="87"/>
      <c r="H3032" s="90"/>
    </row>
    <row r="3033" spans="7:8">
      <c r="G3033" s="87"/>
      <c r="H3033" s="90"/>
    </row>
    <row r="3034" spans="7:8">
      <c r="G3034" s="87"/>
      <c r="H3034" s="90"/>
    </row>
    <row r="3035" spans="7:8">
      <c r="G3035" s="87"/>
      <c r="H3035" s="90"/>
    </row>
    <row r="3036" spans="7:8">
      <c r="G3036" s="87"/>
      <c r="H3036" s="90"/>
    </row>
    <row r="3037" spans="7:8">
      <c r="G3037" s="87"/>
      <c r="H3037" s="90"/>
    </row>
    <row r="3038" spans="7:8">
      <c r="G3038" s="87"/>
      <c r="H3038" s="90"/>
    </row>
    <row r="3039" spans="7:8">
      <c r="G3039" s="87"/>
      <c r="H3039" s="90"/>
    </row>
    <row r="3040" spans="7:8">
      <c r="G3040" s="87"/>
      <c r="H3040" s="90"/>
    </row>
    <row r="3041" spans="7:8">
      <c r="G3041" s="87"/>
      <c r="H3041" s="90"/>
    </row>
    <row r="3042" spans="7:8">
      <c r="G3042" s="87"/>
      <c r="H3042" s="90"/>
    </row>
    <row r="3043" spans="7:8">
      <c r="G3043" s="87"/>
      <c r="H3043" s="90"/>
    </row>
    <row r="3044" spans="7:8">
      <c r="G3044" s="87"/>
      <c r="H3044" s="90"/>
    </row>
    <row r="3045" spans="7:8">
      <c r="G3045" s="87"/>
      <c r="H3045" s="90"/>
    </row>
    <row r="3046" spans="7:8">
      <c r="G3046" s="87"/>
      <c r="H3046" s="90"/>
    </row>
    <row r="3047" spans="7:8">
      <c r="G3047" s="87"/>
      <c r="H3047" s="90"/>
    </row>
    <row r="3048" spans="7:8">
      <c r="G3048" s="87"/>
      <c r="H3048" s="90"/>
    </row>
    <row r="3049" spans="7:8">
      <c r="G3049" s="87"/>
      <c r="H3049" s="90"/>
    </row>
    <row r="3050" spans="7:8">
      <c r="G3050" s="87"/>
      <c r="H3050" s="90"/>
    </row>
    <row r="3051" spans="7:8">
      <c r="G3051" s="87"/>
      <c r="H3051" s="90"/>
    </row>
    <row r="3052" spans="7:8">
      <c r="G3052" s="87"/>
      <c r="H3052" s="90"/>
    </row>
    <row r="3053" spans="7:8">
      <c r="G3053" s="87"/>
      <c r="H3053" s="90"/>
    </row>
    <row r="3054" spans="7:8">
      <c r="G3054" s="87"/>
      <c r="H3054" s="90"/>
    </row>
    <row r="3055" spans="7:8">
      <c r="G3055" s="87"/>
      <c r="H3055" s="90"/>
    </row>
    <row r="3056" spans="7:8">
      <c r="G3056" s="87"/>
      <c r="H3056" s="90"/>
    </row>
    <row r="3057" spans="7:8">
      <c r="G3057" s="87"/>
      <c r="H3057" s="90"/>
    </row>
    <row r="3058" spans="7:8">
      <c r="G3058" s="87"/>
      <c r="H3058" s="90"/>
    </row>
    <row r="3059" spans="7:8">
      <c r="G3059" s="87"/>
      <c r="H3059" s="90"/>
    </row>
    <row r="3060" spans="7:8">
      <c r="G3060" s="87"/>
      <c r="H3060" s="90"/>
    </row>
    <row r="3061" spans="7:8">
      <c r="G3061" s="87"/>
      <c r="H3061" s="90"/>
    </row>
    <row r="3062" spans="7:8">
      <c r="G3062" s="87"/>
      <c r="H3062" s="90"/>
    </row>
    <row r="3063" spans="7:8">
      <c r="G3063" s="87"/>
      <c r="H3063" s="90"/>
    </row>
    <row r="3064" spans="7:8">
      <c r="G3064" s="87"/>
      <c r="H3064" s="90"/>
    </row>
    <row r="3065" spans="7:8">
      <c r="G3065" s="87"/>
      <c r="H3065" s="90"/>
    </row>
    <row r="3066" spans="7:8">
      <c r="G3066" s="87"/>
      <c r="H3066" s="90"/>
    </row>
    <row r="3067" spans="7:8">
      <c r="G3067" s="87"/>
      <c r="H3067" s="90"/>
    </row>
    <row r="3068" spans="7:8">
      <c r="G3068" s="87"/>
      <c r="H3068" s="90"/>
    </row>
    <row r="3069" spans="7:8">
      <c r="G3069" s="87"/>
      <c r="H3069" s="90"/>
    </row>
    <row r="3070" spans="7:8">
      <c r="G3070" s="87"/>
      <c r="H3070" s="90"/>
    </row>
    <row r="3071" spans="7:8">
      <c r="G3071" s="87"/>
      <c r="H3071" s="90"/>
    </row>
    <row r="3072" spans="7:8">
      <c r="G3072" s="87"/>
      <c r="H3072" s="90"/>
    </row>
    <row r="3073" spans="7:8">
      <c r="G3073" s="87"/>
      <c r="H3073" s="90"/>
    </row>
    <row r="3074" spans="7:8">
      <c r="G3074" s="87"/>
      <c r="H3074" s="90"/>
    </row>
    <row r="3075" spans="7:8">
      <c r="G3075" s="87"/>
      <c r="H3075" s="90"/>
    </row>
    <row r="3076" spans="7:8">
      <c r="G3076" s="87"/>
      <c r="H3076" s="90"/>
    </row>
    <row r="3077" spans="7:8">
      <c r="G3077" s="87"/>
      <c r="H3077" s="90"/>
    </row>
    <row r="3078" spans="7:8">
      <c r="G3078" s="87"/>
      <c r="H3078" s="90"/>
    </row>
    <row r="3079" spans="7:8">
      <c r="G3079" s="87"/>
      <c r="H3079" s="90"/>
    </row>
    <row r="3080" spans="7:8">
      <c r="G3080" s="87"/>
      <c r="H3080" s="90"/>
    </row>
    <row r="3081" spans="7:8">
      <c r="G3081" s="87"/>
      <c r="H3081" s="90"/>
    </row>
    <row r="3082" spans="7:8">
      <c r="G3082" s="87"/>
      <c r="H3082" s="90"/>
    </row>
    <row r="3083" spans="7:8">
      <c r="G3083" s="87"/>
      <c r="H3083" s="90"/>
    </row>
    <row r="3084" spans="7:8">
      <c r="G3084" s="87"/>
      <c r="H3084" s="90"/>
    </row>
    <row r="3085" spans="7:8">
      <c r="G3085" s="87"/>
      <c r="H3085" s="90"/>
    </row>
    <row r="3086" spans="7:8">
      <c r="G3086" s="87"/>
      <c r="H3086" s="90"/>
    </row>
    <row r="3087" spans="7:8">
      <c r="G3087" s="87"/>
      <c r="H3087" s="90"/>
    </row>
    <row r="3088" spans="7:8">
      <c r="G3088" s="87"/>
      <c r="H3088" s="90"/>
    </row>
    <row r="3089" spans="7:8">
      <c r="G3089" s="87"/>
      <c r="H3089" s="90"/>
    </row>
    <row r="3090" spans="7:8">
      <c r="G3090" s="87"/>
      <c r="H3090" s="90"/>
    </row>
    <row r="3091" spans="7:8">
      <c r="G3091" s="87"/>
      <c r="H3091" s="90"/>
    </row>
    <row r="3092" spans="7:8">
      <c r="G3092" s="87"/>
      <c r="H3092" s="90"/>
    </row>
    <row r="3093" spans="7:8">
      <c r="G3093" s="87"/>
      <c r="H3093" s="90"/>
    </row>
    <row r="3094" spans="7:8">
      <c r="G3094" s="87"/>
      <c r="H3094" s="90"/>
    </row>
    <row r="3095" spans="7:8">
      <c r="G3095" s="87"/>
      <c r="H3095" s="90"/>
    </row>
    <row r="3096" spans="7:8">
      <c r="G3096" s="87"/>
      <c r="H3096" s="90"/>
    </row>
    <row r="3097" spans="7:8">
      <c r="G3097" s="87"/>
      <c r="H3097" s="90"/>
    </row>
    <row r="3098" spans="7:8">
      <c r="G3098" s="87"/>
      <c r="H3098" s="90"/>
    </row>
    <row r="3099" spans="7:8">
      <c r="G3099" s="87"/>
      <c r="H3099" s="90"/>
    </row>
    <row r="3100" spans="7:8">
      <c r="G3100" s="87"/>
      <c r="H3100" s="90"/>
    </row>
    <row r="3101" spans="7:8">
      <c r="G3101" s="87"/>
      <c r="H3101" s="90"/>
    </row>
    <row r="3102" spans="7:8">
      <c r="G3102" s="87"/>
      <c r="H3102" s="90"/>
    </row>
    <row r="3103" spans="7:8">
      <c r="G3103" s="87"/>
      <c r="H3103" s="90"/>
    </row>
    <row r="3104" spans="7:8">
      <c r="G3104" s="87"/>
      <c r="H3104" s="90"/>
    </row>
    <row r="3105" spans="7:8">
      <c r="G3105" s="87"/>
      <c r="H3105" s="90"/>
    </row>
    <row r="3106" spans="7:8">
      <c r="G3106" s="87"/>
      <c r="H3106" s="90"/>
    </row>
    <row r="3107" spans="7:8">
      <c r="G3107" s="87"/>
      <c r="H3107" s="90"/>
    </row>
    <row r="3108" spans="7:8">
      <c r="G3108" s="87"/>
      <c r="H3108" s="90"/>
    </row>
    <row r="3109" spans="7:8">
      <c r="G3109" s="87"/>
      <c r="H3109" s="90"/>
    </row>
    <row r="3110" spans="7:8">
      <c r="G3110" s="87"/>
      <c r="H3110" s="90"/>
    </row>
    <row r="3111" spans="7:8">
      <c r="G3111" s="87"/>
      <c r="H3111" s="90"/>
    </row>
    <row r="3112" spans="7:8">
      <c r="G3112" s="87"/>
      <c r="H3112" s="90"/>
    </row>
    <row r="3113" spans="7:8">
      <c r="G3113" s="87"/>
      <c r="H3113" s="90"/>
    </row>
    <row r="3114" spans="7:8">
      <c r="G3114" s="87"/>
      <c r="H3114" s="90"/>
    </row>
    <row r="3115" spans="7:8">
      <c r="G3115" s="87"/>
      <c r="H3115" s="90"/>
    </row>
    <row r="3116" spans="7:8">
      <c r="G3116" s="87"/>
      <c r="H3116" s="90"/>
    </row>
    <row r="3117" spans="7:8">
      <c r="G3117" s="87"/>
      <c r="H3117" s="90"/>
    </row>
    <row r="3118" spans="7:8">
      <c r="G3118" s="87"/>
      <c r="H3118" s="90"/>
    </row>
    <row r="3119" spans="7:8">
      <c r="G3119" s="87"/>
      <c r="H3119" s="90"/>
    </row>
    <row r="3120" spans="7:8">
      <c r="G3120" s="87"/>
      <c r="H3120" s="90"/>
    </row>
    <row r="3121" spans="7:8">
      <c r="G3121" s="87"/>
      <c r="H3121" s="90"/>
    </row>
    <row r="3122" spans="7:8">
      <c r="G3122" s="87"/>
      <c r="H3122" s="90"/>
    </row>
    <row r="3123" spans="7:8">
      <c r="G3123" s="87"/>
      <c r="H3123" s="90"/>
    </row>
    <row r="3124" spans="7:8">
      <c r="G3124" s="87"/>
      <c r="H3124" s="90"/>
    </row>
    <row r="3125" spans="7:8">
      <c r="G3125" s="87"/>
      <c r="H3125" s="90"/>
    </row>
    <row r="3126" spans="7:8">
      <c r="G3126" s="87"/>
      <c r="H3126" s="90"/>
    </row>
    <row r="3127" spans="7:8">
      <c r="G3127" s="87"/>
      <c r="H3127" s="90"/>
    </row>
    <row r="3128" spans="7:8">
      <c r="G3128" s="87"/>
      <c r="H3128" s="90"/>
    </row>
    <row r="3129" spans="7:8">
      <c r="G3129" s="87"/>
      <c r="H3129" s="90"/>
    </row>
    <row r="3130" spans="7:8">
      <c r="G3130" s="87"/>
      <c r="H3130" s="90"/>
    </row>
    <row r="3131" spans="7:8">
      <c r="G3131" s="87"/>
      <c r="H3131" s="90"/>
    </row>
    <row r="3132" spans="7:8">
      <c r="G3132" s="87"/>
      <c r="H3132" s="90"/>
    </row>
    <row r="3133" spans="7:8">
      <c r="G3133" s="87"/>
      <c r="H3133" s="90"/>
    </row>
    <row r="3134" spans="7:8">
      <c r="G3134" s="87"/>
      <c r="H3134" s="90"/>
    </row>
    <row r="3135" spans="7:8">
      <c r="G3135" s="87"/>
      <c r="H3135" s="90"/>
    </row>
    <row r="3136" spans="7:8">
      <c r="G3136" s="87"/>
      <c r="H3136" s="90"/>
    </row>
    <row r="3137" spans="7:8">
      <c r="G3137" s="87"/>
      <c r="H3137" s="90"/>
    </row>
    <row r="3138" spans="7:8">
      <c r="G3138" s="87"/>
      <c r="H3138" s="90"/>
    </row>
    <row r="3139" spans="7:8">
      <c r="G3139" s="87"/>
      <c r="H3139" s="90"/>
    </row>
    <row r="3140" spans="7:8">
      <c r="G3140" s="87"/>
      <c r="H3140" s="90"/>
    </row>
    <row r="3141" spans="7:8">
      <c r="G3141" s="87"/>
      <c r="H3141" s="90"/>
    </row>
    <row r="3142" spans="7:8">
      <c r="G3142" s="87"/>
      <c r="H3142" s="90"/>
    </row>
    <row r="3143" spans="7:8">
      <c r="G3143" s="87"/>
      <c r="H3143" s="90"/>
    </row>
    <row r="3144" spans="7:8">
      <c r="G3144" s="87"/>
      <c r="H3144" s="90"/>
    </row>
    <row r="3145" spans="7:8">
      <c r="G3145" s="87"/>
      <c r="H3145" s="90"/>
    </row>
    <row r="3146" spans="7:8">
      <c r="G3146" s="87"/>
      <c r="H3146" s="90"/>
    </row>
    <row r="3147" spans="7:8">
      <c r="G3147" s="87"/>
      <c r="H3147" s="90"/>
    </row>
    <row r="3148" spans="7:8">
      <c r="G3148" s="87"/>
      <c r="H3148" s="90"/>
    </row>
    <row r="3149" spans="7:8">
      <c r="G3149" s="87"/>
      <c r="H3149" s="90"/>
    </row>
    <row r="3150" spans="7:8">
      <c r="G3150" s="87"/>
      <c r="H3150" s="90"/>
    </row>
    <row r="3151" spans="7:8">
      <c r="G3151" s="87"/>
      <c r="H3151" s="90"/>
    </row>
    <row r="3152" spans="7:8">
      <c r="G3152" s="87"/>
      <c r="H3152" s="90"/>
    </row>
    <row r="3153" spans="7:8">
      <c r="G3153" s="87"/>
      <c r="H3153" s="90"/>
    </row>
    <row r="3154" spans="7:8">
      <c r="G3154" s="87"/>
      <c r="H3154" s="90"/>
    </row>
    <row r="3155" spans="7:8">
      <c r="G3155" s="87"/>
      <c r="H3155" s="90"/>
    </row>
    <row r="3156" spans="7:8">
      <c r="G3156" s="87"/>
      <c r="H3156" s="90"/>
    </row>
    <row r="3157" spans="7:8">
      <c r="G3157" s="87"/>
      <c r="H3157" s="90"/>
    </row>
    <row r="3158" spans="7:8">
      <c r="G3158" s="87"/>
      <c r="H3158" s="90"/>
    </row>
    <row r="3159" spans="7:8">
      <c r="G3159" s="87"/>
      <c r="H3159" s="90"/>
    </row>
    <row r="3160" spans="7:8">
      <c r="G3160" s="87"/>
      <c r="H3160" s="90"/>
    </row>
    <row r="3161" spans="7:8">
      <c r="G3161" s="87"/>
      <c r="H3161" s="90"/>
    </row>
    <row r="3162" spans="7:8">
      <c r="G3162" s="87"/>
      <c r="H3162" s="90"/>
    </row>
    <row r="3163" spans="7:8">
      <c r="G3163" s="87"/>
      <c r="H3163" s="90"/>
    </row>
    <row r="3164" spans="7:8">
      <c r="G3164" s="87"/>
      <c r="H3164" s="90"/>
    </row>
    <row r="3165" spans="7:8">
      <c r="G3165" s="87"/>
      <c r="H3165" s="90"/>
    </row>
    <row r="3166" spans="7:8">
      <c r="G3166" s="87"/>
      <c r="H3166" s="90"/>
    </row>
    <row r="3167" spans="7:8">
      <c r="G3167" s="87"/>
      <c r="H3167" s="90"/>
    </row>
    <row r="3168" spans="7:8">
      <c r="G3168" s="87"/>
      <c r="H3168" s="90"/>
    </row>
    <row r="3169" spans="7:8">
      <c r="G3169" s="87"/>
      <c r="H3169" s="90"/>
    </row>
    <row r="3170" spans="7:8">
      <c r="G3170" s="87"/>
      <c r="H3170" s="90"/>
    </row>
    <row r="3171" spans="7:8">
      <c r="G3171" s="87"/>
      <c r="H3171" s="90"/>
    </row>
    <row r="3172" spans="7:8">
      <c r="G3172" s="87"/>
      <c r="H3172" s="90"/>
    </row>
    <row r="3173" spans="7:8">
      <c r="G3173" s="87"/>
      <c r="H3173" s="90"/>
    </row>
    <row r="3174" spans="7:8">
      <c r="G3174" s="87"/>
      <c r="H3174" s="90"/>
    </row>
    <row r="3175" spans="7:8">
      <c r="G3175" s="87"/>
      <c r="H3175" s="90"/>
    </row>
    <row r="3176" spans="7:8">
      <c r="G3176" s="87"/>
      <c r="H3176" s="90"/>
    </row>
    <row r="3177" spans="7:8">
      <c r="G3177" s="87"/>
      <c r="H3177" s="90"/>
    </row>
    <row r="3178" spans="7:8">
      <c r="G3178" s="87"/>
      <c r="H3178" s="90"/>
    </row>
    <row r="3179" spans="7:8">
      <c r="G3179" s="87"/>
      <c r="H3179" s="90"/>
    </row>
    <row r="3180" spans="7:8">
      <c r="G3180" s="87"/>
      <c r="H3180" s="90"/>
    </row>
    <row r="3181" spans="7:8">
      <c r="G3181" s="87"/>
      <c r="H3181" s="90"/>
    </row>
    <row r="3182" spans="7:8">
      <c r="G3182" s="87"/>
      <c r="H3182" s="90"/>
    </row>
    <row r="3183" spans="7:8">
      <c r="G3183" s="87"/>
      <c r="H3183" s="90"/>
    </row>
    <row r="3184" spans="7:8">
      <c r="G3184" s="87"/>
      <c r="H3184" s="90"/>
    </row>
    <row r="3185" spans="7:8">
      <c r="G3185" s="87"/>
      <c r="H3185" s="90"/>
    </row>
    <row r="3186" spans="7:8">
      <c r="G3186" s="87"/>
      <c r="H3186" s="90"/>
    </row>
    <row r="3187" spans="7:8">
      <c r="G3187" s="87"/>
      <c r="H3187" s="90"/>
    </row>
    <row r="3188" spans="7:8">
      <c r="G3188" s="87"/>
      <c r="H3188" s="90"/>
    </row>
    <row r="3189" spans="7:8">
      <c r="G3189" s="87"/>
      <c r="H3189" s="90"/>
    </row>
    <row r="3190" spans="7:8">
      <c r="G3190" s="87"/>
      <c r="H3190" s="90"/>
    </row>
    <row r="3191" spans="7:8">
      <c r="G3191" s="87"/>
      <c r="H3191" s="90"/>
    </row>
    <row r="3192" spans="7:8">
      <c r="G3192" s="87"/>
      <c r="H3192" s="90"/>
    </row>
    <row r="3193" spans="7:8">
      <c r="G3193" s="87"/>
      <c r="H3193" s="90"/>
    </row>
    <row r="3194" spans="7:8">
      <c r="G3194" s="87"/>
      <c r="H3194" s="90"/>
    </row>
    <row r="3195" spans="7:8">
      <c r="G3195" s="87"/>
      <c r="H3195" s="90"/>
    </row>
    <row r="3196" spans="7:8">
      <c r="G3196" s="87"/>
      <c r="H3196" s="90"/>
    </row>
    <row r="3197" spans="7:8">
      <c r="G3197" s="87"/>
      <c r="H3197" s="90"/>
    </row>
    <row r="3198" spans="7:8">
      <c r="G3198" s="87"/>
      <c r="H3198" s="90"/>
    </row>
    <row r="3199" spans="7:8">
      <c r="G3199" s="87"/>
      <c r="H3199" s="90"/>
    </row>
    <row r="3200" spans="7:8">
      <c r="G3200" s="87"/>
      <c r="H3200" s="90"/>
    </row>
    <row r="3201" spans="7:8">
      <c r="G3201" s="87"/>
      <c r="H3201" s="90"/>
    </row>
    <row r="3202" spans="7:8">
      <c r="G3202" s="87"/>
      <c r="H3202" s="90"/>
    </row>
    <row r="3203" spans="7:8">
      <c r="G3203" s="87"/>
      <c r="H3203" s="90"/>
    </row>
    <row r="3204" spans="7:8">
      <c r="G3204" s="87"/>
      <c r="H3204" s="90"/>
    </row>
    <row r="3205" spans="7:8">
      <c r="G3205" s="87"/>
      <c r="H3205" s="90"/>
    </row>
    <row r="3206" spans="7:8">
      <c r="G3206" s="87"/>
      <c r="H3206" s="90"/>
    </row>
    <row r="3207" spans="7:8">
      <c r="G3207" s="87"/>
      <c r="H3207" s="90"/>
    </row>
    <row r="3208" spans="7:8">
      <c r="G3208" s="87"/>
      <c r="H3208" s="90"/>
    </row>
    <row r="3209" spans="7:8">
      <c r="G3209" s="87"/>
      <c r="H3209" s="90"/>
    </row>
    <row r="3210" spans="7:8">
      <c r="G3210" s="87"/>
      <c r="H3210" s="90"/>
    </row>
    <row r="3211" spans="7:8">
      <c r="G3211" s="87"/>
      <c r="H3211" s="90"/>
    </row>
    <row r="3212" spans="7:8">
      <c r="G3212" s="87"/>
      <c r="H3212" s="90"/>
    </row>
    <row r="3213" spans="7:8">
      <c r="G3213" s="87"/>
      <c r="H3213" s="90"/>
    </row>
    <row r="3214" spans="7:8">
      <c r="G3214" s="87"/>
      <c r="H3214" s="90"/>
    </row>
    <row r="3215" spans="7:8">
      <c r="G3215" s="87"/>
      <c r="H3215" s="90"/>
    </row>
    <row r="3216" spans="7:8">
      <c r="G3216" s="87"/>
      <c r="H3216" s="90"/>
    </row>
    <row r="3217" spans="7:8">
      <c r="G3217" s="87"/>
      <c r="H3217" s="90"/>
    </row>
    <row r="3218" spans="7:8">
      <c r="G3218" s="87"/>
      <c r="H3218" s="90"/>
    </row>
    <row r="3219" spans="7:8">
      <c r="G3219" s="87"/>
      <c r="H3219" s="90"/>
    </row>
    <row r="3220" spans="7:8">
      <c r="G3220" s="87"/>
      <c r="H3220" s="90"/>
    </row>
    <row r="3221" spans="7:8">
      <c r="G3221" s="87"/>
      <c r="H3221" s="90"/>
    </row>
    <row r="3222" spans="7:8">
      <c r="G3222" s="87"/>
      <c r="H3222" s="90"/>
    </row>
    <row r="3223" spans="7:8">
      <c r="G3223" s="87"/>
      <c r="H3223" s="90"/>
    </row>
    <row r="3224" spans="7:8">
      <c r="G3224" s="87"/>
      <c r="H3224" s="90"/>
    </row>
    <row r="3225" spans="7:8">
      <c r="G3225" s="87"/>
      <c r="H3225" s="90"/>
    </row>
    <row r="3226" spans="7:8">
      <c r="G3226" s="87"/>
      <c r="H3226" s="90"/>
    </row>
    <row r="3227" spans="7:8">
      <c r="G3227" s="87"/>
      <c r="H3227" s="90"/>
    </row>
    <row r="3228" spans="7:8">
      <c r="G3228" s="87"/>
      <c r="H3228" s="90"/>
    </row>
    <row r="3229" spans="7:8">
      <c r="G3229" s="87"/>
      <c r="H3229" s="90"/>
    </row>
    <row r="3230" spans="7:8">
      <c r="G3230" s="87"/>
      <c r="H3230" s="90"/>
    </row>
    <row r="3231" spans="7:8">
      <c r="G3231" s="87"/>
      <c r="H3231" s="90"/>
    </row>
    <row r="3232" spans="7:8">
      <c r="G3232" s="87"/>
      <c r="H3232" s="90"/>
    </row>
    <row r="3233" spans="7:8">
      <c r="G3233" s="87"/>
      <c r="H3233" s="90"/>
    </row>
    <row r="3234" spans="7:8">
      <c r="G3234" s="87"/>
      <c r="H3234" s="90"/>
    </row>
    <row r="3235" spans="7:8">
      <c r="G3235" s="87"/>
      <c r="H3235" s="90"/>
    </row>
    <row r="3236" spans="7:8">
      <c r="G3236" s="87"/>
      <c r="H3236" s="90"/>
    </row>
    <row r="3237" spans="7:8">
      <c r="G3237" s="87"/>
      <c r="H3237" s="90"/>
    </row>
    <row r="3238" spans="7:8">
      <c r="G3238" s="87"/>
      <c r="H3238" s="90"/>
    </row>
    <row r="3239" spans="7:8">
      <c r="G3239" s="87"/>
      <c r="H3239" s="90"/>
    </row>
    <row r="3240" spans="7:8">
      <c r="G3240" s="87"/>
      <c r="H3240" s="90"/>
    </row>
    <row r="3241" spans="7:8">
      <c r="G3241" s="87"/>
      <c r="H3241" s="90"/>
    </row>
    <row r="3242" spans="7:8">
      <c r="G3242" s="87"/>
      <c r="H3242" s="90"/>
    </row>
    <row r="3243" spans="7:8">
      <c r="G3243" s="87"/>
      <c r="H3243" s="90"/>
    </row>
    <row r="3244" spans="7:8">
      <c r="G3244" s="87"/>
      <c r="H3244" s="90"/>
    </row>
    <row r="3245" spans="7:8">
      <c r="G3245" s="87"/>
      <c r="H3245" s="90"/>
    </row>
    <row r="3246" spans="7:8">
      <c r="G3246" s="87"/>
      <c r="H3246" s="90"/>
    </row>
    <row r="3247" spans="7:8">
      <c r="G3247" s="87"/>
      <c r="H3247" s="90"/>
    </row>
    <row r="3248" spans="7:8">
      <c r="G3248" s="87"/>
      <c r="H3248" s="90"/>
    </row>
    <row r="3249" spans="7:8">
      <c r="G3249" s="87"/>
      <c r="H3249" s="90"/>
    </row>
    <row r="3250" spans="7:8">
      <c r="G3250" s="87"/>
      <c r="H3250" s="90"/>
    </row>
    <row r="3251" spans="7:8">
      <c r="G3251" s="87"/>
      <c r="H3251" s="90"/>
    </row>
    <row r="3252" spans="7:8">
      <c r="G3252" s="87"/>
      <c r="H3252" s="90"/>
    </row>
    <row r="3253" spans="7:8">
      <c r="G3253" s="87"/>
      <c r="H3253" s="90"/>
    </row>
    <row r="3254" spans="7:8">
      <c r="G3254" s="87"/>
      <c r="H3254" s="90"/>
    </row>
    <row r="3255" spans="7:8">
      <c r="G3255" s="87"/>
      <c r="H3255" s="90"/>
    </row>
    <row r="3256" spans="7:8">
      <c r="G3256" s="87"/>
      <c r="H3256" s="90"/>
    </row>
    <row r="3257" spans="7:8">
      <c r="G3257" s="87"/>
      <c r="H3257" s="90"/>
    </row>
    <row r="3258" spans="7:8">
      <c r="G3258" s="87"/>
      <c r="H3258" s="90"/>
    </row>
    <row r="3259" spans="7:8">
      <c r="G3259" s="87"/>
      <c r="H3259" s="90"/>
    </row>
    <row r="3260" spans="7:8">
      <c r="G3260" s="87"/>
      <c r="H3260" s="90"/>
    </row>
    <row r="3261" spans="7:8">
      <c r="G3261" s="87"/>
      <c r="H3261" s="90"/>
    </row>
    <row r="3262" spans="7:8">
      <c r="G3262" s="87"/>
      <c r="H3262" s="90"/>
    </row>
    <row r="3263" spans="7:8">
      <c r="G3263" s="87"/>
      <c r="H3263" s="90"/>
    </row>
    <row r="3264" spans="7:8">
      <c r="G3264" s="87"/>
      <c r="H3264" s="90"/>
    </row>
    <row r="3265" spans="7:8">
      <c r="G3265" s="87"/>
      <c r="H3265" s="90"/>
    </row>
    <row r="3266" spans="7:8">
      <c r="G3266" s="87"/>
      <c r="H3266" s="90"/>
    </row>
    <row r="3267" spans="7:8">
      <c r="G3267" s="87"/>
      <c r="H3267" s="90"/>
    </row>
    <row r="3268" spans="7:8">
      <c r="G3268" s="87"/>
      <c r="H3268" s="90"/>
    </row>
    <row r="3269" spans="7:8">
      <c r="G3269" s="87"/>
      <c r="H3269" s="90"/>
    </row>
    <row r="3270" spans="7:8">
      <c r="G3270" s="87"/>
      <c r="H3270" s="90"/>
    </row>
    <row r="3271" spans="7:8">
      <c r="G3271" s="87"/>
      <c r="H3271" s="90"/>
    </row>
    <row r="3272" spans="7:8">
      <c r="G3272" s="87"/>
      <c r="H3272" s="90"/>
    </row>
    <row r="3273" spans="7:8">
      <c r="G3273" s="87"/>
      <c r="H3273" s="90"/>
    </row>
    <row r="3274" spans="7:8">
      <c r="G3274" s="87"/>
      <c r="H3274" s="90"/>
    </row>
    <row r="3275" spans="7:8">
      <c r="G3275" s="87"/>
      <c r="H3275" s="90"/>
    </row>
    <row r="3276" spans="7:8">
      <c r="G3276" s="87"/>
      <c r="H3276" s="90"/>
    </row>
    <row r="3277" spans="7:8">
      <c r="G3277" s="87"/>
      <c r="H3277" s="90"/>
    </row>
    <row r="3278" spans="7:8">
      <c r="G3278" s="87"/>
      <c r="H3278" s="90"/>
    </row>
    <row r="3279" spans="7:8">
      <c r="G3279" s="87"/>
      <c r="H3279" s="90"/>
    </row>
    <row r="3280" spans="7:8">
      <c r="G3280" s="87"/>
      <c r="H3280" s="90"/>
    </row>
    <row r="3281" spans="7:8">
      <c r="G3281" s="87"/>
      <c r="H3281" s="90"/>
    </row>
    <row r="3282" spans="7:8">
      <c r="G3282" s="87"/>
      <c r="H3282" s="90"/>
    </row>
    <row r="3283" spans="7:8">
      <c r="G3283" s="87"/>
      <c r="H3283" s="90"/>
    </row>
    <row r="3284" spans="7:8">
      <c r="G3284" s="87"/>
      <c r="H3284" s="90"/>
    </row>
    <row r="3285" spans="7:8">
      <c r="G3285" s="87"/>
      <c r="H3285" s="90"/>
    </row>
    <row r="3286" spans="7:8">
      <c r="G3286" s="87"/>
      <c r="H3286" s="90"/>
    </row>
    <row r="3287" spans="7:8">
      <c r="G3287" s="87"/>
      <c r="H3287" s="90"/>
    </row>
    <row r="3288" spans="7:8">
      <c r="G3288" s="87"/>
      <c r="H3288" s="90"/>
    </row>
    <row r="3289" spans="7:8">
      <c r="G3289" s="87"/>
      <c r="H3289" s="90"/>
    </row>
    <row r="3290" spans="7:8">
      <c r="G3290" s="87"/>
      <c r="H3290" s="90"/>
    </row>
    <row r="3291" spans="7:8">
      <c r="G3291" s="87"/>
      <c r="H3291" s="90"/>
    </row>
    <row r="3292" spans="7:8">
      <c r="G3292" s="87"/>
      <c r="H3292" s="90"/>
    </row>
    <row r="3293" spans="7:8">
      <c r="G3293" s="87"/>
      <c r="H3293" s="90"/>
    </row>
    <row r="3294" spans="7:8">
      <c r="G3294" s="87"/>
      <c r="H3294" s="90"/>
    </row>
    <row r="3295" spans="7:8">
      <c r="G3295" s="87"/>
      <c r="H3295" s="90"/>
    </row>
    <row r="3296" spans="7:8">
      <c r="G3296" s="87"/>
      <c r="H3296" s="90"/>
    </row>
    <row r="3297" spans="7:8">
      <c r="G3297" s="87"/>
      <c r="H3297" s="90"/>
    </row>
    <row r="3298" spans="7:8">
      <c r="G3298" s="87"/>
      <c r="H3298" s="90"/>
    </row>
    <row r="3299" spans="7:8">
      <c r="G3299" s="87"/>
      <c r="H3299" s="90"/>
    </row>
    <row r="3300" spans="7:8">
      <c r="G3300" s="87"/>
      <c r="H3300" s="90"/>
    </row>
    <row r="3301" spans="7:8">
      <c r="G3301" s="87"/>
      <c r="H3301" s="90"/>
    </row>
    <row r="3302" spans="7:8">
      <c r="G3302" s="87"/>
      <c r="H3302" s="90"/>
    </row>
    <row r="3303" spans="7:8">
      <c r="G3303" s="87"/>
      <c r="H3303" s="90"/>
    </row>
    <row r="3304" spans="7:8">
      <c r="G3304" s="87"/>
      <c r="H3304" s="90"/>
    </row>
    <row r="3305" spans="7:8">
      <c r="G3305" s="87"/>
      <c r="H3305" s="90"/>
    </row>
    <row r="3306" spans="7:8">
      <c r="G3306" s="87"/>
      <c r="H3306" s="90"/>
    </row>
    <row r="3307" spans="7:8">
      <c r="G3307" s="87"/>
      <c r="H3307" s="90"/>
    </row>
    <row r="3308" spans="7:8">
      <c r="G3308" s="87"/>
      <c r="H3308" s="90"/>
    </row>
    <row r="3309" spans="7:8">
      <c r="G3309" s="87"/>
      <c r="H3309" s="90"/>
    </row>
    <row r="3310" spans="7:8">
      <c r="G3310" s="87"/>
      <c r="H3310" s="90"/>
    </row>
    <row r="3311" spans="7:8">
      <c r="G3311" s="87"/>
      <c r="H3311" s="90"/>
    </row>
    <row r="3312" spans="7:8">
      <c r="G3312" s="87"/>
      <c r="H3312" s="90"/>
    </row>
    <row r="3313" spans="7:8">
      <c r="G3313" s="87"/>
      <c r="H3313" s="90"/>
    </row>
    <row r="3314" spans="7:8">
      <c r="G3314" s="87"/>
      <c r="H3314" s="90"/>
    </row>
    <row r="3315" spans="7:8">
      <c r="G3315" s="87"/>
      <c r="H3315" s="90"/>
    </row>
    <row r="3316" spans="7:8">
      <c r="G3316" s="87"/>
      <c r="H3316" s="90"/>
    </row>
    <row r="3317" spans="7:8">
      <c r="G3317" s="87"/>
      <c r="H3317" s="90"/>
    </row>
    <row r="3318" spans="7:8">
      <c r="G3318" s="87"/>
      <c r="H3318" s="90"/>
    </row>
    <row r="3319" spans="7:8">
      <c r="G3319" s="87"/>
      <c r="H3319" s="90"/>
    </row>
    <row r="3320" spans="7:8">
      <c r="G3320" s="87"/>
      <c r="H3320" s="90"/>
    </row>
    <row r="3321" spans="7:8">
      <c r="G3321" s="87"/>
      <c r="H3321" s="90"/>
    </row>
    <row r="3322" spans="7:8">
      <c r="G3322" s="87"/>
      <c r="H3322" s="90"/>
    </row>
    <row r="3323" spans="7:8">
      <c r="G3323" s="87"/>
      <c r="H3323" s="90"/>
    </row>
    <row r="3324" spans="7:8">
      <c r="G3324" s="87"/>
      <c r="H3324" s="90"/>
    </row>
    <row r="3325" spans="7:8">
      <c r="G3325" s="87"/>
      <c r="H3325" s="90"/>
    </row>
    <row r="3326" spans="7:8">
      <c r="G3326" s="87"/>
      <c r="H3326" s="90"/>
    </row>
    <row r="3327" spans="7:8">
      <c r="G3327" s="87"/>
      <c r="H3327" s="90"/>
    </row>
    <row r="3328" spans="7:8">
      <c r="G3328" s="87"/>
      <c r="H3328" s="90"/>
    </row>
    <row r="3329" spans="7:8">
      <c r="G3329" s="87"/>
      <c r="H3329" s="90"/>
    </row>
    <row r="3330" spans="7:8">
      <c r="G3330" s="87"/>
      <c r="H3330" s="90"/>
    </row>
    <row r="3331" spans="7:8">
      <c r="G3331" s="87"/>
      <c r="H3331" s="90"/>
    </row>
    <row r="3332" spans="7:8">
      <c r="G3332" s="87"/>
      <c r="H3332" s="90"/>
    </row>
    <row r="3333" spans="7:8">
      <c r="G3333" s="87"/>
      <c r="H3333" s="90"/>
    </row>
    <row r="3334" spans="7:8">
      <c r="G3334" s="87"/>
      <c r="H3334" s="90"/>
    </row>
    <row r="3335" spans="7:8">
      <c r="G3335" s="87"/>
      <c r="H3335" s="90"/>
    </row>
    <row r="3336" spans="7:8">
      <c r="G3336" s="87"/>
      <c r="H3336" s="90"/>
    </row>
    <row r="3337" spans="7:8">
      <c r="G3337" s="87"/>
      <c r="H3337" s="90"/>
    </row>
    <row r="3338" spans="7:8">
      <c r="G3338" s="87"/>
      <c r="H3338" s="90"/>
    </row>
    <row r="3339" spans="7:8">
      <c r="G3339" s="87"/>
      <c r="H3339" s="90"/>
    </row>
    <row r="3340" spans="7:8">
      <c r="G3340" s="87"/>
      <c r="H3340" s="90"/>
    </row>
    <row r="3341" spans="7:8">
      <c r="G3341" s="87"/>
      <c r="H3341" s="90"/>
    </row>
    <row r="3342" spans="7:8">
      <c r="G3342" s="87"/>
      <c r="H3342" s="90"/>
    </row>
    <row r="3343" spans="7:8">
      <c r="G3343" s="87"/>
      <c r="H3343" s="90"/>
    </row>
    <row r="3344" spans="7:8">
      <c r="G3344" s="87"/>
      <c r="H3344" s="90"/>
    </row>
    <row r="3345" spans="7:8">
      <c r="G3345" s="87"/>
      <c r="H3345" s="90"/>
    </row>
    <row r="3346" spans="7:8">
      <c r="G3346" s="87"/>
      <c r="H3346" s="90"/>
    </row>
    <row r="3347" spans="7:8">
      <c r="G3347" s="87"/>
      <c r="H3347" s="90"/>
    </row>
    <row r="3348" spans="7:8">
      <c r="G3348" s="87"/>
      <c r="H3348" s="90"/>
    </row>
    <row r="3349" spans="7:8">
      <c r="G3349" s="87"/>
      <c r="H3349" s="90"/>
    </row>
    <row r="3350" spans="7:8">
      <c r="G3350" s="87"/>
      <c r="H3350" s="90"/>
    </row>
    <row r="3351" spans="7:8">
      <c r="G3351" s="87"/>
      <c r="H3351" s="90"/>
    </row>
    <row r="3352" spans="7:8">
      <c r="G3352" s="87"/>
      <c r="H3352" s="90"/>
    </row>
    <row r="3353" spans="7:8">
      <c r="G3353" s="87"/>
      <c r="H3353" s="90"/>
    </row>
    <row r="3354" spans="7:8">
      <c r="G3354" s="87"/>
      <c r="H3354" s="90"/>
    </row>
    <row r="3355" spans="7:8">
      <c r="G3355" s="87"/>
      <c r="H3355" s="90"/>
    </row>
    <row r="3356" spans="7:8">
      <c r="G3356" s="87"/>
      <c r="H3356" s="90"/>
    </row>
    <row r="3357" spans="7:8">
      <c r="G3357" s="87"/>
      <c r="H3357" s="90"/>
    </row>
    <row r="3358" spans="7:8">
      <c r="G3358" s="87"/>
      <c r="H3358" s="90"/>
    </row>
    <row r="3359" spans="7:8">
      <c r="G3359" s="87"/>
      <c r="H3359" s="90"/>
    </row>
    <row r="3360" spans="7:8">
      <c r="G3360" s="87"/>
      <c r="H3360" s="90"/>
    </row>
    <row r="3361" spans="7:8">
      <c r="G3361" s="87"/>
      <c r="H3361" s="90"/>
    </row>
    <row r="3362" spans="7:8">
      <c r="G3362" s="87"/>
      <c r="H3362" s="90"/>
    </row>
    <row r="3363" spans="7:8">
      <c r="G3363" s="87"/>
      <c r="H3363" s="90"/>
    </row>
    <row r="3364" spans="7:8">
      <c r="G3364" s="87"/>
      <c r="H3364" s="90"/>
    </row>
    <row r="3365" spans="7:8">
      <c r="G3365" s="87"/>
      <c r="H3365" s="90"/>
    </row>
    <row r="3366" spans="7:8">
      <c r="G3366" s="87"/>
      <c r="H3366" s="90"/>
    </row>
    <row r="3367" spans="7:8">
      <c r="G3367" s="87"/>
      <c r="H3367" s="90"/>
    </row>
    <row r="3368" spans="7:8">
      <c r="G3368" s="87"/>
      <c r="H3368" s="90"/>
    </row>
    <row r="3369" spans="7:8">
      <c r="G3369" s="87"/>
      <c r="H3369" s="90"/>
    </row>
    <row r="3370" spans="7:8">
      <c r="G3370" s="87"/>
      <c r="H3370" s="90"/>
    </row>
    <row r="3371" spans="7:8">
      <c r="G3371" s="87"/>
      <c r="H3371" s="90"/>
    </row>
    <row r="3372" spans="7:8">
      <c r="G3372" s="87"/>
      <c r="H3372" s="90"/>
    </row>
    <row r="3373" spans="7:8">
      <c r="G3373" s="87"/>
      <c r="H3373" s="90"/>
    </row>
    <row r="3374" spans="7:8">
      <c r="G3374" s="87"/>
      <c r="H3374" s="90"/>
    </row>
    <row r="3375" spans="7:8">
      <c r="G3375" s="87"/>
      <c r="H3375" s="90"/>
    </row>
    <row r="3376" spans="7:8">
      <c r="G3376" s="87"/>
      <c r="H3376" s="90"/>
    </row>
    <row r="3377" spans="7:8">
      <c r="G3377" s="87"/>
      <c r="H3377" s="90"/>
    </row>
    <row r="3378" spans="7:8">
      <c r="G3378" s="87"/>
      <c r="H3378" s="90"/>
    </row>
    <row r="3379" spans="7:8">
      <c r="G3379" s="87"/>
      <c r="H3379" s="90"/>
    </row>
    <row r="3380" spans="7:8">
      <c r="G3380" s="87"/>
      <c r="H3380" s="90"/>
    </row>
    <row r="3381" spans="7:8">
      <c r="G3381" s="87"/>
      <c r="H3381" s="90"/>
    </row>
    <row r="3382" spans="7:8">
      <c r="G3382" s="87"/>
      <c r="H3382" s="90"/>
    </row>
    <row r="3383" spans="7:8">
      <c r="G3383" s="87"/>
      <c r="H3383" s="90"/>
    </row>
    <row r="3384" spans="7:8">
      <c r="G3384" s="87"/>
      <c r="H3384" s="90"/>
    </row>
    <row r="3385" spans="7:8">
      <c r="G3385" s="87"/>
      <c r="H3385" s="90"/>
    </row>
    <row r="3386" spans="7:8">
      <c r="G3386" s="87"/>
      <c r="H3386" s="90"/>
    </row>
    <row r="3387" spans="7:8">
      <c r="G3387" s="87"/>
      <c r="H3387" s="90"/>
    </row>
    <row r="3388" spans="7:8">
      <c r="G3388" s="87"/>
      <c r="H3388" s="90"/>
    </row>
    <row r="3389" spans="7:8">
      <c r="G3389" s="87"/>
      <c r="H3389" s="90"/>
    </row>
    <row r="3390" spans="7:8">
      <c r="G3390" s="87"/>
      <c r="H3390" s="90"/>
    </row>
    <row r="3391" spans="7:8">
      <c r="G3391" s="87"/>
      <c r="H3391" s="90"/>
    </row>
    <row r="3392" spans="7:8">
      <c r="G3392" s="87"/>
      <c r="H3392" s="90"/>
    </row>
    <row r="3393" spans="7:8">
      <c r="G3393" s="87"/>
      <c r="H3393" s="90"/>
    </row>
    <row r="3394" spans="7:8">
      <c r="G3394" s="87"/>
      <c r="H3394" s="90"/>
    </row>
    <row r="3395" spans="7:8">
      <c r="G3395" s="87"/>
      <c r="H3395" s="90"/>
    </row>
    <row r="3396" spans="7:8">
      <c r="G3396" s="87"/>
      <c r="H3396" s="90"/>
    </row>
    <row r="3397" spans="7:8">
      <c r="G3397" s="87"/>
      <c r="H3397" s="90"/>
    </row>
    <row r="3398" spans="7:8">
      <c r="G3398" s="87"/>
      <c r="H3398" s="90"/>
    </row>
    <row r="3399" spans="7:8">
      <c r="G3399" s="87"/>
      <c r="H3399" s="90"/>
    </row>
    <row r="3400" spans="7:8">
      <c r="G3400" s="87"/>
      <c r="H3400" s="90"/>
    </row>
    <row r="3401" spans="7:8">
      <c r="G3401" s="87"/>
      <c r="H3401" s="90"/>
    </row>
    <row r="3402" spans="7:8">
      <c r="G3402" s="87"/>
      <c r="H3402" s="90"/>
    </row>
    <row r="3403" spans="7:8">
      <c r="G3403" s="87"/>
      <c r="H3403" s="90"/>
    </row>
    <row r="3404" spans="7:8">
      <c r="G3404" s="87"/>
      <c r="H3404" s="90"/>
    </row>
    <row r="3405" spans="7:8">
      <c r="G3405" s="87"/>
      <c r="H3405" s="90"/>
    </row>
    <row r="3406" spans="7:8">
      <c r="G3406" s="87"/>
      <c r="H3406" s="90"/>
    </row>
    <row r="3407" spans="7:8">
      <c r="G3407" s="87"/>
      <c r="H3407" s="90"/>
    </row>
    <row r="3408" spans="7:8">
      <c r="G3408" s="87"/>
      <c r="H3408" s="90"/>
    </row>
    <row r="3409" spans="7:8">
      <c r="G3409" s="87"/>
      <c r="H3409" s="90"/>
    </row>
    <row r="3410" spans="7:8">
      <c r="G3410" s="87"/>
      <c r="H3410" s="90"/>
    </row>
    <row r="3411" spans="7:8">
      <c r="G3411" s="87"/>
      <c r="H3411" s="90"/>
    </row>
    <row r="3412" spans="7:8">
      <c r="G3412" s="87"/>
      <c r="H3412" s="90"/>
    </row>
    <row r="3413" spans="7:8">
      <c r="G3413" s="87"/>
      <c r="H3413" s="90"/>
    </row>
    <row r="3414" spans="7:8">
      <c r="G3414" s="87"/>
      <c r="H3414" s="90"/>
    </row>
    <row r="3415" spans="7:8">
      <c r="G3415" s="87"/>
      <c r="H3415" s="90"/>
    </row>
    <row r="3416" spans="7:8">
      <c r="G3416" s="87"/>
      <c r="H3416" s="90"/>
    </row>
    <row r="3417" spans="7:8">
      <c r="G3417" s="87"/>
      <c r="H3417" s="90"/>
    </row>
    <row r="3418" spans="7:8">
      <c r="G3418" s="87"/>
      <c r="H3418" s="90"/>
    </row>
    <row r="3419" spans="7:8">
      <c r="G3419" s="87"/>
      <c r="H3419" s="90"/>
    </row>
    <row r="3420" spans="7:8">
      <c r="G3420" s="87"/>
      <c r="H3420" s="90"/>
    </row>
    <row r="3421" spans="7:8">
      <c r="G3421" s="87"/>
      <c r="H3421" s="90"/>
    </row>
    <row r="3422" spans="7:8">
      <c r="G3422" s="87"/>
      <c r="H3422" s="90"/>
    </row>
    <row r="3423" spans="7:8">
      <c r="G3423" s="87"/>
      <c r="H3423" s="90"/>
    </row>
    <row r="3424" spans="7:8">
      <c r="G3424" s="87"/>
      <c r="H3424" s="90"/>
    </row>
    <row r="3425" spans="7:8">
      <c r="G3425" s="87"/>
      <c r="H3425" s="90"/>
    </row>
    <row r="3426" spans="7:8">
      <c r="G3426" s="87"/>
      <c r="H3426" s="90"/>
    </row>
    <row r="3427" spans="7:8">
      <c r="G3427" s="87"/>
      <c r="H3427" s="90"/>
    </row>
    <row r="3428" spans="7:8">
      <c r="G3428" s="87"/>
      <c r="H3428" s="90"/>
    </row>
    <row r="3429" spans="7:8">
      <c r="G3429" s="87"/>
      <c r="H3429" s="90"/>
    </row>
    <row r="3430" spans="7:8">
      <c r="G3430" s="87"/>
      <c r="H3430" s="90"/>
    </row>
    <row r="3431" spans="7:8">
      <c r="G3431" s="87"/>
      <c r="H3431" s="90"/>
    </row>
    <row r="3432" spans="7:8">
      <c r="G3432" s="87"/>
      <c r="H3432" s="90"/>
    </row>
    <row r="3433" spans="7:8">
      <c r="G3433" s="87"/>
      <c r="H3433" s="90"/>
    </row>
    <row r="3434" spans="7:8">
      <c r="G3434" s="87"/>
      <c r="H3434" s="90"/>
    </row>
    <row r="3435" spans="7:8">
      <c r="G3435" s="87"/>
      <c r="H3435" s="90"/>
    </row>
    <row r="3436" spans="7:8">
      <c r="G3436" s="87"/>
      <c r="H3436" s="90"/>
    </row>
    <row r="3437" spans="7:8">
      <c r="G3437" s="87"/>
      <c r="H3437" s="90"/>
    </row>
    <row r="3438" spans="7:8">
      <c r="G3438" s="87"/>
      <c r="H3438" s="90"/>
    </row>
    <row r="3439" spans="7:8">
      <c r="G3439" s="87"/>
      <c r="H3439" s="90"/>
    </row>
    <row r="3440" spans="7:8">
      <c r="G3440" s="87"/>
      <c r="H3440" s="90"/>
    </row>
    <row r="3441" spans="7:8">
      <c r="G3441" s="87"/>
      <c r="H3441" s="90"/>
    </row>
    <row r="3442" spans="7:8">
      <c r="G3442" s="87"/>
      <c r="H3442" s="90"/>
    </row>
    <row r="3443" spans="7:8">
      <c r="G3443" s="87"/>
      <c r="H3443" s="90"/>
    </row>
    <row r="3444" spans="7:8">
      <c r="G3444" s="87"/>
      <c r="H3444" s="90"/>
    </row>
    <row r="3445" spans="7:8">
      <c r="G3445" s="87"/>
      <c r="H3445" s="90"/>
    </row>
    <row r="3446" spans="7:8">
      <c r="G3446" s="87"/>
      <c r="H3446" s="90"/>
    </row>
    <row r="3447" spans="7:8">
      <c r="G3447" s="87"/>
      <c r="H3447" s="90"/>
    </row>
    <row r="3448" spans="7:8">
      <c r="G3448" s="87"/>
      <c r="H3448" s="90"/>
    </row>
    <row r="3449" spans="7:8">
      <c r="G3449" s="87"/>
      <c r="H3449" s="90"/>
    </row>
    <row r="3450" spans="7:8">
      <c r="G3450" s="87"/>
      <c r="H3450" s="90"/>
    </row>
    <row r="3451" spans="7:8">
      <c r="G3451" s="87"/>
      <c r="H3451" s="90"/>
    </row>
    <row r="3452" spans="7:8">
      <c r="G3452" s="87"/>
      <c r="H3452" s="90"/>
    </row>
    <row r="3453" spans="7:8">
      <c r="G3453" s="87"/>
      <c r="H3453" s="90"/>
    </row>
    <row r="3454" spans="7:8">
      <c r="G3454" s="87"/>
      <c r="H3454" s="90"/>
    </row>
    <row r="3455" spans="7:8">
      <c r="G3455" s="87"/>
      <c r="H3455" s="90"/>
    </row>
    <row r="3456" spans="7:8">
      <c r="G3456" s="87"/>
      <c r="H3456" s="90"/>
    </row>
    <row r="3457" spans="7:8">
      <c r="G3457" s="87"/>
      <c r="H3457" s="90"/>
    </row>
    <row r="3458" spans="7:8">
      <c r="G3458" s="87"/>
      <c r="H3458" s="90"/>
    </row>
    <row r="3459" spans="7:8">
      <c r="G3459" s="87"/>
      <c r="H3459" s="90"/>
    </row>
    <row r="3460" spans="7:8">
      <c r="G3460" s="87"/>
      <c r="H3460" s="90"/>
    </row>
    <row r="3461" spans="7:8">
      <c r="G3461" s="87"/>
      <c r="H3461" s="90"/>
    </row>
    <row r="3462" spans="7:8">
      <c r="G3462" s="87"/>
      <c r="H3462" s="90"/>
    </row>
    <row r="3463" spans="7:8">
      <c r="G3463" s="87"/>
      <c r="H3463" s="90"/>
    </row>
    <row r="3464" spans="7:8">
      <c r="G3464" s="87"/>
      <c r="H3464" s="90"/>
    </row>
    <row r="3465" spans="7:8">
      <c r="G3465" s="87"/>
      <c r="H3465" s="90"/>
    </row>
    <row r="3466" spans="7:8">
      <c r="G3466" s="87"/>
      <c r="H3466" s="90"/>
    </row>
    <row r="3467" spans="7:8">
      <c r="G3467" s="87"/>
      <c r="H3467" s="90"/>
    </row>
    <row r="3468" spans="7:8">
      <c r="G3468" s="87"/>
      <c r="H3468" s="90"/>
    </row>
    <row r="3469" spans="7:8">
      <c r="G3469" s="87"/>
      <c r="H3469" s="90"/>
    </row>
    <row r="3470" spans="7:8">
      <c r="G3470" s="87"/>
      <c r="H3470" s="90"/>
    </row>
    <row r="3471" spans="7:8">
      <c r="G3471" s="87"/>
      <c r="H3471" s="90"/>
    </row>
    <row r="3472" spans="7:8">
      <c r="G3472" s="87"/>
      <c r="H3472" s="90"/>
    </row>
    <row r="3473" spans="7:8">
      <c r="G3473" s="87"/>
      <c r="H3473" s="90"/>
    </row>
    <row r="3474" spans="7:8">
      <c r="G3474" s="87"/>
      <c r="H3474" s="90"/>
    </row>
    <row r="3475" spans="7:8">
      <c r="G3475" s="87"/>
      <c r="H3475" s="90"/>
    </row>
    <row r="3476" spans="7:8">
      <c r="G3476" s="87"/>
      <c r="H3476" s="90"/>
    </row>
    <row r="3477" spans="7:8">
      <c r="G3477" s="87"/>
      <c r="H3477" s="90"/>
    </row>
    <row r="3478" spans="7:8">
      <c r="G3478" s="87"/>
      <c r="H3478" s="90"/>
    </row>
    <row r="3479" spans="7:8">
      <c r="G3479" s="87"/>
      <c r="H3479" s="90"/>
    </row>
    <row r="3480" spans="7:8">
      <c r="G3480" s="87"/>
      <c r="H3480" s="90"/>
    </row>
    <row r="3481" spans="7:8">
      <c r="G3481" s="87"/>
      <c r="H3481" s="90"/>
    </row>
    <row r="3482" spans="7:8">
      <c r="G3482" s="87"/>
      <c r="H3482" s="90"/>
    </row>
    <row r="3483" spans="7:8">
      <c r="G3483" s="87"/>
      <c r="H3483" s="90"/>
    </row>
    <row r="3484" spans="7:8">
      <c r="G3484" s="87"/>
      <c r="H3484" s="90"/>
    </row>
    <row r="3485" spans="7:8">
      <c r="G3485" s="87"/>
      <c r="H3485" s="90"/>
    </row>
    <row r="3486" spans="7:8">
      <c r="G3486" s="87"/>
      <c r="H3486" s="90"/>
    </row>
    <row r="3487" spans="7:8">
      <c r="G3487" s="87"/>
      <c r="H3487" s="90"/>
    </row>
    <row r="3488" spans="7:8">
      <c r="G3488" s="87"/>
      <c r="H3488" s="90"/>
    </row>
    <row r="3489" spans="7:8">
      <c r="G3489" s="87"/>
      <c r="H3489" s="90"/>
    </row>
    <row r="3490" spans="7:8">
      <c r="G3490" s="87"/>
      <c r="H3490" s="90"/>
    </row>
    <row r="3491" spans="7:8">
      <c r="G3491" s="87"/>
      <c r="H3491" s="90"/>
    </row>
    <row r="3492" spans="7:8">
      <c r="G3492" s="87"/>
      <c r="H3492" s="90"/>
    </row>
    <row r="3493" spans="7:8">
      <c r="G3493" s="87"/>
      <c r="H3493" s="90"/>
    </row>
    <row r="3494" spans="7:8">
      <c r="G3494" s="87"/>
      <c r="H3494" s="90"/>
    </row>
    <row r="3495" spans="7:8">
      <c r="G3495" s="87"/>
      <c r="H3495" s="90"/>
    </row>
    <row r="3496" spans="7:8">
      <c r="G3496" s="87"/>
      <c r="H3496" s="90"/>
    </row>
    <row r="3497" spans="7:8">
      <c r="G3497" s="87"/>
      <c r="H3497" s="90"/>
    </row>
    <row r="3498" spans="7:8">
      <c r="G3498" s="87"/>
      <c r="H3498" s="90"/>
    </row>
    <row r="3499" spans="7:8">
      <c r="G3499" s="87"/>
      <c r="H3499" s="90"/>
    </row>
    <row r="3500" spans="7:8">
      <c r="G3500" s="87"/>
      <c r="H3500" s="90"/>
    </row>
    <row r="3501" spans="7:8">
      <c r="G3501" s="87"/>
      <c r="H3501" s="90"/>
    </row>
    <row r="3502" spans="7:8">
      <c r="G3502" s="87"/>
      <c r="H3502" s="90"/>
    </row>
    <row r="3503" spans="7:8">
      <c r="G3503" s="87"/>
      <c r="H3503" s="90"/>
    </row>
    <row r="3504" spans="7:8">
      <c r="G3504" s="87"/>
      <c r="H3504" s="90"/>
    </row>
    <row r="3505" spans="7:8">
      <c r="G3505" s="87"/>
      <c r="H3505" s="90"/>
    </row>
    <row r="3506" spans="7:8">
      <c r="G3506" s="87"/>
      <c r="H3506" s="90"/>
    </row>
    <row r="3507" spans="7:8">
      <c r="G3507" s="87"/>
      <c r="H3507" s="90"/>
    </row>
    <row r="3508" spans="7:8">
      <c r="G3508" s="87"/>
      <c r="H3508" s="90"/>
    </row>
    <row r="3509" spans="7:8">
      <c r="G3509" s="87"/>
      <c r="H3509" s="90"/>
    </row>
    <row r="3510" spans="7:8">
      <c r="G3510" s="87"/>
      <c r="H3510" s="90"/>
    </row>
    <row r="3511" spans="7:8">
      <c r="G3511" s="87"/>
      <c r="H3511" s="90"/>
    </row>
    <row r="3512" spans="7:8">
      <c r="G3512" s="87"/>
      <c r="H3512" s="90"/>
    </row>
    <row r="3513" spans="7:8">
      <c r="G3513" s="87"/>
      <c r="H3513" s="90"/>
    </row>
    <row r="3514" spans="7:8">
      <c r="G3514" s="87"/>
      <c r="H3514" s="90"/>
    </row>
    <row r="3515" spans="7:8">
      <c r="G3515" s="87"/>
      <c r="H3515" s="90"/>
    </row>
    <row r="3516" spans="7:8">
      <c r="G3516" s="87"/>
      <c r="H3516" s="90"/>
    </row>
    <row r="3517" spans="7:8">
      <c r="G3517" s="87"/>
      <c r="H3517" s="90"/>
    </row>
    <row r="3518" spans="7:8">
      <c r="G3518" s="87"/>
      <c r="H3518" s="90"/>
    </row>
    <row r="3519" spans="7:8">
      <c r="G3519" s="87"/>
      <c r="H3519" s="90"/>
    </row>
    <row r="3520" spans="7:8">
      <c r="G3520" s="87"/>
      <c r="H3520" s="90"/>
    </row>
    <row r="3521" spans="7:8">
      <c r="G3521" s="87"/>
      <c r="H3521" s="90"/>
    </row>
    <row r="3522" spans="7:8">
      <c r="G3522" s="87"/>
      <c r="H3522" s="90"/>
    </row>
    <row r="3523" spans="7:8">
      <c r="G3523" s="87"/>
      <c r="H3523" s="90"/>
    </row>
    <row r="3524" spans="7:8">
      <c r="G3524" s="87"/>
      <c r="H3524" s="90"/>
    </row>
    <row r="3525" spans="7:8">
      <c r="G3525" s="87"/>
      <c r="H3525" s="90"/>
    </row>
    <row r="3526" spans="7:8">
      <c r="G3526" s="87"/>
      <c r="H3526" s="90"/>
    </row>
    <row r="3527" spans="7:8">
      <c r="G3527" s="87"/>
      <c r="H3527" s="90"/>
    </row>
    <row r="3528" spans="7:8">
      <c r="G3528" s="87"/>
      <c r="H3528" s="90"/>
    </row>
    <row r="3529" spans="7:8">
      <c r="G3529" s="87"/>
      <c r="H3529" s="90"/>
    </row>
    <row r="3530" spans="7:8">
      <c r="G3530" s="87"/>
      <c r="H3530" s="90"/>
    </row>
    <row r="3531" spans="7:8">
      <c r="G3531" s="87"/>
      <c r="H3531" s="90"/>
    </row>
    <row r="3532" spans="7:8">
      <c r="G3532" s="87"/>
      <c r="H3532" s="90"/>
    </row>
    <row r="3533" spans="7:8">
      <c r="G3533" s="87"/>
      <c r="H3533" s="90"/>
    </row>
    <row r="3534" spans="7:8">
      <c r="G3534" s="87"/>
      <c r="H3534" s="90"/>
    </row>
    <row r="3535" spans="7:8">
      <c r="G3535" s="87"/>
      <c r="H3535" s="90"/>
    </row>
    <row r="3536" spans="7:8">
      <c r="G3536" s="87"/>
      <c r="H3536" s="90"/>
    </row>
    <row r="3537" spans="7:8">
      <c r="G3537" s="87"/>
      <c r="H3537" s="90"/>
    </row>
    <row r="3538" spans="7:8">
      <c r="G3538" s="87"/>
      <c r="H3538" s="90"/>
    </row>
    <row r="3539" spans="7:8">
      <c r="G3539" s="87"/>
      <c r="H3539" s="90"/>
    </row>
    <row r="3540" spans="7:8">
      <c r="G3540" s="87"/>
      <c r="H3540" s="90"/>
    </row>
    <row r="3541" spans="7:8">
      <c r="G3541" s="87"/>
      <c r="H3541" s="90"/>
    </row>
    <row r="3542" spans="7:8">
      <c r="G3542" s="87"/>
      <c r="H3542" s="90"/>
    </row>
    <row r="3543" spans="7:8">
      <c r="G3543" s="87"/>
      <c r="H3543" s="90"/>
    </row>
    <row r="3544" spans="7:8">
      <c r="G3544" s="87"/>
      <c r="H3544" s="90"/>
    </row>
    <row r="3545" spans="7:8">
      <c r="G3545" s="87"/>
      <c r="H3545" s="90"/>
    </row>
    <row r="3546" spans="7:8">
      <c r="G3546" s="87"/>
      <c r="H3546" s="90"/>
    </row>
    <row r="3547" spans="7:8">
      <c r="G3547" s="87"/>
      <c r="H3547" s="90"/>
    </row>
    <row r="3548" spans="7:8">
      <c r="G3548" s="87"/>
      <c r="H3548" s="90"/>
    </row>
    <row r="3549" spans="7:8">
      <c r="G3549" s="87"/>
      <c r="H3549" s="90"/>
    </row>
    <row r="3550" spans="7:8">
      <c r="G3550" s="87"/>
      <c r="H3550" s="90"/>
    </row>
    <row r="3551" spans="7:8">
      <c r="G3551" s="87"/>
      <c r="H3551" s="90"/>
    </row>
    <row r="3552" spans="7:8">
      <c r="G3552" s="87"/>
      <c r="H3552" s="90"/>
    </row>
    <row r="3553" spans="7:8">
      <c r="G3553" s="87"/>
      <c r="H3553" s="90"/>
    </row>
    <row r="3554" spans="7:8">
      <c r="G3554" s="87"/>
      <c r="H3554" s="90"/>
    </row>
    <row r="3555" spans="7:8">
      <c r="G3555" s="87"/>
      <c r="H3555" s="90"/>
    </row>
    <row r="3556" spans="7:8">
      <c r="G3556" s="87"/>
      <c r="H3556" s="90"/>
    </row>
    <row r="3557" spans="7:8">
      <c r="G3557" s="87"/>
      <c r="H3557" s="90"/>
    </row>
    <row r="3558" spans="7:8">
      <c r="G3558" s="87"/>
      <c r="H3558" s="90"/>
    </row>
    <row r="3559" spans="7:8">
      <c r="G3559" s="87"/>
      <c r="H3559" s="90"/>
    </row>
    <row r="3560" spans="7:8">
      <c r="G3560" s="87"/>
      <c r="H3560" s="90"/>
    </row>
    <row r="3561" spans="7:8">
      <c r="G3561" s="87"/>
      <c r="H3561" s="90"/>
    </row>
    <row r="3562" spans="7:8">
      <c r="G3562" s="87"/>
      <c r="H3562" s="90"/>
    </row>
    <row r="3563" spans="7:8">
      <c r="G3563" s="87"/>
      <c r="H3563" s="90"/>
    </row>
    <row r="3564" spans="7:8">
      <c r="G3564" s="87"/>
      <c r="H3564" s="90"/>
    </row>
    <row r="3565" spans="7:8">
      <c r="G3565" s="87"/>
      <c r="H3565" s="90"/>
    </row>
    <row r="3566" spans="7:8">
      <c r="G3566" s="87"/>
      <c r="H3566" s="90"/>
    </row>
    <row r="3567" spans="7:8">
      <c r="G3567" s="87"/>
      <c r="H3567" s="90"/>
    </row>
    <row r="3568" spans="7:8">
      <c r="G3568" s="87"/>
      <c r="H3568" s="90"/>
    </row>
    <row r="3569" spans="7:8">
      <c r="G3569" s="87"/>
      <c r="H3569" s="90"/>
    </row>
    <row r="3570" spans="7:8">
      <c r="G3570" s="87"/>
      <c r="H3570" s="90"/>
    </row>
    <row r="3571" spans="7:8">
      <c r="G3571" s="87"/>
      <c r="H3571" s="90"/>
    </row>
    <row r="3572" spans="7:8">
      <c r="G3572" s="87"/>
      <c r="H3572" s="90"/>
    </row>
    <row r="3573" spans="7:8">
      <c r="G3573" s="87"/>
      <c r="H3573" s="90"/>
    </row>
    <row r="3574" spans="7:8">
      <c r="G3574" s="87"/>
      <c r="H3574" s="90"/>
    </row>
    <row r="3575" spans="7:8">
      <c r="G3575" s="87"/>
      <c r="H3575" s="90"/>
    </row>
    <row r="3576" spans="7:8">
      <c r="G3576" s="87"/>
      <c r="H3576" s="90"/>
    </row>
    <row r="3577" spans="7:8">
      <c r="G3577" s="87"/>
      <c r="H3577" s="90"/>
    </row>
    <row r="3578" spans="7:8">
      <c r="G3578" s="87"/>
      <c r="H3578" s="90"/>
    </row>
    <row r="3579" spans="7:8">
      <c r="G3579" s="87"/>
      <c r="H3579" s="90"/>
    </row>
    <row r="3580" spans="7:8">
      <c r="G3580" s="87"/>
      <c r="H3580" s="90"/>
    </row>
    <row r="3581" spans="7:8">
      <c r="G3581" s="87"/>
      <c r="H3581" s="90"/>
    </row>
    <row r="3582" spans="7:8">
      <c r="G3582" s="87"/>
      <c r="H3582" s="90"/>
    </row>
    <row r="3583" spans="7:8">
      <c r="G3583" s="87"/>
      <c r="H3583" s="90"/>
    </row>
    <row r="3584" spans="7:8">
      <c r="G3584" s="87"/>
      <c r="H3584" s="90"/>
    </row>
    <row r="3585" spans="7:8">
      <c r="G3585" s="87"/>
      <c r="H3585" s="90"/>
    </row>
    <row r="3586" spans="7:8">
      <c r="G3586" s="87"/>
      <c r="H3586" s="90"/>
    </row>
    <row r="3587" spans="7:8">
      <c r="G3587" s="87"/>
      <c r="H3587" s="90"/>
    </row>
    <row r="3588" spans="7:8">
      <c r="G3588" s="87"/>
      <c r="H3588" s="90"/>
    </row>
    <row r="3589" spans="7:8">
      <c r="G3589" s="87"/>
      <c r="H3589" s="90"/>
    </row>
    <row r="3590" spans="7:8">
      <c r="G3590" s="87"/>
      <c r="H3590" s="90"/>
    </row>
    <row r="3591" spans="7:8">
      <c r="G3591" s="87"/>
      <c r="H3591" s="90"/>
    </row>
    <row r="3592" spans="7:8">
      <c r="G3592" s="87"/>
      <c r="H3592" s="90"/>
    </row>
    <row r="3593" spans="7:8">
      <c r="G3593" s="87"/>
      <c r="H3593" s="90"/>
    </row>
    <row r="3594" spans="7:8">
      <c r="G3594" s="87"/>
      <c r="H3594" s="90"/>
    </row>
    <row r="3595" spans="7:8">
      <c r="G3595" s="87"/>
      <c r="H3595" s="90"/>
    </row>
    <row r="3596" spans="7:8">
      <c r="G3596" s="87"/>
      <c r="H3596" s="90"/>
    </row>
    <row r="3597" spans="7:8">
      <c r="G3597" s="87"/>
      <c r="H3597" s="90"/>
    </row>
    <row r="3598" spans="7:8">
      <c r="G3598" s="87"/>
      <c r="H3598" s="90"/>
    </row>
    <row r="3599" spans="7:8">
      <c r="G3599" s="87"/>
      <c r="H3599" s="90"/>
    </row>
    <row r="3600" spans="7:8">
      <c r="G3600" s="87"/>
      <c r="H3600" s="90"/>
    </row>
    <row r="3601" spans="7:8">
      <c r="G3601" s="87"/>
      <c r="H3601" s="90"/>
    </row>
    <row r="3602" spans="7:8">
      <c r="G3602" s="87"/>
      <c r="H3602" s="90"/>
    </row>
    <row r="3603" spans="7:8">
      <c r="G3603" s="87"/>
      <c r="H3603" s="90"/>
    </row>
    <row r="3604" spans="7:8">
      <c r="G3604" s="87"/>
      <c r="H3604" s="90"/>
    </row>
    <row r="3605" spans="7:8">
      <c r="G3605" s="87"/>
      <c r="H3605" s="90"/>
    </row>
    <row r="3606" spans="7:8">
      <c r="G3606" s="87"/>
      <c r="H3606" s="90"/>
    </row>
    <row r="3607" spans="7:8">
      <c r="G3607" s="87"/>
      <c r="H3607" s="90"/>
    </row>
    <row r="3608" spans="7:8">
      <c r="G3608" s="87"/>
      <c r="H3608" s="90"/>
    </row>
    <row r="3609" spans="7:8">
      <c r="G3609" s="87"/>
      <c r="H3609" s="90"/>
    </row>
    <row r="3610" spans="7:8">
      <c r="G3610" s="87"/>
      <c r="H3610" s="90"/>
    </row>
    <row r="3611" spans="7:8">
      <c r="G3611" s="87"/>
      <c r="H3611" s="90"/>
    </row>
    <row r="3612" spans="7:8">
      <c r="G3612" s="87"/>
      <c r="H3612" s="90"/>
    </row>
    <row r="3613" spans="7:8">
      <c r="G3613" s="87"/>
      <c r="H3613" s="90"/>
    </row>
    <row r="3614" spans="7:8">
      <c r="G3614" s="87"/>
      <c r="H3614" s="90"/>
    </row>
    <row r="3615" spans="7:8">
      <c r="G3615" s="87"/>
      <c r="H3615" s="90"/>
    </row>
    <row r="3616" spans="7:8">
      <c r="G3616" s="87"/>
      <c r="H3616" s="90"/>
    </row>
    <row r="3617" spans="7:8">
      <c r="G3617" s="87"/>
      <c r="H3617" s="90"/>
    </row>
    <row r="3618" spans="7:8">
      <c r="G3618" s="87"/>
      <c r="H3618" s="90"/>
    </row>
    <row r="3619" spans="7:8">
      <c r="G3619" s="87"/>
      <c r="H3619" s="90"/>
    </row>
    <row r="3620" spans="7:8">
      <c r="G3620" s="87"/>
      <c r="H3620" s="90"/>
    </row>
    <row r="3621" spans="7:8">
      <c r="G3621" s="87"/>
      <c r="H3621" s="90"/>
    </row>
    <row r="3622" spans="7:8">
      <c r="G3622" s="87"/>
      <c r="H3622" s="90"/>
    </row>
    <row r="3623" spans="7:8">
      <c r="G3623" s="87"/>
      <c r="H3623" s="90"/>
    </row>
    <row r="3624" spans="7:8">
      <c r="G3624" s="87"/>
      <c r="H3624" s="90"/>
    </row>
    <row r="3625" spans="7:8">
      <c r="G3625" s="87"/>
      <c r="H3625" s="90"/>
    </row>
    <row r="3626" spans="7:8">
      <c r="G3626" s="87"/>
      <c r="H3626" s="90"/>
    </row>
    <row r="3627" spans="7:8">
      <c r="G3627" s="87"/>
      <c r="H3627" s="90"/>
    </row>
    <row r="3628" spans="7:8">
      <c r="G3628" s="87"/>
      <c r="H3628" s="90"/>
    </row>
    <row r="3629" spans="7:8">
      <c r="G3629" s="87"/>
      <c r="H3629" s="90"/>
    </row>
    <row r="3630" spans="7:8">
      <c r="G3630" s="87"/>
      <c r="H3630" s="90"/>
    </row>
    <row r="3631" spans="7:8">
      <c r="G3631" s="87"/>
      <c r="H3631" s="90"/>
    </row>
    <row r="3632" spans="7:8">
      <c r="G3632" s="87"/>
      <c r="H3632" s="90"/>
    </row>
    <row r="3633" spans="7:8">
      <c r="G3633" s="87"/>
      <c r="H3633" s="90"/>
    </row>
    <row r="3634" spans="7:8">
      <c r="G3634" s="87"/>
      <c r="H3634" s="90"/>
    </row>
    <row r="3635" spans="7:8">
      <c r="G3635" s="87"/>
      <c r="H3635" s="90"/>
    </row>
    <row r="3636" spans="7:8">
      <c r="G3636" s="87"/>
      <c r="H3636" s="90"/>
    </row>
    <row r="3637" spans="7:8">
      <c r="G3637" s="87"/>
      <c r="H3637" s="90"/>
    </row>
    <row r="3638" spans="7:8">
      <c r="G3638" s="87"/>
      <c r="H3638" s="90"/>
    </row>
    <row r="3639" spans="7:8">
      <c r="G3639" s="87"/>
      <c r="H3639" s="90"/>
    </row>
    <row r="3640" spans="7:8">
      <c r="G3640" s="87"/>
      <c r="H3640" s="90"/>
    </row>
    <row r="3641" spans="7:8">
      <c r="G3641" s="87"/>
      <c r="H3641" s="90"/>
    </row>
    <row r="3642" spans="7:8">
      <c r="G3642" s="87"/>
      <c r="H3642" s="90"/>
    </row>
    <row r="3643" spans="7:8">
      <c r="G3643" s="87"/>
      <c r="H3643" s="90"/>
    </row>
    <row r="3644" spans="7:8">
      <c r="G3644" s="87"/>
      <c r="H3644" s="90"/>
    </row>
    <row r="3645" spans="7:8">
      <c r="G3645" s="87"/>
      <c r="H3645" s="90"/>
    </row>
    <row r="3646" spans="7:8">
      <c r="G3646" s="87"/>
      <c r="H3646" s="90"/>
    </row>
    <row r="3647" spans="7:8">
      <c r="G3647" s="87"/>
      <c r="H3647" s="90"/>
    </row>
    <row r="3648" spans="7:8">
      <c r="G3648" s="87"/>
      <c r="H3648" s="90"/>
    </row>
    <row r="3649" spans="7:8">
      <c r="G3649" s="87"/>
      <c r="H3649" s="90"/>
    </row>
    <row r="3650" spans="7:8">
      <c r="G3650" s="87"/>
      <c r="H3650" s="90"/>
    </row>
    <row r="3651" spans="7:8">
      <c r="G3651" s="87"/>
      <c r="H3651" s="90"/>
    </row>
    <row r="3652" spans="7:8">
      <c r="G3652" s="87"/>
      <c r="H3652" s="90"/>
    </row>
    <row r="3653" spans="7:8">
      <c r="G3653" s="87"/>
      <c r="H3653" s="90"/>
    </row>
    <row r="3654" spans="7:8">
      <c r="G3654" s="87"/>
      <c r="H3654" s="90"/>
    </row>
    <row r="3655" spans="7:8">
      <c r="G3655" s="87"/>
      <c r="H3655" s="90"/>
    </row>
    <row r="3656" spans="7:8">
      <c r="G3656" s="87"/>
      <c r="H3656" s="90"/>
    </row>
    <row r="3657" spans="7:8">
      <c r="G3657" s="87"/>
      <c r="H3657" s="90"/>
    </row>
    <row r="3658" spans="7:8">
      <c r="G3658" s="87"/>
      <c r="H3658" s="90"/>
    </row>
    <row r="3659" spans="7:8">
      <c r="G3659" s="87"/>
      <c r="H3659" s="90"/>
    </row>
    <row r="3660" spans="7:8">
      <c r="G3660" s="87"/>
      <c r="H3660" s="90"/>
    </row>
    <row r="3661" spans="7:8">
      <c r="G3661" s="87"/>
      <c r="H3661" s="90"/>
    </row>
    <row r="3662" spans="7:8">
      <c r="G3662" s="87"/>
      <c r="H3662" s="90"/>
    </row>
    <row r="3663" spans="7:8">
      <c r="G3663" s="87"/>
      <c r="H3663" s="90"/>
    </row>
    <row r="3664" spans="7:8">
      <c r="G3664" s="87"/>
      <c r="H3664" s="90"/>
    </row>
    <row r="3665" spans="7:8">
      <c r="G3665" s="87"/>
      <c r="H3665" s="90"/>
    </row>
    <row r="3666" spans="7:8">
      <c r="G3666" s="87"/>
      <c r="H3666" s="90"/>
    </row>
    <row r="3667" spans="7:8">
      <c r="G3667" s="87"/>
      <c r="H3667" s="90"/>
    </row>
    <row r="3668" spans="7:8">
      <c r="G3668" s="87"/>
      <c r="H3668" s="90"/>
    </row>
    <row r="3669" spans="7:8">
      <c r="G3669" s="87"/>
      <c r="H3669" s="90"/>
    </row>
    <row r="3670" spans="7:8">
      <c r="G3670" s="87"/>
      <c r="H3670" s="90"/>
    </row>
    <row r="3671" spans="7:8">
      <c r="G3671" s="87"/>
      <c r="H3671" s="90"/>
    </row>
    <row r="3672" spans="7:8">
      <c r="G3672" s="87"/>
      <c r="H3672" s="90"/>
    </row>
    <row r="3673" spans="7:8">
      <c r="G3673" s="87"/>
      <c r="H3673" s="90"/>
    </row>
    <row r="3674" spans="7:8">
      <c r="G3674" s="87"/>
      <c r="H3674" s="90"/>
    </row>
    <row r="3675" spans="7:8">
      <c r="G3675" s="87"/>
      <c r="H3675" s="90"/>
    </row>
    <row r="3676" spans="7:8">
      <c r="G3676" s="87"/>
      <c r="H3676" s="90"/>
    </row>
    <row r="3677" spans="7:8">
      <c r="G3677" s="87"/>
      <c r="H3677" s="90"/>
    </row>
    <row r="3678" spans="7:8">
      <c r="G3678" s="87"/>
      <c r="H3678" s="90"/>
    </row>
    <row r="3679" spans="7:8">
      <c r="G3679" s="87"/>
      <c r="H3679" s="90"/>
    </row>
    <row r="3680" spans="7:8">
      <c r="G3680" s="87"/>
      <c r="H3680" s="90"/>
    </row>
    <row r="3681" spans="7:8">
      <c r="G3681" s="87"/>
      <c r="H3681" s="90"/>
    </row>
    <row r="3682" spans="7:8">
      <c r="G3682" s="87"/>
      <c r="H3682" s="90"/>
    </row>
    <row r="3683" spans="7:8">
      <c r="G3683" s="87"/>
      <c r="H3683" s="90"/>
    </row>
    <row r="3684" spans="7:8">
      <c r="G3684" s="87"/>
      <c r="H3684" s="90"/>
    </row>
    <row r="3685" spans="7:8">
      <c r="G3685" s="87"/>
      <c r="H3685" s="90"/>
    </row>
    <row r="3686" spans="7:8">
      <c r="G3686" s="87"/>
      <c r="H3686" s="90"/>
    </row>
    <row r="3687" spans="7:8">
      <c r="G3687" s="87"/>
      <c r="H3687" s="90"/>
    </row>
    <row r="3688" spans="7:8">
      <c r="G3688" s="87"/>
      <c r="H3688" s="90"/>
    </row>
    <row r="3689" spans="7:8">
      <c r="G3689" s="87"/>
      <c r="H3689" s="90"/>
    </row>
    <row r="3690" spans="7:8">
      <c r="G3690" s="87"/>
      <c r="H3690" s="90"/>
    </row>
    <row r="3691" spans="7:8">
      <c r="G3691" s="87"/>
      <c r="H3691" s="90"/>
    </row>
    <row r="3692" spans="7:8">
      <c r="G3692" s="87"/>
      <c r="H3692" s="90"/>
    </row>
    <row r="3693" spans="7:8">
      <c r="G3693" s="87"/>
      <c r="H3693" s="90"/>
    </row>
    <row r="3694" spans="7:8">
      <c r="G3694" s="87"/>
      <c r="H3694" s="90"/>
    </row>
    <row r="3695" spans="7:8">
      <c r="G3695" s="87"/>
      <c r="H3695" s="90"/>
    </row>
    <row r="3696" spans="7:8">
      <c r="G3696" s="87"/>
      <c r="H3696" s="90"/>
    </row>
    <row r="3697" spans="7:8">
      <c r="G3697" s="87"/>
      <c r="H3697" s="90"/>
    </row>
    <row r="3698" spans="7:8">
      <c r="G3698" s="87"/>
      <c r="H3698" s="90"/>
    </row>
    <row r="3699" spans="7:8">
      <c r="G3699" s="87"/>
      <c r="H3699" s="90"/>
    </row>
    <row r="3700" spans="7:8">
      <c r="G3700" s="87"/>
      <c r="H3700" s="90"/>
    </row>
    <row r="3701" spans="7:8">
      <c r="G3701" s="87"/>
      <c r="H3701" s="90"/>
    </row>
    <row r="3702" spans="7:8">
      <c r="G3702" s="87"/>
      <c r="H3702" s="90"/>
    </row>
    <row r="3703" spans="7:8">
      <c r="G3703" s="87"/>
      <c r="H3703" s="90"/>
    </row>
    <row r="3704" spans="7:8">
      <c r="G3704" s="87"/>
      <c r="H3704" s="90"/>
    </row>
    <row r="3705" spans="7:8">
      <c r="G3705" s="87"/>
      <c r="H3705" s="90"/>
    </row>
    <row r="3706" spans="7:8">
      <c r="G3706" s="87"/>
      <c r="H3706" s="90"/>
    </row>
    <row r="3707" spans="7:8">
      <c r="G3707" s="87"/>
      <c r="H3707" s="90"/>
    </row>
    <row r="3708" spans="7:8">
      <c r="G3708" s="87"/>
      <c r="H3708" s="90"/>
    </row>
    <row r="3709" spans="7:8">
      <c r="G3709" s="87"/>
      <c r="H3709" s="90"/>
    </row>
    <row r="3710" spans="7:8">
      <c r="G3710" s="87"/>
      <c r="H3710" s="90"/>
    </row>
    <row r="3711" spans="7:8">
      <c r="G3711" s="87"/>
      <c r="H3711" s="90"/>
    </row>
    <row r="3712" spans="7:8">
      <c r="G3712" s="87"/>
      <c r="H3712" s="90"/>
    </row>
    <row r="3713" spans="7:8">
      <c r="G3713" s="87"/>
      <c r="H3713" s="90"/>
    </row>
    <row r="3714" spans="7:8">
      <c r="G3714" s="87"/>
      <c r="H3714" s="90"/>
    </row>
    <row r="3715" spans="7:8">
      <c r="G3715" s="87"/>
      <c r="H3715" s="90"/>
    </row>
    <row r="3716" spans="7:8">
      <c r="G3716" s="87"/>
      <c r="H3716" s="90"/>
    </row>
    <row r="3717" spans="7:8">
      <c r="G3717" s="87"/>
      <c r="H3717" s="90"/>
    </row>
    <row r="3718" spans="7:8">
      <c r="G3718" s="87"/>
      <c r="H3718" s="90"/>
    </row>
    <row r="3719" spans="7:8">
      <c r="G3719" s="87"/>
      <c r="H3719" s="90"/>
    </row>
    <row r="3720" spans="7:8">
      <c r="G3720" s="87"/>
      <c r="H3720" s="90"/>
    </row>
    <row r="3721" spans="7:8">
      <c r="G3721" s="87"/>
      <c r="H3721" s="90"/>
    </row>
    <row r="3722" spans="7:8">
      <c r="G3722" s="87"/>
      <c r="H3722" s="90"/>
    </row>
    <row r="3723" spans="7:8">
      <c r="G3723" s="87"/>
      <c r="H3723" s="90"/>
    </row>
    <row r="3724" spans="7:8">
      <c r="G3724" s="87"/>
      <c r="H3724" s="90"/>
    </row>
    <row r="3725" spans="7:8">
      <c r="G3725" s="87"/>
      <c r="H3725" s="90"/>
    </row>
    <row r="3726" spans="7:8">
      <c r="G3726" s="87"/>
      <c r="H3726" s="90"/>
    </row>
    <row r="3727" spans="7:8">
      <c r="G3727" s="87"/>
      <c r="H3727" s="90"/>
    </row>
    <row r="3728" spans="7:8">
      <c r="G3728" s="87"/>
      <c r="H3728" s="90"/>
    </row>
    <row r="3729" spans="7:8">
      <c r="G3729" s="87"/>
      <c r="H3729" s="90"/>
    </row>
    <row r="3730" spans="7:8">
      <c r="G3730" s="87"/>
      <c r="H3730" s="90"/>
    </row>
    <row r="3731" spans="7:8">
      <c r="G3731" s="87"/>
      <c r="H3731" s="90"/>
    </row>
    <row r="3732" spans="7:8">
      <c r="G3732" s="87"/>
      <c r="H3732" s="90"/>
    </row>
    <row r="3733" spans="7:8">
      <c r="G3733" s="87"/>
      <c r="H3733" s="90"/>
    </row>
    <row r="3734" spans="7:8">
      <c r="G3734" s="87"/>
      <c r="H3734" s="90"/>
    </row>
    <row r="3735" spans="7:8">
      <c r="G3735" s="87"/>
      <c r="H3735" s="90"/>
    </row>
    <row r="3736" spans="7:8">
      <c r="G3736" s="87"/>
      <c r="H3736" s="90"/>
    </row>
    <row r="3737" spans="7:8">
      <c r="G3737" s="87"/>
      <c r="H3737" s="90"/>
    </row>
    <row r="3738" spans="7:8">
      <c r="G3738" s="87"/>
      <c r="H3738" s="90"/>
    </row>
    <row r="3739" spans="7:8">
      <c r="G3739" s="87"/>
      <c r="H3739" s="90"/>
    </row>
    <row r="3740" spans="7:8">
      <c r="G3740" s="87"/>
      <c r="H3740" s="90"/>
    </row>
    <row r="3741" spans="7:8">
      <c r="G3741" s="87"/>
      <c r="H3741" s="90"/>
    </row>
    <row r="3742" spans="7:8">
      <c r="G3742" s="87"/>
      <c r="H3742" s="90"/>
    </row>
    <row r="3743" spans="7:8">
      <c r="G3743" s="87"/>
      <c r="H3743" s="90"/>
    </row>
    <row r="3744" spans="7:8">
      <c r="G3744" s="87"/>
      <c r="H3744" s="90"/>
    </row>
    <row r="3745" spans="7:8">
      <c r="G3745" s="87"/>
      <c r="H3745" s="90"/>
    </row>
    <row r="3746" spans="7:8">
      <c r="G3746" s="87"/>
      <c r="H3746" s="90"/>
    </row>
    <row r="3747" spans="7:8">
      <c r="G3747" s="87"/>
      <c r="H3747" s="90"/>
    </row>
    <row r="3748" spans="7:8">
      <c r="G3748" s="87"/>
      <c r="H3748" s="90"/>
    </row>
    <row r="3749" spans="7:8">
      <c r="G3749" s="87"/>
      <c r="H3749" s="90"/>
    </row>
    <row r="3750" spans="7:8">
      <c r="G3750" s="87"/>
      <c r="H3750" s="90"/>
    </row>
    <row r="3751" spans="7:8">
      <c r="G3751" s="87"/>
      <c r="H3751" s="90"/>
    </row>
    <row r="3752" spans="7:8">
      <c r="G3752" s="87"/>
      <c r="H3752" s="90"/>
    </row>
    <row r="3753" spans="7:8">
      <c r="G3753" s="87"/>
      <c r="H3753" s="90"/>
    </row>
    <row r="3754" spans="7:8">
      <c r="G3754" s="87"/>
      <c r="H3754" s="90"/>
    </row>
    <row r="3755" spans="7:8">
      <c r="G3755" s="87"/>
      <c r="H3755" s="90"/>
    </row>
    <row r="3756" spans="7:8">
      <c r="G3756" s="87"/>
      <c r="H3756" s="90"/>
    </row>
    <row r="3757" spans="7:8">
      <c r="G3757" s="87"/>
      <c r="H3757" s="90"/>
    </row>
    <row r="3758" spans="7:8">
      <c r="G3758" s="87"/>
      <c r="H3758" s="90"/>
    </row>
    <row r="3759" spans="7:8">
      <c r="G3759" s="87"/>
      <c r="H3759" s="90"/>
    </row>
    <row r="3760" spans="7:8">
      <c r="G3760" s="87"/>
      <c r="H3760" s="90"/>
    </row>
    <row r="3761" spans="7:8">
      <c r="G3761" s="87"/>
      <c r="H3761" s="90"/>
    </row>
    <row r="3762" spans="7:8">
      <c r="G3762" s="87"/>
      <c r="H3762" s="90"/>
    </row>
    <row r="3763" spans="7:8">
      <c r="G3763" s="87"/>
      <c r="H3763" s="90"/>
    </row>
    <row r="3764" spans="7:8">
      <c r="G3764" s="87"/>
      <c r="H3764" s="90"/>
    </row>
    <row r="3765" spans="7:8">
      <c r="G3765" s="87"/>
      <c r="H3765" s="90"/>
    </row>
    <row r="3766" spans="7:8">
      <c r="G3766" s="87"/>
      <c r="H3766" s="90"/>
    </row>
    <row r="3767" spans="7:8">
      <c r="G3767" s="87"/>
      <c r="H3767" s="90"/>
    </row>
    <row r="3768" spans="7:8">
      <c r="G3768" s="87"/>
      <c r="H3768" s="90"/>
    </row>
    <row r="3769" spans="7:8">
      <c r="G3769" s="87"/>
      <c r="H3769" s="90"/>
    </row>
    <row r="3770" spans="7:8">
      <c r="G3770" s="87"/>
      <c r="H3770" s="90"/>
    </row>
    <row r="3771" spans="7:8">
      <c r="G3771" s="87"/>
      <c r="H3771" s="90"/>
    </row>
    <row r="3772" spans="7:8">
      <c r="G3772" s="87"/>
      <c r="H3772" s="90"/>
    </row>
    <row r="3773" spans="7:8">
      <c r="G3773" s="87"/>
      <c r="H3773" s="90"/>
    </row>
    <row r="3774" spans="7:8">
      <c r="G3774" s="87"/>
      <c r="H3774" s="90"/>
    </row>
    <row r="3775" spans="7:8">
      <c r="G3775" s="87"/>
      <c r="H3775" s="90"/>
    </row>
    <row r="3776" spans="7:8">
      <c r="G3776" s="87"/>
      <c r="H3776" s="90"/>
    </row>
    <row r="3777" spans="7:8">
      <c r="G3777" s="87"/>
      <c r="H3777" s="90"/>
    </row>
    <row r="3778" spans="7:8">
      <c r="G3778" s="87"/>
      <c r="H3778" s="90"/>
    </row>
    <row r="3779" spans="7:8">
      <c r="G3779" s="87"/>
      <c r="H3779" s="90"/>
    </row>
    <row r="3780" spans="7:8">
      <c r="G3780" s="87"/>
      <c r="H3780" s="90"/>
    </row>
    <row r="3781" spans="7:8">
      <c r="G3781" s="87"/>
      <c r="H3781" s="90"/>
    </row>
    <row r="3782" spans="7:8">
      <c r="G3782" s="87"/>
      <c r="H3782" s="90"/>
    </row>
    <row r="3783" spans="7:8">
      <c r="G3783" s="87"/>
      <c r="H3783" s="90"/>
    </row>
    <row r="3784" spans="7:8">
      <c r="G3784" s="87"/>
      <c r="H3784" s="90"/>
    </row>
    <row r="3785" spans="7:8">
      <c r="G3785" s="87"/>
      <c r="H3785" s="90"/>
    </row>
    <row r="3786" spans="7:8">
      <c r="G3786" s="87"/>
      <c r="H3786" s="90"/>
    </row>
    <row r="3787" spans="7:8">
      <c r="G3787" s="87"/>
      <c r="H3787" s="90"/>
    </row>
    <row r="3788" spans="7:8">
      <c r="G3788" s="87"/>
      <c r="H3788" s="90"/>
    </row>
    <row r="3789" spans="7:8">
      <c r="G3789" s="87"/>
      <c r="H3789" s="90"/>
    </row>
    <row r="3790" spans="7:8">
      <c r="G3790" s="87"/>
      <c r="H3790" s="90"/>
    </row>
    <row r="3791" spans="7:8">
      <c r="G3791" s="87"/>
      <c r="H3791" s="90"/>
    </row>
    <row r="3792" spans="7:8">
      <c r="G3792" s="87"/>
      <c r="H3792" s="90"/>
    </row>
    <row r="3793" spans="7:8">
      <c r="G3793" s="87"/>
      <c r="H3793" s="90"/>
    </row>
    <row r="3794" spans="7:8">
      <c r="G3794" s="87"/>
      <c r="H3794" s="90"/>
    </row>
    <row r="3795" spans="7:8">
      <c r="G3795" s="87"/>
      <c r="H3795" s="90"/>
    </row>
    <row r="3796" spans="7:8">
      <c r="G3796" s="87"/>
      <c r="H3796" s="90"/>
    </row>
    <row r="3797" spans="7:8">
      <c r="G3797" s="87"/>
      <c r="H3797" s="90"/>
    </row>
    <row r="3798" spans="7:8">
      <c r="G3798" s="87"/>
      <c r="H3798" s="90"/>
    </row>
    <row r="3799" spans="7:8">
      <c r="G3799" s="87"/>
      <c r="H3799" s="90"/>
    </row>
    <row r="3800" spans="7:8">
      <c r="G3800" s="87"/>
      <c r="H3800" s="90"/>
    </row>
    <row r="3801" spans="7:8">
      <c r="G3801" s="87"/>
      <c r="H3801" s="90"/>
    </row>
    <row r="3802" spans="7:8">
      <c r="G3802" s="87"/>
      <c r="H3802" s="90"/>
    </row>
    <row r="3803" spans="7:8">
      <c r="G3803" s="87"/>
      <c r="H3803" s="90"/>
    </row>
    <row r="3804" spans="7:8">
      <c r="G3804" s="87"/>
      <c r="H3804" s="90"/>
    </row>
    <row r="3805" spans="7:8">
      <c r="G3805" s="87"/>
      <c r="H3805" s="90"/>
    </row>
    <row r="3806" spans="7:8">
      <c r="G3806" s="87"/>
      <c r="H3806" s="90"/>
    </row>
    <row r="3807" spans="7:8">
      <c r="G3807" s="87"/>
      <c r="H3807" s="90"/>
    </row>
    <row r="3808" spans="7:8">
      <c r="G3808" s="87"/>
      <c r="H3808" s="90"/>
    </row>
    <row r="3809" spans="7:8">
      <c r="G3809" s="87"/>
      <c r="H3809" s="90"/>
    </row>
    <row r="3810" spans="7:8">
      <c r="G3810" s="87"/>
      <c r="H3810" s="90"/>
    </row>
    <row r="3811" spans="7:8">
      <c r="G3811" s="87"/>
      <c r="H3811" s="90"/>
    </row>
    <row r="3812" spans="7:8">
      <c r="G3812" s="87"/>
      <c r="H3812" s="90"/>
    </row>
    <row r="3813" spans="7:8">
      <c r="G3813" s="87"/>
      <c r="H3813" s="90"/>
    </row>
    <row r="3814" spans="7:8">
      <c r="G3814" s="87"/>
      <c r="H3814" s="90"/>
    </row>
    <row r="3815" spans="7:8">
      <c r="G3815" s="87"/>
      <c r="H3815" s="90"/>
    </row>
    <row r="3816" spans="7:8">
      <c r="G3816" s="87"/>
      <c r="H3816" s="90"/>
    </row>
    <row r="3817" spans="7:8">
      <c r="G3817" s="87"/>
      <c r="H3817" s="90"/>
    </row>
    <row r="3818" spans="7:8">
      <c r="G3818" s="87"/>
      <c r="H3818" s="90"/>
    </row>
    <row r="3819" spans="7:8">
      <c r="G3819" s="87"/>
      <c r="H3819" s="90"/>
    </row>
    <row r="3820" spans="7:8">
      <c r="G3820" s="87"/>
      <c r="H3820" s="90"/>
    </row>
    <row r="3821" spans="7:8">
      <c r="G3821" s="87"/>
      <c r="H3821" s="90"/>
    </row>
    <row r="3822" spans="7:8">
      <c r="G3822" s="87"/>
      <c r="H3822" s="90"/>
    </row>
    <row r="3823" spans="7:8">
      <c r="G3823" s="87"/>
      <c r="H3823" s="90"/>
    </row>
    <row r="3824" spans="7:8">
      <c r="G3824" s="87"/>
      <c r="H3824" s="90"/>
    </row>
    <row r="3825" spans="7:8">
      <c r="G3825" s="87"/>
      <c r="H3825" s="90"/>
    </row>
    <row r="3826" spans="7:8">
      <c r="G3826" s="87"/>
      <c r="H3826" s="90"/>
    </row>
    <row r="3827" spans="7:8">
      <c r="G3827" s="87"/>
      <c r="H3827" s="90"/>
    </row>
    <row r="3828" spans="7:8">
      <c r="G3828" s="87"/>
      <c r="H3828" s="90"/>
    </row>
    <row r="3829" spans="7:8">
      <c r="G3829" s="87"/>
      <c r="H3829" s="90"/>
    </row>
    <row r="3830" spans="7:8">
      <c r="G3830" s="87"/>
      <c r="H3830" s="90"/>
    </row>
    <row r="3831" spans="7:8">
      <c r="G3831" s="87"/>
      <c r="H3831" s="90"/>
    </row>
    <row r="3832" spans="7:8">
      <c r="G3832" s="87"/>
      <c r="H3832" s="90"/>
    </row>
    <row r="3833" spans="7:8">
      <c r="G3833" s="87"/>
      <c r="H3833" s="90"/>
    </row>
    <row r="3834" spans="7:8">
      <c r="G3834" s="87"/>
      <c r="H3834" s="90"/>
    </row>
    <row r="3835" spans="7:8">
      <c r="G3835" s="87"/>
      <c r="H3835" s="90"/>
    </row>
    <row r="3836" spans="7:8">
      <c r="G3836" s="87"/>
      <c r="H3836" s="90"/>
    </row>
    <row r="3837" spans="7:8">
      <c r="G3837" s="87"/>
      <c r="H3837" s="90"/>
    </row>
    <row r="3838" spans="7:8">
      <c r="G3838" s="87"/>
      <c r="H3838" s="90"/>
    </row>
    <row r="3839" spans="7:8">
      <c r="G3839" s="87"/>
      <c r="H3839" s="90"/>
    </row>
    <row r="3840" spans="7:8">
      <c r="G3840" s="87"/>
      <c r="H3840" s="90"/>
    </row>
    <row r="3841" spans="7:8">
      <c r="G3841" s="87"/>
      <c r="H3841" s="90"/>
    </row>
    <row r="3842" spans="7:8">
      <c r="G3842" s="87"/>
      <c r="H3842" s="90"/>
    </row>
    <row r="3843" spans="7:8">
      <c r="G3843" s="87"/>
      <c r="H3843" s="90"/>
    </row>
    <row r="3844" spans="7:8">
      <c r="G3844" s="87"/>
      <c r="H3844" s="90"/>
    </row>
    <row r="3845" spans="7:8">
      <c r="G3845" s="87"/>
      <c r="H3845" s="90"/>
    </row>
    <row r="3846" spans="7:8">
      <c r="G3846" s="87"/>
      <c r="H3846" s="90"/>
    </row>
    <row r="3847" spans="7:8">
      <c r="G3847" s="87"/>
      <c r="H3847" s="90"/>
    </row>
    <row r="3848" spans="7:8">
      <c r="G3848" s="87"/>
      <c r="H3848" s="90"/>
    </row>
    <row r="3849" spans="7:8">
      <c r="G3849" s="87"/>
      <c r="H3849" s="90"/>
    </row>
    <row r="3850" spans="7:8">
      <c r="G3850" s="87"/>
      <c r="H3850" s="90"/>
    </row>
    <row r="3851" spans="7:8">
      <c r="G3851" s="87"/>
      <c r="H3851" s="90"/>
    </row>
    <row r="3852" spans="7:8">
      <c r="G3852" s="87"/>
      <c r="H3852" s="90"/>
    </row>
    <row r="3853" spans="7:8">
      <c r="G3853" s="87"/>
      <c r="H3853" s="90"/>
    </row>
    <row r="3854" spans="7:8">
      <c r="G3854" s="87"/>
      <c r="H3854" s="90"/>
    </row>
    <row r="3855" spans="7:8">
      <c r="G3855" s="87"/>
      <c r="H3855" s="90"/>
    </row>
    <row r="3856" spans="7:8">
      <c r="G3856" s="87"/>
      <c r="H3856" s="90"/>
    </row>
    <row r="3857" spans="7:8">
      <c r="G3857" s="87"/>
      <c r="H3857" s="90"/>
    </row>
    <row r="3858" spans="7:8">
      <c r="G3858" s="87"/>
      <c r="H3858" s="90"/>
    </row>
    <row r="3859" spans="7:8">
      <c r="G3859" s="87"/>
      <c r="H3859" s="90"/>
    </row>
    <row r="3860" spans="7:8">
      <c r="G3860" s="87"/>
      <c r="H3860" s="90"/>
    </row>
    <row r="3861" spans="7:8">
      <c r="G3861" s="87"/>
      <c r="H3861" s="90"/>
    </row>
    <row r="3862" spans="7:8">
      <c r="G3862" s="87"/>
      <c r="H3862" s="90"/>
    </row>
    <row r="3863" spans="7:8">
      <c r="G3863" s="87"/>
      <c r="H3863" s="90"/>
    </row>
    <row r="3864" spans="7:8">
      <c r="G3864" s="87"/>
      <c r="H3864" s="90"/>
    </row>
    <row r="3865" spans="7:8">
      <c r="G3865" s="87"/>
      <c r="H3865" s="90"/>
    </row>
    <row r="3866" spans="7:8">
      <c r="G3866" s="87"/>
      <c r="H3866" s="90"/>
    </row>
    <row r="3867" spans="7:8">
      <c r="G3867" s="87"/>
      <c r="H3867" s="90"/>
    </row>
    <row r="3868" spans="7:8">
      <c r="G3868" s="87"/>
      <c r="H3868" s="90"/>
    </row>
    <row r="3869" spans="7:8">
      <c r="G3869" s="87"/>
      <c r="H3869" s="90"/>
    </row>
    <row r="3870" spans="7:8">
      <c r="G3870" s="87"/>
      <c r="H3870" s="90"/>
    </row>
    <row r="3871" spans="7:8">
      <c r="G3871" s="87"/>
      <c r="H3871" s="90"/>
    </row>
    <row r="3872" spans="7:8">
      <c r="G3872" s="87"/>
      <c r="H3872" s="90"/>
    </row>
    <row r="3873" spans="7:8">
      <c r="G3873" s="87"/>
      <c r="H3873" s="90"/>
    </row>
    <row r="3874" spans="7:8">
      <c r="G3874" s="87"/>
      <c r="H3874" s="90"/>
    </row>
    <row r="3875" spans="7:8">
      <c r="G3875" s="87"/>
      <c r="H3875" s="90"/>
    </row>
    <row r="3876" spans="7:8">
      <c r="G3876" s="87"/>
      <c r="H3876" s="90"/>
    </row>
    <row r="3877" spans="7:8">
      <c r="G3877" s="87"/>
      <c r="H3877" s="90"/>
    </row>
    <row r="3878" spans="7:8">
      <c r="G3878" s="87"/>
      <c r="H3878" s="90"/>
    </row>
    <row r="3879" spans="7:8">
      <c r="G3879" s="87"/>
      <c r="H3879" s="90"/>
    </row>
    <row r="3880" spans="7:8">
      <c r="G3880" s="87"/>
      <c r="H3880" s="90"/>
    </row>
    <row r="3881" spans="7:8">
      <c r="G3881" s="87"/>
      <c r="H3881" s="90"/>
    </row>
    <row r="3882" spans="7:8">
      <c r="G3882" s="87"/>
      <c r="H3882" s="90"/>
    </row>
    <row r="3883" spans="7:8">
      <c r="G3883" s="87"/>
      <c r="H3883" s="90"/>
    </row>
    <row r="3884" spans="7:8">
      <c r="G3884" s="87"/>
      <c r="H3884" s="90"/>
    </row>
    <row r="3885" spans="7:8">
      <c r="G3885" s="87"/>
      <c r="H3885" s="90"/>
    </row>
    <row r="3886" spans="7:8">
      <c r="G3886" s="87"/>
      <c r="H3886" s="90"/>
    </row>
    <row r="3887" spans="7:8">
      <c r="G3887" s="87"/>
      <c r="H3887" s="90"/>
    </row>
    <row r="3888" spans="7:8">
      <c r="G3888" s="87"/>
      <c r="H3888" s="90"/>
    </row>
    <row r="3889" spans="7:8">
      <c r="G3889" s="87"/>
      <c r="H3889" s="90"/>
    </row>
    <row r="3890" spans="7:8">
      <c r="G3890" s="87"/>
      <c r="H3890" s="90"/>
    </row>
    <row r="3891" spans="7:8">
      <c r="G3891" s="87"/>
      <c r="H3891" s="90"/>
    </row>
    <row r="3892" spans="7:8">
      <c r="G3892" s="87"/>
      <c r="H3892" s="90"/>
    </row>
    <row r="3893" spans="7:8">
      <c r="G3893" s="87"/>
      <c r="H3893" s="90"/>
    </row>
    <row r="3894" spans="7:8">
      <c r="G3894" s="87"/>
      <c r="H3894" s="90"/>
    </row>
    <row r="3895" spans="7:8">
      <c r="G3895" s="87"/>
      <c r="H3895" s="90"/>
    </row>
    <row r="3896" spans="7:8">
      <c r="G3896" s="87"/>
      <c r="H3896" s="90"/>
    </row>
    <row r="3897" spans="7:8">
      <c r="G3897" s="87"/>
      <c r="H3897" s="90"/>
    </row>
    <row r="3898" spans="7:8">
      <c r="G3898" s="87"/>
      <c r="H3898" s="90"/>
    </row>
    <row r="3899" spans="7:8">
      <c r="G3899" s="87"/>
      <c r="H3899" s="90"/>
    </row>
    <row r="3900" spans="7:8">
      <c r="G3900" s="87"/>
      <c r="H3900" s="90"/>
    </row>
    <row r="3901" spans="7:8">
      <c r="G3901" s="87"/>
      <c r="H3901" s="90"/>
    </row>
    <row r="3902" spans="7:8">
      <c r="G3902" s="87"/>
      <c r="H3902" s="90"/>
    </row>
    <row r="3903" spans="7:8">
      <c r="G3903" s="87"/>
      <c r="H3903" s="90"/>
    </row>
    <row r="3904" spans="7:8">
      <c r="G3904" s="87"/>
      <c r="H3904" s="90"/>
    </row>
    <row r="3905" spans="7:8">
      <c r="G3905" s="87"/>
      <c r="H3905" s="90"/>
    </row>
    <row r="3906" spans="7:8">
      <c r="G3906" s="87"/>
      <c r="H3906" s="90"/>
    </row>
    <row r="3907" spans="7:8">
      <c r="G3907" s="87"/>
      <c r="H3907" s="90"/>
    </row>
    <row r="3908" spans="7:8">
      <c r="G3908" s="87"/>
      <c r="H3908" s="90"/>
    </row>
    <row r="3909" spans="7:8">
      <c r="G3909" s="87"/>
      <c r="H3909" s="90"/>
    </row>
    <row r="3910" spans="7:8">
      <c r="G3910" s="87"/>
      <c r="H3910" s="90"/>
    </row>
    <row r="3911" spans="7:8">
      <c r="G3911" s="87"/>
      <c r="H3911" s="90"/>
    </row>
    <row r="3912" spans="7:8">
      <c r="G3912" s="87"/>
      <c r="H3912" s="90"/>
    </row>
    <row r="3913" spans="7:8">
      <c r="G3913" s="87"/>
      <c r="H3913" s="90"/>
    </row>
    <row r="3914" spans="7:8">
      <c r="G3914" s="87"/>
      <c r="H3914" s="90"/>
    </row>
    <row r="3915" spans="7:8">
      <c r="G3915" s="87"/>
      <c r="H3915" s="90"/>
    </row>
    <row r="3916" spans="7:8">
      <c r="G3916" s="87"/>
      <c r="H3916" s="90"/>
    </row>
    <row r="3917" spans="7:8">
      <c r="G3917" s="87"/>
      <c r="H3917" s="90"/>
    </row>
    <row r="3918" spans="7:8">
      <c r="G3918" s="87"/>
      <c r="H3918" s="90"/>
    </row>
    <row r="3919" spans="7:8">
      <c r="G3919" s="87"/>
      <c r="H3919" s="90"/>
    </row>
    <row r="3920" spans="7:8">
      <c r="G3920" s="87"/>
      <c r="H3920" s="90"/>
    </row>
    <row r="3921" spans="7:8">
      <c r="G3921" s="87"/>
      <c r="H3921" s="90"/>
    </row>
    <row r="3922" spans="7:8">
      <c r="G3922" s="87"/>
      <c r="H3922" s="90"/>
    </row>
    <row r="3923" spans="7:8">
      <c r="G3923" s="87"/>
      <c r="H3923" s="90"/>
    </row>
    <row r="3924" spans="7:8">
      <c r="G3924" s="87"/>
      <c r="H3924" s="90"/>
    </row>
    <row r="3925" spans="7:8">
      <c r="G3925" s="87"/>
      <c r="H3925" s="90"/>
    </row>
    <row r="3926" spans="7:8">
      <c r="G3926" s="87"/>
      <c r="H3926" s="90"/>
    </row>
    <row r="3927" spans="7:8">
      <c r="G3927" s="87"/>
      <c r="H3927" s="90"/>
    </row>
    <row r="3928" spans="7:8">
      <c r="G3928" s="87"/>
      <c r="H3928" s="90"/>
    </row>
    <row r="3929" spans="7:8">
      <c r="G3929" s="87"/>
      <c r="H3929" s="90"/>
    </row>
    <row r="3930" spans="7:8">
      <c r="G3930" s="87"/>
      <c r="H3930" s="90"/>
    </row>
    <row r="3931" spans="7:8">
      <c r="G3931" s="87"/>
      <c r="H3931" s="90"/>
    </row>
    <row r="3932" spans="7:8">
      <c r="G3932" s="87"/>
      <c r="H3932" s="90"/>
    </row>
    <row r="3933" spans="7:8">
      <c r="G3933" s="87"/>
      <c r="H3933" s="90"/>
    </row>
    <row r="3934" spans="7:8">
      <c r="G3934" s="87"/>
      <c r="H3934" s="90"/>
    </row>
    <row r="3935" spans="7:8">
      <c r="G3935" s="87"/>
      <c r="H3935" s="90"/>
    </row>
    <row r="3936" spans="7:8">
      <c r="G3936" s="87"/>
      <c r="H3936" s="90"/>
    </row>
    <row r="3937" spans="7:8">
      <c r="G3937" s="87"/>
      <c r="H3937" s="90"/>
    </row>
    <row r="3938" spans="7:8">
      <c r="G3938" s="87"/>
      <c r="H3938" s="90"/>
    </row>
    <row r="3939" spans="7:8">
      <c r="G3939" s="87"/>
      <c r="H3939" s="90"/>
    </row>
    <row r="3940" spans="7:8">
      <c r="G3940" s="87"/>
      <c r="H3940" s="90"/>
    </row>
    <row r="3941" spans="7:8">
      <c r="G3941" s="87"/>
      <c r="H3941" s="90"/>
    </row>
    <row r="3942" spans="7:8">
      <c r="G3942" s="87"/>
      <c r="H3942" s="90"/>
    </row>
    <row r="3943" spans="7:8">
      <c r="G3943" s="87"/>
      <c r="H3943" s="90"/>
    </row>
    <row r="3944" spans="7:8">
      <c r="G3944" s="87"/>
      <c r="H3944" s="90"/>
    </row>
    <row r="3945" spans="7:8">
      <c r="G3945" s="87"/>
      <c r="H3945" s="90"/>
    </row>
    <row r="3946" spans="7:8">
      <c r="G3946" s="87"/>
      <c r="H3946" s="90"/>
    </row>
    <row r="3947" spans="7:8">
      <c r="G3947" s="87"/>
      <c r="H3947" s="90"/>
    </row>
    <row r="3948" spans="7:8">
      <c r="G3948" s="87"/>
      <c r="H3948" s="90"/>
    </row>
    <row r="3949" spans="7:8">
      <c r="G3949" s="87"/>
      <c r="H3949" s="90"/>
    </row>
    <row r="3950" spans="7:8">
      <c r="G3950" s="87"/>
      <c r="H3950" s="90"/>
    </row>
    <row r="3951" spans="7:8">
      <c r="G3951" s="87"/>
      <c r="H3951" s="90"/>
    </row>
    <row r="3952" spans="7:8">
      <c r="G3952" s="87"/>
      <c r="H3952" s="90"/>
    </row>
    <row r="3953" spans="7:8">
      <c r="G3953" s="87"/>
      <c r="H3953" s="90"/>
    </row>
    <row r="3954" spans="7:8">
      <c r="G3954" s="87"/>
      <c r="H3954" s="90"/>
    </row>
    <row r="3955" spans="7:8">
      <c r="G3955" s="87"/>
      <c r="H3955" s="90"/>
    </row>
    <row r="3956" spans="7:8">
      <c r="G3956" s="87"/>
      <c r="H3956" s="90"/>
    </row>
    <row r="3957" spans="7:8">
      <c r="G3957" s="87"/>
      <c r="H3957" s="90"/>
    </row>
    <row r="3958" spans="7:8">
      <c r="G3958" s="87"/>
      <c r="H3958" s="90"/>
    </row>
    <row r="3959" spans="7:8">
      <c r="G3959" s="87"/>
      <c r="H3959" s="90"/>
    </row>
    <row r="3960" spans="7:8">
      <c r="G3960" s="87"/>
      <c r="H3960" s="90"/>
    </row>
    <row r="3961" spans="7:8">
      <c r="G3961" s="87"/>
      <c r="H3961" s="90"/>
    </row>
    <row r="3962" spans="7:8">
      <c r="G3962" s="87"/>
      <c r="H3962" s="90"/>
    </row>
    <row r="3963" spans="7:8">
      <c r="G3963" s="87"/>
      <c r="H3963" s="90"/>
    </row>
    <row r="3964" spans="7:8">
      <c r="G3964" s="87"/>
      <c r="H3964" s="90"/>
    </row>
    <row r="3965" spans="7:8">
      <c r="G3965" s="87"/>
      <c r="H3965" s="90"/>
    </row>
    <row r="3966" spans="7:8">
      <c r="G3966" s="87"/>
      <c r="H3966" s="90"/>
    </row>
    <row r="3967" spans="7:8">
      <c r="G3967" s="87"/>
      <c r="H3967" s="90"/>
    </row>
    <row r="3968" spans="7:8">
      <c r="G3968" s="87"/>
      <c r="H3968" s="90"/>
    </row>
    <row r="3969" spans="7:8">
      <c r="G3969" s="87"/>
      <c r="H3969" s="90"/>
    </row>
    <row r="3970" spans="7:8">
      <c r="G3970" s="87"/>
      <c r="H3970" s="90"/>
    </row>
    <row r="3971" spans="7:8">
      <c r="G3971" s="87"/>
      <c r="H3971" s="90"/>
    </row>
    <row r="3972" spans="7:8">
      <c r="G3972" s="87"/>
      <c r="H3972" s="90"/>
    </row>
    <row r="3973" spans="7:8">
      <c r="G3973" s="87"/>
      <c r="H3973" s="90"/>
    </row>
    <row r="3974" spans="7:8">
      <c r="G3974" s="87"/>
      <c r="H3974" s="90"/>
    </row>
    <row r="3975" spans="7:8">
      <c r="G3975" s="87"/>
      <c r="H3975" s="90"/>
    </row>
    <row r="3976" spans="7:8">
      <c r="G3976" s="87"/>
      <c r="H3976" s="90"/>
    </row>
    <row r="3977" spans="7:8">
      <c r="G3977" s="87"/>
      <c r="H3977" s="90"/>
    </row>
    <row r="3978" spans="7:8">
      <c r="G3978" s="87"/>
      <c r="H3978" s="90"/>
    </row>
    <row r="3979" spans="7:8">
      <c r="G3979" s="87"/>
      <c r="H3979" s="90"/>
    </row>
    <row r="3980" spans="7:8">
      <c r="G3980" s="87"/>
      <c r="H3980" s="90"/>
    </row>
    <row r="3981" spans="7:8">
      <c r="G3981" s="87"/>
      <c r="H3981" s="90"/>
    </row>
    <row r="3982" spans="7:8">
      <c r="G3982" s="87"/>
      <c r="H3982" s="90"/>
    </row>
    <row r="3983" spans="7:8">
      <c r="G3983" s="87"/>
      <c r="H3983" s="90"/>
    </row>
    <row r="3984" spans="7:8">
      <c r="G3984" s="87"/>
      <c r="H3984" s="90"/>
    </row>
    <row r="3985" spans="7:8">
      <c r="G3985" s="87"/>
      <c r="H3985" s="90"/>
    </row>
    <row r="3986" spans="7:8">
      <c r="G3986" s="87"/>
      <c r="H3986" s="90"/>
    </row>
    <row r="3987" spans="7:8">
      <c r="G3987" s="87"/>
      <c r="H3987" s="90"/>
    </row>
    <row r="3988" spans="7:8">
      <c r="G3988" s="87"/>
      <c r="H3988" s="90"/>
    </row>
    <row r="3989" spans="7:8">
      <c r="G3989" s="87"/>
      <c r="H3989" s="90"/>
    </row>
    <row r="3990" spans="7:8">
      <c r="G3990" s="87"/>
      <c r="H3990" s="90"/>
    </row>
    <row r="3991" spans="7:8">
      <c r="G3991" s="87"/>
      <c r="H3991" s="90"/>
    </row>
    <row r="3992" spans="7:8">
      <c r="G3992" s="87"/>
      <c r="H3992" s="90"/>
    </row>
    <row r="3993" spans="7:8">
      <c r="G3993" s="87"/>
      <c r="H3993" s="90"/>
    </row>
    <row r="3994" spans="7:8">
      <c r="G3994" s="87"/>
      <c r="H3994" s="90"/>
    </row>
    <row r="3995" spans="7:8">
      <c r="G3995" s="87"/>
      <c r="H3995" s="90"/>
    </row>
    <row r="3996" spans="7:8">
      <c r="G3996" s="87"/>
      <c r="H3996" s="90"/>
    </row>
    <row r="3997" spans="7:8">
      <c r="G3997" s="87"/>
      <c r="H3997" s="90"/>
    </row>
    <row r="3998" spans="7:8">
      <c r="G3998" s="87"/>
      <c r="H3998" s="90"/>
    </row>
    <row r="3999" spans="7:8">
      <c r="G3999" s="87"/>
      <c r="H3999" s="90"/>
    </row>
    <row r="4000" spans="7:8">
      <c r="G4000" s="87"/>
      <c r="H4000" s="90"/>
    </row>
    <row r="4001" spans="7:8">
      <c r="G4001" s="87"/>
      <c r="H4001" s="90"/>
    </row>
    <row r="4002" spans="7:8">
      <c r="G4002" s="87"/>
      <c r="H4002" s="90"/>
    </row>
    <row r="4003" spans="7:8">
      <c r="G4003" s="87"/>
      <c r="H4003" s="90"/>
    </row>
    <row r="4004" spans="7:8">
      <c r="G4004" s="87"/>
      <c r="H4004" s="90"/>
    </row>
    <row r="4005" spans="7:8">
      <c r="G4005" s="87"/>
      <c r="H4005" s="90"/>
    </row>
    <row r="4006" spans="7:8">
      <c r="G4006" s="87"/>
      <c r="H4006" s="90"/>
    </row>
    <row r="4007" spans="7:8">
      <c r="G4007" s="87"/>
      <c r="H4007" s="90"/>
    </row>
    <row r="4008" spans="7:8">
      <c r="G4008" s="87"/>
      <c r="H4008" s="90"/>
    </row>
    <row r="4009" spans="7:8">
      <c r="G4009" s="87"/>
      <c r="H4009" s="90"/>
    </row>
    <row r="4010" spans="7:8">
      <c r="G4010" s="87"/>
      <c r="H4010" s="90"/>
    </row>
    <row r="4011" spans="7:8">
      <c r="G4011" s="87"/>
      <c r="H4011" s="90"/>
    </row>
    <row r="4012" spans="7:8">
      <c r="G4012" s="87"/>
      <c r="H4012" s="90"/>
    </row>
    <row r="4013" spans="7:8">
      <c r="G4013" s="87"/>
      <c r="H4013" s="90"/>
    </row>
    <row r="4014" spans="7:8">
      <c r="G4014" s="87"/>
      <c r="H4014" s="90"/>
    </row>
    <row r="4015" spans="7:8">
      <c r="G4015" s="87"/>
      <c r="H4015" s="90"/>
    </row>
    <row r="4016" spans="7:8">
      <c r="G4016" s="87"/>
      <c r="H4016" s="90"/>
    </row>
    <row r="4017" spans="7:8">
      <c r="G4017" s="87"/>
      <c r="H4017" s="90"/>
    </row>
    <row r="4018" spans="7:8">
      <c r="G4018" s="87"/>
      <c r="H4018" s="90"/>
    </row>
    <row r="4019" spans="7:8">
      <c r="G4019" s="87"/>
      <c r="H4019" s="90"/>
    </row>
    <row r="4020" spans="7:8">
      <c r="G4020" s="87"/>
      <c r="H4020" s="90"/>
    </row>
    <row r="4021" spans="7:8">
      <c r="G4021" s="87"/>
      <c r="H4021" s="90"/>
    </row>
    <row r="4022" spans="7:8">
      <c r="G4022" s="87"/>
      <c r="H4022" s="90"/>
    </row>
    <row r="4023" spans="7:8">
      <c r="G4023" s="87"/>
      <c r="H4023" s="90"/>
    </row>
    <row r="4024" spans="7:8">
      <c r="G4024" s="87"/>
      <c r="H4024" s="90"/>
    </row>
    <row r="4025" spans="7:8">
      <c r="G4025" s="87"/>
      <c r="H4025" s="90"/>
    </row>
    <row r="4026" spans="7:8">
      <c r="G4026" s="87"/>
      <c r="H4026" s="90"/>
    </row>
    <row r="4027" spans="7:8">
      <c r="G4027" s="87"/>
      <c r="H4027" s="90"/>
    </row>
    <row r="4028" spans="7:8">
      <c r="G4028" s="87"/>
      <c r="H4028" s="90"/>
    </row>
    <row r="4029" spans="7:8">
      <c r="G4029" s="87"/>
      <c r="H4029" s="90"/>
    </row>
    <row r="4030" spans="7:8">
      <c r="G4030" s="87"/>
      <c r="H4030" s="90"/>
    </row>
    <row r="4031" spans="7:8">
      <c r="G4031" s="87"/>
      <c r="H4031" s="90"/>
    </row>
    <row r="4032" spans="7:8">
      <c r="G4032" s="87"/>
      <c r="H4032" s="90"/>
    </row>
    <row r="4033" spans="7:8">
      <c r="G4033" s="87"/>
      <c r="H4033" s="90"/>
    </row>
    <row r="4034" spans="7:8">
      <c r="G4034" s="87"/>
      <c r="H4034" s="90"/>
    </row>
    <row r="4035" spans="7:8">
      <c r="G4035" s="87"/>
      <c r="H4035" s="90"/>
    </row>
    <row r="4036" spans="7:8">
      <c r="G4036" s="87"/>
      <c r="H4036" s="90"/>
    </row>
    <row r="4037" spans="7:8">
      <c r="G4037" s="87"/>
      <c r="H4037" s="90"/>
    </row>
    <row r="4038" spans="7:8">
      <c r="G4038" s="87"/>
      <c r="H4038" s="90"/>
    </row>
    <row r="4039" spans="7:8">
      <c r="G4039" s="87"/>
      <c r="H4039" s="90"/>
    </row>
    <row r="4040" spans="7:8">
      <c r="G4040" s="87"/>
      <c r="H4040" s="90"/>
    </row>
    <row r="4041" spans="7:8">
      <c r="G4041" s="87"/>
      <c r="H4041" s="90"/>
    </row>
    <row r="4042" spans="7:8">
      <c r="G4042" s="87"/>
      <c r="H4042" s="90"/>
    </row>
    <row r="4043" spans="7:8">
      <c r="G4043" s="87"/>
      <c r="H4043" s="90"/>
    </row>
    <row r="4044" spans="7:8">
      <c r="G4044" s="87"/>
      <c r="H4044" s="90"/>
    </row>
    <row r="4045" spans="7:8">
      <c r="G4045" s="87"/>
      <c r="H4045" s="90"/>
    </row>
    <row r="4046" spans="7:8">
      <c r="G4046" s="87"/>
      <c r="H4046" s="90"/>
    </row>
    <row r="4047" spans="7:8">
      <c r="G4047" s="87"/>
      <c r="H4047" s="90"/>
    </row>
    <row r="4048" spans="7:8">
      <c r="G4048" s="87"/>
      <c r="H4048" s="90"/>
    </row>
    <row r="4049" spans="7:8">
      <c r="G4049" s="87"/>
      <c r="H4049" s="90"/>
    </row>
    <row r="4050" spans="7:8">
      <c r="G4050" s="87"/>
      <c r="H4050" s="90"/>
    </row>
    <row r="4051" spans="7:8">
      <c r="G4051" s="87"/>
      <c r="H4051" s="90"/>
    </row>
    <row r="4052" spans="7:8">
      <c r="G4052" s="87"/>
      <c r="H4052" s="90"/>
    </row>
    <row r="4053" spans="7:8">
      <c r="G4053" s="87"/>
      <c r="H4053" s="90"/>
    </row>
    <row r="4054" spans="7:8">
      <c r="G4054" s="87"/>
      <c r="H4054" s="90"/>
    </row>
    <row r="4055" spans="7:8">
      <c r="G4055" s="87"/>
      <c r="H4055" s="90"/>
    </row>
    <row r="4056" spans="7:8">
      <c r="G4056" s="87"/>
      <c r="H4056" s="90"/>
    </row>
    <row r="4057" spans="7:8">
      <c r="G4057" s="87"/>
      <c r="H4057" s="90"/>
    </row>
    <row r="4058" spans="7:8">
      <c r="G4058" s="87"/>
      <c r="H4058" s="90"/>
    </row>
    <row r="4059" spans="7:8">
      <c r="G4059" s="87"/>
      <c r="H4059" s="90"/>
    </row>
    <row r="4060" spans="7:8">
      <c r="G4060" s="87"/>
      <c r="H4060" s="90"/>
    </row>
    <row r="4061" spans="7:8">
      <c r="G4061" s="87"/>
      <c r="H4061" s="90"/>
    </row>
    <row r="4062" spans="7:8">
      <c r="G4062" s="87"/>
      <c r="H4062" s="90"/>
    </row>
    <row r="4063" spans="7:8">
      <c r="G4063" s="87"/>
      <c r="H4063" s="90"/>
    </row>
    <row r="4064" spans="7:8">
      <c r="G4064" s="87"/>
      <c r="H4064" s="90"/>
    </row>
    <row r="4065" spans="7:8">
      <c r="G4065" s="87"/>
      <c r="H4065" s="90"/>
    </row>
    <row r="4066" spans="7:8">
      <c r="G4066" s="87"/>
      <c r="H4066" s="90"/>
    </row>
    <row r="4067" spans="7:8">
      <c r="G4067" s="87"/>
      <c r="H4067" s="90"/>
    </row>
    <row r="4068" spans="7:8">
      <c r="G4068" s="87"/>
      <c r="H4068" s="90"/>
    </row>
    <row r="4069" spans="7:8">
      <c r="G4069" s="87"/>
      <c r="H4069" s="90"/>
    </row>
    <row r="4070" spans="7:8">
      <c r="G4070" s="87"/>
      <c r="H4070" s="90"/>
    </row>
    <row r="4071" spans="7:8">
      <c r="G4071" s="87"/>
      <c r="H4071" s="90"/>
    </row>
    <row r="4072" spans="7:8">
      <c r="G4072" s="87"/>
      <c r="H4072" s="90"/>
    </row>
    <row r="4073" spans="7:8">
      <c r="G4073" s="87"/>
      <c r="H4073" s="90"/>
    </row>
    <row r="4074" spans="7:8">
      <c r="G4074" s="87"/>
      <c r="H4074" s="90"/>
    </row>
    <row r="4075" spans="7:8">
      <c r="G4075" s="87"/>
      <c r="H4075" s="90"/>
    </row>
    <row r="4076" spans="7:8">
      <c r="G4076" s="87"/>
      <c r="H4076" s="90"/>
    </row>
    <row r="4077" spans="7:8">
      <c r="G4077" s="87"/>
      <c r="H4077" s="90"/>
    </row>
    <row r="4078" spans="7:8">
      <c r="G4078" s="87"/>
      <c r="H4078" s="90"/>
    </row>
    <row r="4079" spans="7:8">
      <c r="G4079" s="87"/>
      <c r="H4079" s="90"/>
    </row>
    <row r="4080" spans="7:8">
      <c r="G4080" s="87"/>
      <c r="H4080" s="90"/>
    </row>
    <row r="4081" spans="7:8">
      <c r="G4081" s="87"/>
      <c r="H4081" s="90"/>
    </row>
    <row r="4082" spans="7:8">
      <c r="G4082" s="87"/>
      <c r="H4082" s="90"/>
    </row>
    <row r="4083" spans="7:8">
      <c r="G4083" s="87"/>
      <c r="H4083" s="90"/>
    </row>
    <row r="4084" spans="7:8">
      <c r="G4084" s="87"/>
      <c r="H4084" s="90"/>
    </row>
    <row r="4085" spans="7:8">
      <c r="G4085" s="87"/>
      <c r="H4085" s="90"/>
    </row>
    <row r="4086" spans="7:8">
      <c r="G4086" s="87"/>
      <c r="H4086" s="90"/>
    </row>
    <row r="4087" spans="7:8">
      <c r="G4087" s="87"/>
      <c r="H4087" s="90"/>
    </row>
    <row r="4088" spans="7:8">
      <c r="G4088" s="87"/>
      <c r="H4088" s="90"/>
    </row>
    <row r="4089" spans="7:8">
      <c r="G4089" s="87"/>
      <c r="H4089" s="90"/>
    </row>
    <row r="4090" spans="7:8">
      <c r="G4090" s="87"/>
      <c r="H4090" s="90"/>
    </row>
    <row r="4091" spans="7:8">
      <c r="G4091" s="87"/>
      <c r="H4091" s="90"/>
    </row>
    <row r="4092" spans="7:8">
      <c r="G4092" s="87"/>
      <c r="H4092" s="90"/>
    </row>
    <row r="4093" spans="7:8">
      <c r="G4093" s="87"/>
      <c r="H4093" s="90"/>
    </row>
    <row r="4094" spans="7:8">
      <c r="G4094" s="87"/>
      <c r="H4094" s="90"/>
    </row>
    <row r="4095" spans="7:8">
      <c r="G4095" s="87"/>
      <c r="H4095" s="90"/>
    </row>
    <row r="4096" spans="7:8">
      <c r="G4096" s="87"/>
      <c r="H4096" s="90"/>
    </row>
    <row r="4097" spans="7:8">
      <c r="G4097" s="87"/>
      <c r="H4097" s="90"/>
    </row>
    <row r="4098" spans="7:8">
      <c r="G4098" s="87"/>
      <c r="H4098" s="90"/>
    </row>
    <row r="4099" spans="7:8">
      <c r="G4099" s="87"/>
      <c r="H4099" s="90"/>
    </row>
    <row r="4100" spans="7:8">
      <c r="G4100" s="87"/>
      <c r="H4100" s="90"/>
    </row>
    <row r="4101" spans="7:8">
      <c r="G4101" s="87"/>
      <c r="H4101" s="90"/>
    </row>
    <row r="4102" spans="7:8">
      <c r="G4102" s="87"/>
      <c r="H4102" s="90"/>
    </row>
    <row r="4103" spans="7:8">
      <c r="G4103" s="87"/>
      <c r="H4103" s="90"/>
    </row>
    <row r="4104" spans="7:8">
      <c r="G4104" s="87"/>
      <c r="H4104" s="90"/>
    </row>
    <row r="4105" spans="7:8">
      <c r="G4105" s="87"/>
      <c r="H4105" s="90"/>
    </row>
    <row r="4106" spans="7:8">
      <c r="G4106" s="87"/>
      <c r="H4106" s="90"/>
    </row>
    <row r="4107" spans="7:8">
      <c r="G4107" s="87"/>
      <c r="H4107" s="90"/>
    </row>
    <row r="4108" spans="7:8">
      <c r="G4108" s="87"/>
      <c r="H4108" s="90"/>
    </row>
    <row r="4109" spans="7:8">
      <c r="G4109" s="87"/>
      <c r="H4109" s="90"/>
    </row>
    <row r="4110" spans="7:8">
      <c r="G4110" s="87"/>
      <c r="H4110" s="90"/>
    </row>
    <row r="4111" spans="7:8">
      <c r="G4111" s="87"/>
      <c r="H4111" s="90"/>
    </row>
    <row r="4112" spans="7:8">
      <c r="G4112" s="87"/>
      <c r="H4112" s="90"/>
    </row>
    <row r="4113" spans="7:8">
      <c r="G4113" s="87"/>
      <c r="H4113" s="90"/>
    </row>
    <row r="4114" spans="7:8">
      <c r="G4114" s="87"/>
      <c r="H4114" s="90"/>
    </row>
    <row r="4115" spans="7:8">
      <c r="G4115" s="87"/>
      <c r="H4115" s="90"/>
    </row>
    <row r="4116" spans="7:8">
      <c r="G4116" s="87"/>
      <c r="H4116" s="90"/>
    </row>
    <row r="4117" spans="7:8">
      <c r="G4117" s="87"/>
      <c r="H4117" s="90"/>
    </row>
    <row r="4118" spans="7:8">
      <c r="G4118" s="87"/>
      <c r="H4118" s="90"/>
    </row>
    <row r="4119" spans="7:8">
      <c r="G4119" s="87"/>
      <c r="H4119" s="90"/>
    </row>
    <row r="4120" spans="7:8">
      <c r="G4120" s="87"/>
      <c r="H4120" s="90"/>
    </row>
    <row r="4121" spans="7:8">
      <c r="G4121" s="87"/>
      <c r="H4121" s="90"/>
    </row>
    <row r="4122" spans="7:8">
      <c r="G4122" s="87"/>
      <c r="H4122" s="90"/>
    </row>
    <row r="4123" spans="7:8">
      <c r="G4123" s="87"/>
      <c r="H4123" s="90"/>
    </row>
    <row r="4124" spans="7:8">
      <c r="G4124" s="87"/>
      <c r="H4124" s="90"/>
    </row>
    <row r="4125" spans="7:8">
      <c r="G4125" s="87"/>
      <c r="H4125" s="90"/>
    </row>
    <row r="4126" spans="7:8">
      <c r="G4126" s="87"/>
      <c r="H4126" s="90"/>
    </row>
    <row r="4127" spans="7:8">
      <c r="G4127" s="87"/>
      <c r="H4127" s="90"/>
    </row>
    <row r="4128" spans="7:8">
      <c r="G4128" s="87"/>
      <c r="H4128" s="90"/>
    </row>
    <row r="4129" spans="7:8">
      <c r="G4129" s="87"/>
      <c r="H4129" s="90"/>
    </row>
    <row r="4130" spans="7:8">
      <c r="G4130" s="87"/>
      <c r="H4130" s="90"/>
    </row>
    <row r="4131" spans="7:8">
      <c r="G4131" s="87"/>
      <c r="H4131" s="90"/>
    </row>
    <row r="4132" spans="7:8">
      <c r="G4132" s="87"/>
      <c r="H4132" s="90"/>
    </row>
    <row r="4133" spans="7:8">
      <c r="G4133" s="87"/>
      <c r="H4133" s="90"/>
    </row>
    <row r="4134" spans="7:8">
      <c r="G4134" s="87"/>
      <c r="H4134" s="90"/>
    </row>
    <row r="4135" spans="7:8">
      <c r="G4135" s="87"/>
      <c r="H4135" s="90"/>
    </row>
    <row r="4136" spans="7:8">
      <c r="G4136" s="87"/>
      <c r="H4136" s="90"/>
    </row>
    <row r="4137" spans="7:8">
      <c r="G4137" s="87"/>
      <c r="H4137" s="90"/>
    </row>
    <row r="4138" spans="7:8">
      <c r="G4138" s="87"/>
      <c r="H4138" s="90"/>
    </row>
    <row r="4139" spans="7:8">
      <c r="G4139" s="87"/>
      <c r="H4139" s="90"/>
    </row>
    <row r="4140" spans="7:8">
      <c r="G4140" s="87"/>
      <c r="H4140" s="90"/>
    </row>
    <row r="4141" spans="7:8">
      <c r="G4141" s="87"/>
      <c r="H4141" s="90"/>
    </row>
    <row r="4142" spans="7:8">
      <c r="G4142" s="87"/>
      <c r="H4142" s="90"/>
    </row>
    <row r="4143" spans="7:8">
      <c r="G4143" s="87"/>
      <c r="H4143" s="90"/>
    </row>
    <row r="4144" spans="7:8">
      <c r="G4144" s="87"/>
      <c r="H4144" s="90"/>
    </row>
    <row r="4145" spans="7:8">
      <c r="G4145" s="87"/>
      <c r="H4145" s="90"/>
    </row>
    <row r="4146" spans="7:8">
      <c r="G4146" s="87"/>
      <c r="H4146" s="90"/>
    </row>
    <row r="4147" spans="7:8">
      <c r="G4147" s="87"/>
      <c r="H4147" s="90"/>
    </row>
    <row r="4148" spans="7:8">
      <c r="G4148" s="87"/>
      <c r="H4148" s="90"/>
    </row>
    <row r="4149" spans="7:8">
      <c r="G4149" s="87"/>
      <c r="H4149" s="90"/>
    </row>
    <row r="4150" spans="7:8">
      <c r="G4150" s="87"/>
      <c r="H4150" s="90"/>
    </row>
    <row r="4151" spans="7:8">
      <c r="G4151" s="87"/>
      <c r="H4151" s="90"/>
    </row>
    <row r="4152" spans="7:8">
      <c r="G4152" s="87"/>
      <c r="H4152" s="90"/>
    </row>
    <row r="4153" spans="7:8">
      <c r="G4153" s="87"/>
      <c r="H4153" s="90"/>
    </row>
    <row r="4154" spans="7:8">
      <c r="G4154" s="87"/>
      <c r="H4154" s="90"/>
    </row>
    <row r="4155" spans="7:8">
      <c r="G4155" s="87"/>
      <c r="H4155" s="90"/>
    </row>
    <row r="4156" spans="7:8">
      <c r="G4156" s="87"/>
      <c r="H4156" s="90"/>
    </row>
    <row r="4157" spans="7:8">
      <c r="G4157" s="87"/>
      <c r="H4157" s="90"/>
    </row>
    <row r="4158" spans="7:8">
      <c r="G4158" s="87"/>
      <c r="H4158" s="90"/>
    </row>
    <row r="4159" spans="7:8">
      <c r="G4159" s="87"/>
      <c r="H4159" s="90"/>
    </row>
    <row r="4160" spans="7:8">
      <c r="G4160" s="87"/>
      <c r="H4160" s="90"/>
    </row>
    <row r="4161" spans="7:8">
      <c r="G4161" s="87"/>
      <c r="H4161" s="90"/>
    </row>
    <row r="4162" spans="7:8">
      <c r="G4162" s="87"/>
      <c r="H4162" s="90"/>
    </row>
    <row r="4163" spans="7:8">
      <c r="G4163" s="87"/>
      <c r="H4163" s="90"/>
    </row>
    <row r="4164" spans="7:8">
      <c r="G4164" s="87"/>
      <c r="H4164" s="90"/>
    </row>
    <row r="4165" spans="7:8">
      <c r="G4165" s="87"/>
      <c r="H4165" s="90"/>
    </row>
    <row r="4166" spans="7:8">
      <c r="G4166" s="87"/>
      <c r="H4166" s="90"/>
    </row>
    <row r="4167" spans="7:8">
      <c r="G4167" s="87"/>
      <c r="H4167" s="90"/>
    </row>
    <row r="4168" spans="7:8">
      <c r="G4168" s="87"/>
      <c r="H4168" s="90"/>
    </row>
    <row r="4169" spans="7:8">
      <c r="G4169" s="87"/>
      <c r="H4169" s="90"/>
    </row>
    <row r="4170" spans="7:8">
      <c r="G4170" s="87"/>
      <c r="H4170" s="90"/>
    </row>
    <row r="4171" spans="7:8">
      <c r="G4171" s="87"/>
      <c r="H4171" s="90"/>
    </row>
    <row r="4172" spans="7:8">
      <c r="G4172" s="87"/>
      <c r="H4172" s="90"/>
    </row>
    <row r="4173" spans="7:8">
      <c r="G4173" s="87"/>
      <c r="H4173" s="90"/>
    </row>
    <row r="4174" spans="7:8">
      <c r="G4174" s="87"/>
      <c r="H4174" s="90"/>
    </row>
    <row r="4175" spans="7:8">
      <c r="G4175" s="87"/>
      <c r="H4175" s="90"/>
    </row>
    <row r="4176" spans="7:8">
      <c r="G4176" s="87"/>
      <c r="H4176" s="90"/>
    </row>
    <row r="4177" spans="7:8">
      <c r="G4177" s="87"/>
      <c r="H4177" s="90"/>
    </row>
    <row r="4178" spans="7:8">
      <c r="G4178" s="87"/>
      <c r="H4178" s="90"/>
    </row>
    <row r="4179" spans="7:8">
      <c r="G4179" s="87"/>
      <c r="H4179" s="90"/>
    </row>
    <row r="4180" spans="7:8">
      <c r="G4180" s="87"/>
      <c r="H4180" s="90"/>
    </row>
    <row r="4181" spans="7:8">
      <c r="G4181" s="87"/>
      <c r="H4181" s="90"/>
    </row>
    <row r="4182" spans="7:8">
      <c r="G4182" s="87"/>
      <c r="H4182" s="90"/>
    </row>
    <row r="4183" spans="7:8">
      <c r="G4183" s="87"/>
      <c r="H4183" s="90"/>
    </row>
    <row r="4184" spans="7:8">
      <c r="G4184" s="87"/>
      <c r="H4184" s="90"/>
    </row>
    <row r="4185" spans="7:8">
      <c r="G4185" s="87"/>
      <c r="H4185" s="90"/>
    </row>
    <row r="4186" spans="7:8">
      <c r="G4186" s="87"/>
      <c r="H4186" s="90"/>
    </row>
    <row r="4187" spans="7:8">
      <c r="G4187" s="87"/>
      <c r="H4187" s="90"/>
    </row>
    <row r="4188" spans="7:8">
      <c r="G4188" s="87"/>
      <c r="H4188" s="90"/>
    </row>
    <row r="4189" spans="7:8">
      <c r="G4189" s="87"/>
      <c r="H4189" s="90"/>
    </row>
    <row r="4190" spans="7:8">
      <c r="G4190" s="87"/>
      <c r="H4190" s="90"/>
    </row>
    <row r="4191" spans="7:8">
      <c r="G4191" s="87"/>
      <c r="H4191" s="90"/>
    </row>
    <row r="4192" spans="7:8">
      <c r="G4192" s="87"/>
      <c r="H4192" s="90"/>
    </row>
    <row r="4193" spans="7:8">
      <c r="G4193" s="87"/>
      <c r="H4193" s="90"/>
    </row>
    <row r="4194" spans="7:8">
      <c r="G4194" s="87"/>
      <c r="H4194" s="90"/>
    </row>
    <row r="4195" spans="7:8">
      <c r="G4195" s="87"/>
      <c r="H4195" s="90"/>
    </row>
    <row r="4196" spans="7:8">
      <c r="G4196" s="87"/>
      <c r="H4196" s="90"/>
    </row>
    <row r="4197" spans="7:8">
      <c r="G4197" s="87"/>
      <c r="H4197" s="90"/>
    </row>
    <row r="4198" spans="7:8">
      <c r="G4198" s="87"/>
      <c r="H4198" s="90"/>
    </row>
    <row r="4199" spans="7:8">
      <c r="G4199" s="87"/>
      <c r="H4199" s="90"/>
    </row>
    <row r="4200" spans="7:8">
      <c r="G4200" s="87"/>
      <c r="H4200" s="90"/>
    </row>
    <row r="4201" spans="7:8">
      <c r="G4201" s="87"/>
      <c r="H4201" s="90"/>
    </row>
    <row r="4202" spans="7:8">
      <c r="G4202" s="87"/>
      <c r="H4202" s="90"/>
    </row>
    <row r="4203" spans="7:8">
      <c r="G4203" s="87"/>
      <c r="H4203" s="90"/>
    </row>
    <row r="4204" spans="7:8">
      <c r="G4204" s="87"/>
      <c r="H4204" s="90"/>
    </row>
    <row r="4205" spans="7:8">
      <c r="G4205" s="87"/>
      <c r="H4205" s="90"/>
    </row>
    <row r="4206" spans="7:8">
      <c r="G4206" s="87"/>
      <c r="H4206" s="90"/>
    </row>
    <row r="4207" spans="7:8">
      <c r="G4207" s="87"/>
      <c r="H4207" s="90"/>
    </row>
    <row r="4208" spans="7:8">
      <c r="G4208" s="87"/>
      <c r="H4208" s="90"/>
    </row>
    <row r="4209" spans="7:8">
      <c r="G4209" s="87"/>
      <c r="H4209" s="90"/>
    </row>
    <row r="4210" spans="7:8">
      <c r="G4210" s="87"/>
      <c r="H4210" s="90"/>
    </row>
    <row r="4211" spans="7:8">
      <c r="G4211" s="87"/>
      <c r="H4211" s="90"/>
    </row>
    <row r="4212" spans="7:8">
      <c r="G4212" s="87"/>
      <c r="H4212" s="90"/>
    </row>
    <row r="4213" spans="7:8">
      <c r="G4213" s="87"/>
      <c r="H4213" s="90"/>
    </row>
    <row r="4214" spans="7:8">
      <c r="G4214" s="87"/>
      <c r="H4214" s="90"/>
    </row>
    <row r="4215" spans="7:8">
      <c r="G4215" s="87"/>
      <c r="H4215" s="90"/>
    </row>
    <row r="4216" spans="7:8">
      <c r="G4216" s="87"/>
      <c r="H4216" s="90"/>
    </row>
    <row r="4217" spans="7:8">
      <c r="G4217" s="87"/>
      <c r="H4217" s="90"/>
    </row>
    <row r="4218" spans="7:8">
      <c r="G4218" s="87"/>
      <c r="H4218" s="90"/>
    </row>
    <row r="4219" spans="7:8">
      <c r="G4219" s="87"/>
      <c r="H4219" s="90"/>
    </row>
    <row r="4220" spans="7:8">
      <c r="G4220" s="87"/>
      <c r="H4220" s="90"/>
    </row>
    <row r="4221" spans="7:8">
      <c r="G4221" s="87"/>
      <c r="H4221" s="90"/>
    </row>
    <row r="4222" spans="7:8">
      <c r="G4222" s="87"/>
      <c r="H4222" s="90"/>
    </row>
    <row r="4223" spans="7:8">
      <c r="G4223" s="87"/>
      <c r="H4223" s="90"/>
    </row>
    <row r="4224" spans="7:8">
      <c r="G4224" s="87"/>
      <c r="H4224" s="90"/>
    </row>
    <row r="4225" spans="7:8">
      <c r="G4225" s="87"/>
      <c r="H4225" s="90"/>
    </row>
    <row r="4226" spans="7:8">
      <c r="G4226" s="87"/>
      <c r="H4226" s="90"/>
    </row>
    <row r="4227" spans="7:8">
      <c r="G4227" s="87"/>
      <c r="H4227" s="90"/>
    </row>
    <row r="4228" spans="7:8">
      <c r="G4228" s="87"/>
      <c r="H4228" s="90"/>
    </row>
    <row r="4229" spans="7:8">
      <c r="G4229" s="87"/>
      <c r="H4229" s="90"/>
    </row>
    <row r="4230" spans="7:8">
      <c r="G4230" s="87"/>
      <c r="H4230" s="90"/>
    </row>
    <row r="4231" spans="7:8">
      <c r="G4231" s="87"/>
      <c r="H4231" s="90"/>
    </row>
    <row r="4232" spans="7:8">
      <c r="G4232" s="87"/>
      <c r="H4232" s="90"/>
    </row>
    <row r="4233" spans="7:8">
      <c r="G4233" s="87"/>
      <c r="H4233" s="90"/>
    </row>
    <row r="4234" spans="7:8">
      <c r="G4234" s="87"/>
      <c r="H4234" s="90"/>
    </row>
    <row r="4235" spans="7:8">
      <c r="G4235" s="87"/>
      <c r="H4235" s="90"/>
    </row>
    <row r="4236" spans="7:8">
      <c r="G4236" s="87"/>
      <c r="H4236" s="90"/>
    </row>
    <row r="4237" spans="7:8">
      <c r="G4237" s="87"/>
      <c r="H4237" s="90"/>
    </row>
    <row r="4238" spans="7:8">
      <c r="G4238" s="87"/>
      <c r="H4238" s="90"/>
    </row>
    <row r="4239" spans="7:8">
      <c r="G4239" s="87"/>
      <c r="H4239" s="90"/>
    </row>
    <row r="4240" spans="7:8">
      <c r="G4240" s="87"/>
      <c r="H4240" s="90"/>
    </row>
    <row r="4241" spans="7:8">
      <c r="G4241" s="87"/>
      <c r="H4241" s="90"/>
    </row>
    <row r="4242" spans="7:8">
      <c r="G4242" s="87"/>
      <c r="H4242" s="90"/>
    </row>
    <row r="4243" spans="7:8">
      <c r="G4243" s="87"/>
      <c r="H4243" s="90"/>
    </row>
    <row r="4244" spans="7:8">
      <c r="G4244" s="87"/>
      <c r="H4244" s="90"/>
    </row>
    <row r="4245" spans="7:8">
      <c r="G4245" s="87"/>
      <c r="H4245" s="90"/>
    </row>
    <row r="4246" spans="7:8">
      <c r="G4246" s="87"/>
      <c r="H4246" s="90"/>
    </row>
    <row r="4247" spans="7:8">
      <c r="G4247" s="87"/>
      <c r="H4247" s="90"/>
    </row>
    <row r="4248" spans="7:8">
      <c r="G4248" s="87"/>
      <c r="H4248" s="90"/>
    </row>
    <row r="4249" spans="7:8">
      <c r="G4249" s="87"/>
      <c r="H4249" s="90"/>
    </row>
    <row r="4250" spans="7:8">
      <c r="G4250" s="87"/>
      <c r="H4250" s="90"/>
    </row>
    <row r="4251" spans="7:8">
      <c r="G4251" s="87"/>
      <c r="H4251" s="90"/>
    </row>
    <row r="4252" spans="7:8">
      <c r="G4252" s="87"/>
      <c r="H4252" s="90"/>
    </row>
    <row r="4253" spans="7:8">
      <c r="G4253" s="87"/>
      <c r="H4253" s="90"/>
    </row>
    <row r="4254" spans="7:8">
      <c r="G4254" s="87"/>
      <c r="H4254" s="90"/>
    </row>
    <row r="4255" spans="7:8">
      <c r="G4255" s="87"/>
      <c r="H4255" s="90"/>
    </row>
    <row r="4256" spans="7:8">
      <c r="G4256" s="87"/>
      <c r="H4256" s="90"/>
    </row>
    <row r="4257" spans="7:8">
      <c r="G4257" s="87"/>
      <c r="H4257" s="90"/>
    </row>
    <row r="4258" spans="7:8">
      <c r="G4258" s="87"/>
      <c r="H4258" s="90"/>
    </row>
    <row r="4259" spans="7:8">
      <c r="G4259" s="87"/>
      <c r="H4259" s="90"/>
    </row>
    <row r="4260" spans="7:8">
      <c r="G4260" s="87"/>
      <c r="H4260" s="90"/>
    </row>
    <row r="4261" spans="7:8">
      <c r="G4261" s="87"/>
      <c r="H4261" s="90"/>
    </row>
    <row r="4262" spans="7:8">
      <c r="G4262" s="87"/>
      <c r="H4262" s="90"/>
    </row>
    <row r="4263" spans="7:8">
      <c r="G4263" s="87"/>
      <c r="H4263" s="90"/>
    </row>
    <row r="4264" spans="7:8">
      <c r="G4264" s="87"/>
      <c r="H4264" s="90"/>
    </row>
    <row r="4265" spans="7:8">
      <c r="G4265" s="87"/>
      <c r="H4265" s="90"/>
    </row>
    <row r="4266" spans="7:8">
      <c r="G4266" s="87"/>
      <c r="H4266" s="90"/>
    </row>
    <row r="4267" spans="7:8">
      <c r="G4267" s="87"/>
      <c r="H4267" s="90"/>
    </row>
    <row r="4268" spans="7:8">
      <c r="G4268" s="87"/>
      <c r="H4268" s="90"/>
    </row>
    <row r="4269" spans="7:8">
      <c r="G4269" s="87"/>
      <c r="H4269" s="90"/>
    </row>
    <row r="4270" spans="7:8">
      <c r="G4270" s="87"/>
      <c r="H4270" s="90"/>
    </row>
    <row r="4271" spans="7:8">
      <c r="G4271" s="87"/>
      <c r="H4271" s="90"/>
    </row>
    <row r="4272" spans="7:8">
      <c r="G4272" s="87"/>
      <c r="H4272" s="90"/>
    </row>
    <row r="4273" spans="7:8">
      <c r="G4273" s="87"/>
      <c r="H4273" s="90"/>
    </row>
    <row r="4274" spans="7:8">
      <c r="G4274" s="87"/>
      <c r="H4274" s="90"/>
    </row>
    <row r="4275" spans="7:8">
      <c r="G4275" s="87"/>
      <c r="H4275" s="90"/>
    </row>
    <row r="4276" spans="7:8">
      <c r="G4276" s="87"/>
      <c r="H4276" s="90"/>
    </row>
    <row r="4277" spans="7:8">
      <c r="G4277" s="87"/>
      <c r="H4277" s="90"/>
    </row>
    <row r="4278" spans="7:8">
      <c r="G4278" s="87"/>
      <c r="H4278" s="90"/>
    </row>
    <row r="4279" spans="7:8">
      <c r="G4279" s="87"/>
      <c r="H4279" s="90"/>
    </row>
    <row r="4280" spans="7:8">
      <c r="G4280" s="87"/>
      <c r="H4280" s="90"/>
    </row>
    <row r="4281" spans="7:8">
      <c r="G4281" s="87"/>
      <c r="H4281" s="90"/>
    </row>
    <row r="4282" spans="7:8">
      <c r="G4282" s="87"/>
      <c r="H4282" s="90"/>
    </row>
    <row r="4283" spans="7:8">
      <c r="G4283" s="87"/>
      <c r="H4283" s="90"/>
    </row>
    <row r="4284" spans="7:8">
      <c r="G4284" s="87"/>
      <c r="H4284" s="90"/>
    </row>
    <row r="4285" spans="7:8">
      <c r="G4285" s="87"/>
      <c r="H4285" s="90"/>
    </row>
    <row r="4286" spans="7:8">
      <c r="G4286" s="87"/>
      <c r="H4286" s="90"/>
    </row>
    <row r="4287" spans="7:8">
      <c r="G4287" s="87"/>
      <c r="H4287" s="90"/>
    </row>
    <row r="4288" spans="7:8">
      <c r="G4288" s="87"/>
      <c r="H4288" s="90"/>
    </row>
    <row r="4289" spans="7:8">
      <c r="G4289" s="87"/>
      <c r="H4289" s="90"/>
    </row>
    <row r="4290" spans="7:8">
      <c r="G4290" s="87"/>
      <c r="H4290" s="90"/>
    </row>
    <row r="4291" spans="7:8">
      <c r="G4291" s="87"/>
      <c r="H4291" s="90"/>
    </row>
    <row r="4292" spans="7:8">
      <c r="G4292" s="87"/>
      <c r="H4292" s="90"/>
    </row>
    <row r="4293" spans="7:8">
      <c r="G4293" s="87"/>
      <c r="H4293" s="90"/>
    </row>
    <row r="4294" spans="7:8">
      <c r="G4294" s="87"/>
      <c r="H4294" s="90"/>
    </row>
    <row r="4295" spans="7:8">
      <c r="G4295" s="87"/>
      <c r="H4295" s="90"/>
    </row>
    <row r="4296" spans="7:8">
      <c r="G4296" s="87"/>
      <c r="H4296" s="90"/>
    </row>
    <row r="4297" spans="7:8">
      <c r="G4297" s="87"/>
      <c r="H4297" s="90"/>
    </row>
    <row r="4298" spans="7:8">
      <c r="G4298" s="87"/>
      <c r="H4298" s="90"/>
    </row>
    <row r="4299" spans="7:8">
      <c r="G4299" s="87"/>
      <c r="H4299" s="90"/>
    </row>
    <row r="4300" spans="7:8">
      <c r="G4300" s="87"/>
      <c r="H4300" s="90"/>
    </row>
    <row r="4301" spans="7:8">
      <c r="G4301" s="87"/>
      <c r="H4301" s="90"/>
    </row>
    <row r="4302" spans="7:8">
      <c r="G4302" s="87"/>
      <c r="H4302" s="90"/>
    </row>
    <row r="4303" spans="7:8">
      <c r="G4303" s="87"/>
      <c r="H4303" s="90"/>
    </row>
    <row r="4304" spans="7:8">
      <c r="G4304" s="87"/>
      <c r="H4304" s="90"/>
    </row>
    <row r="4305" spans="7:8">
      <c r="G4305" s="87"/>
      <c r="H4305" s="90"/>
    </row>
    <row r="4306" spans="7:8">
      <c r="G4306" s="87"/>
      <c r="H4306" s="90"/>
    </row>
    <row r="4307" spans="7:8">
      <c r="G4307" s="87"/>
      <c r="H4307" s="90"/>
    </row>
    <row r="4308" spans="7:8">
      <c r="G4308" s="87"/>
      <c r="H4308" s="90"/>
    </row>
    <row r="4309" spans="7:8">
      <c r="G4309" s="87"/>
      <c r="H4309" s="90"/>
    </row>
    <row r="4310" spans="7:8">
      <c r="G4310" s="87"/>
      <c r="H4310" s="90"/>
    </row>
    <row r="4311" spans="7:8">
      <c r="G4311" s="87"/>
      <c r="H4311" s="90"/>
    </row>
    <row r="4312" spans="7:8">
      <c r="G4312" s="87"/>
      <c r="H4312" s="90"/>
    </row>
    <row r="4313" spans="7:8">
      <c r="G4313" s="87"/>
      <c r="H4313" s="90"/>
    </row>
    <row r="4314" spans="7:8">
      <c r="G4314" s="87"/>
      <c r="H4314" s="90"/>
    </row>
    <row r="4315" spans="7:8">
      <c r="G4315" s="87"/>
      <c r="H4315" s="90"/>
    </row>
    <row r="4316" spans="7:8">
      <c r="G4316" s="87"/>
      <c r="H4316" s="90"/>
    </row>
    <row r="4317" spans="7:8">
      <c r="G4317" s="87"/>
      <c r="H4317" s="90"/>
    </row>
    <row r="4318" spans="7:8">
      <c r="G4318" s="87"/>
      <c r="H4318" s="90"/>
    </row>
    <row r="4319" spans="7:8">
      <c r="G4319" s="87"/>
      <c r="H4319" s="90"/>
    </row>
    <row r="4320" spans="7:8">
      <c r="G4320" s="87"/>
      <c r="H4320" s="90"/>
    </row>
    <row r="4321" spans="7:8">
      <c r="G4321" s="87"/>
      <c r="H4321" s="90"/>
    </row>
    <row r="4322" spans="7:8">
      <c r="G4322" s="87"/>
      <c r="H4322" s="90"/>
    </row>
    <row r="4323" spans="7:8">
      <c r="G4323" s="87"/>
      <c r="H4323" s="90"/>
    </row>
    <row r="4324" spans="7:8">
      <c r="G4324" s="87"/>
      <c r="H4324" s="90"/>
    </row>
    <row r="4325" spans="7:8">
      <c r="G4325" s="87"/>
      <c r="H4325" s="90"/>
    </row>
    <row r="4326" spans="7:8">
      <c r="G4326" s="87"/>
      <c r="H4326" s="90"/>
    </row>
    <row r="4327" spans="7:8">
      <c r="G4327" s="87"/>
      <c r="H4327" s="90"/>
    </row>
    <row r="4328" spans="7:8">
      <c r="G4328" s="87"/>
      <c r="H4328" s="90"/>
    </row>
    <row r="4329" spans="7:8">
      <c r="G4329" s="87"/>
      <c r="H4329" s="90"/>
    </row>
    <row r="4330" spans="7:8">
      <c r="G4330" s="87"/>
      <c r="H4330" s="90"/>
    </row>
    <row r="4331" spans="7:8">
      <c r="G4331" s="87"/>
      <c r="H4331" s="90"/>
    </row>
    <row r="4332" spans="7:8">
      <c r="G4332" s="87"/>
      <c r="H4332" s="90"/>
    </row>
    <row r="4333" spans="7:8">
      <c r="G4333" s="87"/>
      <c r="H4333" s="90"/>
    </row>
    <row r="4334" spans="7:8">
      <c r="G4334" s="87"/>
      <c r="H4334" s="90"/>
    </row>
    <row r="4335" spans="7:8">
      <c r="G4335" s="87"/>
      <c r="H4335" s="90"/>
    </row>
    <row r="4336" spans="7:8">
      <c r="G4336" s="87"/>
      <c r="H4336" s="90"/>
    </row>
    <row r="4337" spans="7:8">
      <c r="G4337" s="87"/>
      <c r="H4337" s="90"/>
    </row>
    <row r="4338" spans="7:8">
      <c r="G4338" s="87"/>
      <c r="H4338" s="90"/>
    </row>
    <row r="4339" spans="7:8">
      <c r="G4339" s="87"/>
      <c r="H4339" s="90"/>
    </row>
    <row r="4340" spans="7:8">
      <c r="G4340" s="87"/>
      <c r="H4340" s="90"/>
    </row>
    <row r="4341" spans="7:8">
      <c r="G4341" s="87"/>
      <c r="H4341" s="90"/>
    </row>
    <row r="4342" spans="7:8">
      <c r="G4342" s="87"/>
      <c r="H4342" s="90"/>
    </row>
    <row r="4343" spans="7:8">
      <c r="G4343" s="87"/>
      <c r="H4343" s="90"/>
    </row>
    <row r="4344" spans="7:8">
      <c r="G4344" s="87"/>
      <c r="H4344" s="90"/>
    </row>
    <row r="4345" spans="7:8">
      <c r="G4345" s="87"/>
      <c r="H4345" s="90"/>
    </row>
    <row r="4346" spans="7:8">
      <c r="G4346" s="87"/>
      <c r="H4346" s="90"/>
    </row>
    <row r="4347" spans="7:8">
      <c r="G4347" s="87"/>
      <c r="H4347" s="90"/>
    </row>
    <row r="4348" spans="7:8">
      <c r="G4348" s="87"/>
      <c r="H4348" s="90"/>
    </row>
    <row r="4349" spans="7:8">
      <c r="G4349" s="87"/>
      <c r="H4349" s="90"/>
    </row>
    <row r="4350" spans="7:8">
      <c r="G4350" s="87"/>
      <c r="H4350" s="90"/>
    </row>
    <row r="4351" spans="7:8">
      <c r="G4351" s="87"/>
      <c r="H4351" s="90"/>
    </row>
    <row r="4352" spans="7:8">
      <c r="G4352" s="87"/>
      <c r="H4352" s="90"/>
    </row>
    <row r="4353" spans="7:8">
      <c r="G4353" s="87"/>
      <c r="H4353" s="90"/>
    </row>
    <row r="4354" spans="7:8">
      <c r="G4354" s="87"/>
      <c r="H4354" s="90"/>
    </row>
    <row r="4355" spans="7:8">
      <c r="G4355" s="87"/>
      <c r="H4355" s="90"/>
    </row>
    <row r="4356" spans="7:8">
      <c r="G4356" s="87"/>
      <c r="H4356" s="90"/>
    </row>
    <row r="4357" spans="7:8">
      <c r="G4357" s="87"/>
      <c r="H4357" s="90"/>
    </row>
    <row r="4358" spans="7:8">
      <c r="G4358" s="87"/>
      <c r="H4358" s="90"/>
    </row>
    <row r="4359" spans="7:8">
      <c r="G4359" s="87"/>
      <c r="H4359" s="90"/>
    </row>
    <row r="4360" spans="7:8">
      <c r="G4360" s="87"/>
      <c r="H4360" s="90"/>
    </row>
    <row r="4361" spans="7:8">
      <c r="G4361" s="87"/>
      <c r="H4361" s="90"/>
    </row>
    <row r="4362" spans="7:8">
      <c r="G4362" s="87"/>
      <c r="H4362" s="90"/>
    </row>
    <row r="4363" spans="7:8">
      <c r="G4363" s="87"/>
      <c r="H4363" s="90"/>
    </row>
    <row r="4364" spans="7:8">
      <c r="G4364" s="87"/>
      <c r="H4364" s="90"/>
    </row>
    <row r="4365" spans="7:8">
      <c r="G4365" s="87"/>
      <c r="H4365" s="90"/>
    </row>
    <row r="4366" spans="7:8">
      <c r="G4366" s="87"/>
      <c r="H4366" s="90"/>
    </row>
    <row r="4367" spans="7:8">
      <c r="G4367" s="87"/>
      <c r="H4367" s="90"/>
    </row>
    <row r="4368" spans="7:8">
      <c r="G4368" s="87"/>
      <c r="H4368" s="90"/>
    </row>
    <row r="4369" spans="7:8">
      <c r="G4369" s="87"/>
      <c r="H4369" s="90"/>
    </row>
    <row r="4370" spans="7:8">
      <c r="G4370" s="87"/>
      <c r="H4370" s="90"/>
    </row>
    <row r="4371" spans="7:8">
      <c r="G4371" s="87"/>
      <c r="H4371" s="90"/>
    </row>
    <row r="4372" spans="7:8">
      <c r="G4372" s="87"/>
      <c r="H4372" s="90"/>
    </row>
    <row r="4373" spans="7:8">
      <c r="G4373" s="87"/>
      <c r="H4373" s="90"/>
    </row>
    <row r="4374" spans="7:8">
      <c r="G4374" s="87"/>
      <c r="H4374" s="90"/>
    </row>
    <row r="4375" spans="7:8">
      <c r="G4375" s="87"/>
      <c r="H4375" s="90"/>
    </row>
    <row r="4376" spans="7:8">
      <c r="G4376" s="87"/>
      <c r="H4376" s="90"/>
    </row>
    <row r="4377" spans="7:8">
      <c r="G4377" s="87"/>
      <c r="H4377" s="90"/>
    </row>
    <row r="4378" spans="7:8">
      <c r="G4378" s="87"/>
      <c r="H4378" s="90"/>
    </row>
    <row r="4379" spans="7:8">
      <c r="G4379" s="87"/>
      <c r="H4379" s="90"/>
    </row>
    <row r="4380" spans="7:8">
      <c r="G4380" s="87"/>
      <c r="H4380" s="90"/>
    </row>
    <row r="4381" spans="7:8">
      <c r="G4381" s="87"/>
      <c r="H4381" s="90"/>
    </row>
    <row r="4382" spans="7:8">
      <c r="G4382" s="87"/>
      <c r="H4382" s="90"/>
    </row>
    <row r="4383" spans="7:8">
      <c r="G4383" s="87"/>
      <c r="H4383" s="90"/>
    </row>
    <row r="4384" spans="7:8">
      <c r="G4384" s="87"/>
      <c r="H4384" s="90"/>
    </row>
    <row r="4385" spans="7:8">
      <c r="G4385" s="87"/>
      <c r="H4385" s="90"/>
    </row>
    <row r="4386" spans="7:8">
      <c r="G4386" s="87"/>
      <c r="H4386" s="90"/>
    </row>
    <row r="4387" spans="7:8">
      <c r="G4387" s="87"/>
      <c r="H4387" s="90"/>
    </row>
    <row r="4388" spans="7:8">
      <c r="G4388" s="87"/>
      <c r="H4388" s="90"/>
    </row>
    <row r="4389" spans="7:8">
      <c r="G4389" s="87"/>
      <c r="H4389" s="90"/>
    </row>
    <row r="4390" spans="7:8">
      <c r="G4390" s="87"/>
      <c r="H4390" s="90"/>
    </row>
    <row r="4391" spans="7:8">
      <c r="G4391" s="87"/>
      <c r="H4391" s="90"/>
    </row>
    <row r="4392" spans="7:8">
      <c r="G4392" s="87"/>
      <c r="H4392" s="90"/>
    </row>
    <row r="4393" spans="7:8">
      <c r="G4393" s="87"/>
      <c r="H4393" s="90"/>
    </row>
    <row r="4394" spans="7:8">
      <c r="G4394" s="87"/>
      <c r="H4394" s="90"/>
    </row>
    <row r="4395" spans="7:8">
      <c r="G4395" s="87"/>
      <c r="H4395" s="90"/>
    </row>
    <row r="4396" spans="7:8">
      <c r="G4396" s="87"/>
      <c r="H4396" s="90"/>
    </row>
    <row r="4397" spans="7:8">
      <c r="G4397" s="87"/>
      <c r="H4397" s="90"/>
    </row>
    <row r="4398" spans="7:8">
      <c r="G4398" s="87"/>
      <c r="H4398" s="90"/>
    </row>
    <row r="4399" spans="7:8">
      <c r="G4399" s="87"/>
      <c r="H4399" s="90"/>
    </row>
    <row r="4400" spans="7:8">
      <c r="G4400" s="87"/>
      <c r="H4400" s="90"/>
    </row>
    <row r="4401" spans="7:8">
      <c r="G4401" s="87"/>
      <c r="H4401" s="90"/>
    </row>
    <row r="4402" spans="7:8">
      <c r="G4402" s="87"/>
      <c r="H4402" s="90"/>
    </row>
    <row r="4403" spans="7:8">
      <c r="G4403" s="87"/>
      <c r="H4403" s="90"/>
    </row>
    <row r="4404" spans="7:8">
      <c r="G4404" s="87"/>
      <c r="H4404" s="90"/>
    </row>
    <row r="4405" spans="7:8">
      <c r="G4405" s="87"/>
      <c r="H4405" s="90"/>
    </row>
    <row r="4406" spans="7:8">
      <c r="G4406" s="87"/>
      <c r="H4406" s="90"/>
    </row>
    <row r="4407" spans="7:8">
      <c r="G4407" s="87"/>
      <c r="H4407" s="90"/>
    </row>
    <row r="4408" spans="7:8">
      <c r="G4408" s="87"/>
      <c r="H4408" s="90"/>
    </row>
    <row r="4409" spans="7:8">
      <c r="G4409" s="87"/>
      <c r="H4409" s="90"/>
    </row>
    <row r="4410" spans="7:8">
      <c r="G4410" s="87"/>
      <c r="H4410" s="90"/>
    </row>
    <row r="4411" spans="7:8">
      <c r="G4411" s="87"/>
      <c r="H4411" s="90"/>
    </row>
    <row r="4412" spans="7:8">
      <c r="G4412" s="87"/>
      <c r="H4412" s="90"/>
    </row>
    <row r="4413" spans="7:8">
      <c r="G4413" s="87"/>
      <c r="H4413" s="90"/>
    </row>
    <row r="4414" spans="7:8">
      <c r="G4414" s="87"/>
      <c r="H4414" s="90"/>
    </row>
    <row r="4415" spans="7:8">
      <c r="G4415" s="87"/>
      <c r="H4415" s="90"/>
    </row>
    <row r="4416" spans="7:8">
      <c r="G4416" s="87"/>
      <c r="H4416" s="90"/>
    </row>
    <row r="4417" spans="7:8">
      <c r="G4417" s="87"/>
      <c r="H4417" s="90"/>
    </row>
    <row r="4418" spans="7:8">
      <c r="G4418" s="87"/>
      <c r="H4418" s="90"/>
    </row>
    <row r="4419" spans="7:8">
      <c r="G4419" s="87"/>
      <c r="H4419" s="90"/>
    </row>
    <row r="4420" spans="7:8">
      <c r="G4420" s="87"/>
      <c r="H4420" s="90"/>
    </row>
    <row r="4421" spans="7:8">
      <c r="G4421" s="87"/>
      <c r="H4421" s="90"/>
    </row>
    <row r="4422" spans="7:8">
      <c r="G4422" s="87"/>
      <c r="H4422" s="90"/>
    </row>
    <row r="4423" spans="7:8">
      <c r="G4423" s="87"/>
      <c r="H4423" s="90"/>
    </row>
    <row r="4424" spans="7:8">
      <c r="G4424" s="87"/>
      <c r="H4424" s="90"/>
    </row>
    <row r="4425" spans="7:8">
      <c r="G4425" s="87"/>
      <c r="H4425" s="90"/>
    </row>
    <row r="4426" spans="7:8">
      <c r="G4426" s="87"/>
      <c r="H4426" s="90"/>
    </row>
    <row r="4427" spans="7:8">
      <c r="G4427" s="87"/>
      <c r="H4427" s="90"/>
    </row>
    <row r="4428" spans="7:8">
      <c r="G4428" s="87"/>
      <c r="H4428" s="90"/>
    </row>
    <row r="4429" spans="7:8">
      <c r="G4429" s="87"/>
      <c r="H4429" s="90"/>
    </row>
    <row r="4430" spans="7:8">
      <c r="G4430" s="87"/>
      <c r="H4430" s="90"/>
    </row>
    <row r="4431" spans="7:8">
      <c r="G4431" s="87"/>
      <c r="H4431" s="90"/>
    </row>
    <row r="4432" spans="7:8">
      <c r="G4432" s="87"/>
      <c r="H4432" s="90"/>
    </row>
    <row r="4433" spans="7:8">
      <c r="G4433" s="87"/>
      <c r="H4433" s="90"/>
    </row>
    <row r="4434" spans="7:8">
      <c r="G4434" s="87"/>
      <c r="H4434" s="90"/>
    </row>
    <row r="4435" spans="7:8">
      <c r="G4435" s="87"/>
      <c r="H4435" s="90"/>
    </row>
    <row r="4436" spans="7:8">
      <c r="G4436" s="87"/>
      <c r="H4436" s="90"/>
    </row>
    <row r="4437" spans="7:8">
      <c r="G4437" s="87"/>
      <c r="H4437" s="90"/>
    </row>
    <row r="4438" spans="7:8">
      <c r="G4438" s="87"/>
      <c r="H4438" s="90"/>
    </row>
    <row r="4439" spans="7:8">
      <c r="G4439" s="87"/>
      <c r="H4439" s="90"/>
    </row>
    <row r="4440" spans="7:8">
      <c r="G4440" s="87"/>
      <c r="H4440" s="90"/>
    </row>
    <row r="4441" spans="7:8">
      <c r="G4441" s="87"/>
      <c r="H4441" s="90"/>
    </row>
    <row r="4442" spans="7:8">
      <c r="G4442" s="87"/>
      <c r="H4442" s="90"/>
    </row>
    <row r="4443" spans="7:8">
      <c r="G4443" s="87"/>
      <c r="H4443" s="90"/>
    </row>
    <row r="4444" spans="7:8">
      <c r="G4444" s="87"/>
      <c r="H4444" s="90"/>
    </row>
    <row r="4445" spans="7:8">
      <c r="G4445" s="87"/>
      <c r="H4445" s="90"/>
    </row>
    <row r="4446" spans="7:8">
      <c r="G4446" s="87"/>
      <c r="H4446" s="90"/>
    </row>
    <row r="4447" spans="7:8">
      <c r="G4447" s="87"/>
      <c r="H4447" s="90"/>
    </row>
    <row r="4448" spans="7:8">
      <c r="G4448" s="87"/>
      <c r="H4448" s="90"/>
    </row>
    <row r="4449" spans="7:8">
      <c r="G4449" s="87"/>
      <c r="H4449" s="90"/>
    </row>
    <row r="4450" spans="7:8">
      <c r="G4450" s="87"/>
      <c r="H4450" s="90"/>
    </row>
    <row r="4451" spans="7:8">
      <c r="G4451" s="87"/>
      <c r="H4451" s="90"/>
    </row>
    <row r="4452" spans="7:8">
      <c r="G4452" s="87"/>
      <c r="H4452" s="90"/>
    </row>
    <row r="4453" spans="7:8">
      <c r="G4453" s="87"/>
      <c r="H4453" s="90"/>
    </row>
    <row r="4454" spans="7:8">
      <c r="G4454" s="87"/>
      <c r="H4454" s="90"/>
    </row>
    <row r="4455" spans="7:8">
      <c r="G4455" s="87"/>
      <c r="H4455" s="90"/>
    </row>
    <row r="4456" spans="7:8">
      <c r="G4456" s="87"/>
      <c r="H4456" s="90"/>
    </row>
    <row r="4457" spans="7:8">
      <c r="G4457" s="87"/>
      <c r="H4457" s="90"/>
    </row>
    <row r="4458" spans="7:8">
      <c r="G4458" s="87"/>
      <c r="H4458" s="90"/>
    </row>
    <row r="4459" spans="7:8">
      <c r="G4459" s="87"/>
      <c r="H4459" s="90"/>
    </row>
    <row r="4460" spans="7:8">
      <c r="G4460" s="87"/>
      <c r="H4460" s="90"/>
    </row>
    <row r="4461" spans="7:8">
      <c r="G4461" s="87"/>
      <c r="H4461" s="90"/>
    </row>
    <row r="4462" spans="7:8">
      <c r="G4462" s="87"/>
      <c r="H4462" s="90"/>
    </row>
    <row r="4463" spans="7:8">
      <c r="G4463" s="87"/>
      <c r="H4463" s="90"/>
    </row>
    <row r="4464" spans="7:8">
      <c r="G4464" s="87"/>
      <c r="H4464" s="90"/>
    </row>
    <row r="4465" spans="7:8">
      <c r="G4465" s="87"/>
      <c r="H4465" s="90"/>
    </row>
    <row r="4466" spans="7:8">
      <c r="G4466" s="87"/>
      <c r="H4466" s="90"/>
    </row>
    <row r="4467" spans="7:8">
      <c r="G4467" s="87"/>
      <c r="H4467" s="90"/>
    </row>
    <row r="4468" spans="7:8">
      <c r="G4468" s="87"/>
      <c r="H4468" s="90"/>
    </row>
    <row r="4469" spans="7:8">
      <c r="G4469" s="87"/>
      <c r="H4469" s="90"/>
    </row>
    <row r="4470" spans="7:8">
      <c r="G4470" s="87"/>
      <c r="H4470" s="90"/>
    </row>
    <row r="4471" spans="7:8">
      <c r="G4471" s="87"/>
      <c r="H4471" s="90"/>
    </row>
    <row r="4472" spans="7:8">
      <c r="G4472" s="87"/>
      <c r="H4472" s="90"/>
    </row>
    <row r="4473" spans="7:8">
      <c r="G4473" s="87"/>
      <c r="H4473" s="90"/>
    </row>
    <row r="4474" spans="7:8">
      <c r="G4474" s="87"/>
      <c r="H4474" s="90"/>
    </row>
    <row r="4475" spans="7:8">
      <c r="G4475" s="87"/>
      <c r="H4475" s="90"/>
    </row>
    <row r="4476" spans="7:8">
      <c r="G4476" s="87"/>
      <c r="H4476" s="90"/>
    </row>
    <row r="4477" spans="7:8">
      <c r="G4477" s="87"/>
      <c r="H4477" s="90"/>
    </row>
    <row r="4478" spans="7:8">
      <c r="G4478" s="87"/>
      <c r="H4478" s="90"/>
    </row>
    <row r="4479" spans="7:8">
      <c r="G4479" s="87"/>
      <c r="H4479" s="90"/>
    </row>
    <row r="4480" spans="7:8">
      <c r="G4480" s="87"/>
      <c r="H4480" s="90"/>
    </row>
    <row r="4481" spans="7:8">
      <c r="G4481" s="87"/>
      <c r="H4481" s="90"/>
    </row>
    <row r="4482" spans="7:8">
      <c r="G4482" s="87"/>
      <c r="H4482" s="90"/>
    </row>
    <row r="4483" spans="7:8">
      <c r="G4483" s="87"/>
      <c r="H4483" s="90"/>
    </row>
    <row r="4484" spans="7:8">
      <c r="G4484" s="87"/>
      <c r="H4484" s="90"/>
    </row>
    <row r="4485" spans="7:8">
      <c r="G4485" s="87"/>
      <c r="H4485" s="90"/>
    </row>
    <row r="4486" spans="7:8">
      <c r="G4486" s="87"/>
      <c r="H4486" s="90"/>
    </row>
    <row r="4487" spans="7:8">
      <c r="G4487" s="87"/>
      <c r="H4487" s="90"/>
    </row>
    <row r="4488" spans="7:8">
      <c r="G4488" s="87"/>
      <c r="H4488" s="90"/>
    </row>
    <row r="4489" spans="7:8">
      <c r="G4489" s="87"/>
      <c r="H4489" s="90"/>
    </row>
    <row r="4490" spans="7:8">
      <c r="G4490" s="87"/>
      <c r="H4490" s="90"/>
    </row>
    <row r="4491" spans="7:8">
      <c r="G4491" s="87"/>
      <c r="H4491" s="90"/>
    </row>
    <row r="4492" spans="7:8">
      <c r="G4492" s="87"/>
      <c r="H4492" s="90"/>
    </row>
    <row r="4493" spans="7:8">
      <c r="G4493" s="87"/>
      <c r="H4493" s="90"/>
    </row>
    <row r="4494" spans="7:8">
      <c r="G4494" s="87"/>
      <c r="H4494" s="90"/>
    </row>
    <row r="4495" spans="7:8">
      <c r="G4495" s="87"/>
      <c r="H4495" s="90"/>
    </row>
    <row r="4496" spans="7:8">
      <c r="G4496" s="87"/>
      <c r="H4496" s="90"/>
    </row>
    <row r="4497" spans="7:8">
      <c r="G4497" s="87"/>
      <c r="H4497" s="90"/>
    </row>
    <row r="4498" spans="7:8">
      <c r="G4498" s="87"/>
      <c r="H4498" s="90"/>
    </row>
    <row r="4499" spans="7:8">
      <c r="G4499" s="87"/>
      <c r="H4499" s="90"/>
    </row>
    <row r="4500" spans="7:8">
      <c r="G4500" s="87"/>
      <c r="H4500" s="90"/>
    </row>
    <row r="4501" spans="7:8">
      <c r="G4501" s="87"/>
      <c r="H4501" s="90"/>
    </row>
    <row r="4502" spans="7:8">
      <c r="G4502" s="87"/>
      <c r="H4502" s="90"/>
    </row>
    <row r="4503" spans="7:8">
      <c r="G4503" s="87"/>
      <c r="H4503" s="90"/>
    </row>
    <row r="4504" spans="7:8">
      <c r="G4504" s="87"/>
      <c r="H4504" s="90"/>
    </row>
    <row r="4505" spans="7:8">
      <c r="G4505" s="87"/>
      <c r="H4505" s="90"/>
    </row>
    <row r="4506" spans="7:8">
      <c r="G4506" s="87"/>
      <c r="H4506" s="90"/>
    </row>
    <row r="4507" spans="7:8">
      <c r="G4507" s="87"/>
      <c r="H4507" s="90"/>
    </row>
    <row r="4508" spans="7:8">
      <c r="G4508" s="87"/>
      <c r="H4508" s="90"/>
    </row>
    <row r="4509" spans="7:8">
      <c r="G4509" s="87"/>
      <c r="H4509" s="90"/>
    </row>
    <row r="4510" spans="7:8">
      <c r="G4510" s="87"/>
      <c r="H4510" s="90"/>
    </row>
    <row r="4511" spans="7:8">
      <c r="G4511" s="87"/>
      <c r="H4511" s="90"/>
    </row>
    <row r="4512" spans="7:8">
      <c r="G4512" s="87"/>
      <c r="H4512" s="90"/>
    </row>
    <row r="4513" spans="7:8">
      <c r="G4513" s="87"/>
      <c r="H4513" s="90"/>
    </row>
    <row r="4514" spans="7:8">
      <c r="G4514" s="87"/>
      <c r="H4514" s="90"/>
    </row>
    <row r="4515" spans="7:8">
      <c r="G4515" s="87"/>
      <c r="H4515" s="90"/>
    </row>
    <row r="4516" spans="7:8">
      <c r="G4516" s="87"/>
      <c r="H4516" s="90"/>
    </row>
    <row r="4517" spans="7:8">
      <c r="G4517" s="87"/>
      <c r="H4517" s="90"/>
    </row>
    <row r="4518" spans="7:8">
      <c r="G4518" s="87"/>
      <c r="H4518" s="90"/>
    </row>
    <row r="4519" spans="7:8">
      <c r="G4519" s="87"/>
      <c r="H4519" s="90"/>
    </row>
    <row r="4520" spans="7:8">
      <c r="G4520" s="87"/>
      <c r="H4520" s="90"/>
    </row>
    <row r="4521" spans="7:8">
      <c r="G4521" s="87"/>
      <c r="H4521" s="90"/>
    </row>
    <row r="4522" spans="7:8">
      <c r="G4522" s="87"/>
      <c r="H4522" s="90"/>
    </row>
    <row r="4523" spans="7:8">
      <c r="G4523" s="87"/>
      <c r="H4523" s="90"/>
    </row>
    <row r="4524" spans="7:8">
      <c r="G4524" s="87"/>
      <c r="H4524" s="90"/>
    </row>
    <row r="4525" spans="7:8">
      <c r="G4525" s="87"/>
      <c r="H4525" s="90"/>
    </row>
    <row r="4526" spans="7:8">
      <c r="G4526" s="87"/>
      <c r="H4526" s="90"/>
    </row>
    <row r="4527" spans="7:8">
      <c r="G4527" s="87"/>
      <c r="H4527" s="90"/>
    </row>
    <row r="4528" spans="7:8">
      <c r="G4528" s="87"/>
      <c r="H4528" s="90"/>
    </row>
    <row r="4529" spans="7:8">
      <c r="G4529" s="87"/>
      <c r="H4529" s="90"/>
    </row>
    <row r="4530" spans="7:8">
      <c r="G4530" s="87"/>
      <c r="H4530" s="90"/>
    </row>
    <row r="4531" spans="7:8">
      <c r="G4531" s="87"/>
      <c r="H4531" s="90"/>
    </row>
    <row r="4532" spans="7:8">
      <c r="G4532" s="87"/>
      <c r="H4532" s="90"/>
    </row>
    <row r="4533" spans="7:8">
      <c r="G4533" s="87"/>
      <c r="H4533" s="90"/>
    </row>
    <row r="4534" spans="7:8">
      <c r="G4534" s="87"/>
      <c r="H4534" s="90"/>
    </row>
    <row r="4535" spans="7:8">
      <c r="G4535" s="87"/>
      <c r="H4535" s="90"/>
    </row>
    <row r="4536" spans="7:8">
      <c r="G4536" s="87"/>
      <c r="H4536" s="90"/>
    </row>
    <row r="4537" spans="7:8">
      <c r="G4537" s="87"/>
      <c r="H4537" s="90"/>
    </row>
    <row r="4538" spans="7:8">
      <c r="G4538" s="87"/>
      <c r="H4538" s="90"/>
    </row>
    <row r="4539" spans="7:8">
      <c r="G4539" s="87"/>
      <c r="H4539" s="90"/>
    </row>
    <row r="4540" spans="7:8">
      <c r="G4540" s="87"/>
      <c r="H4540" s="90"/>
    </row>
    <row r="4541" spans="7:8">
      <c r="G4541" s="87"/>
      <c r="H4541" s="90"/>
    </row>
    <row r="4542" spans="7:8">
      <c r="G4542" s="87"/>
      <c r="H4542" s="90"/>
    </row>
    <row r="4543" spans="7:8">
      <c r="G4543" s="87"/>
      <c r="H4543" s="90"/>
    </row>
    <row r="4544" spans="7:8">
      <c r="G4544" s="87"/>
      <c r="H4544" s="90"/>
    </row>
    <row r="4545" spans="7:8">
      <c r="G4545" s="87"/>
      <c r="H4545" s="90"/>
    </row>
    <row r="4546" spans="7:8">
      <c r="G4546" s="87"/>
      <c r="H4546" s="90"/>
    </row>
    <row r="4547" spans="7:8">
      <c r="G4547" s="87"/>
      <c r="H4547" s="90"/>
    </row>
    <row r="4548" spans="7:8">
      <c r="G4548" s="87"/>
      <c r="H4548" s="90"/>
    </row>
    <row r="4549" spans="7:8">
      <c r="G4549" s="87"/>
      <c r="H4549" s="90"/>
    </row>
    <row r="4550" spans="7:8">
      <c r="G4550" s="87"/>
      <c r="H4550" s="90"/>
    </row>
    <row r="4551" spans="7:8">
      <c r="G4551" s="87"/>
      <c r="H4551" s="90"/>
    </row>
    <row r="4552" spans="7:8">
      <c r="G4552" s="87"/>
      <c r="H4552" s="90"/>
    </row>
    <row r="4553" spans="7:8">
      <c r="G4553" s="87"/>
      <c r="H4553" s="90"/>
    </row>
    <row r="4554" spans="7:8">
      <c r="G4554" s="87"/>
      <c r="H4554" s="90"/>
    </row>
    <row r="4555" spans="7:8">
      <c r="G4555" s="87"/>
      <c r="H4555" s="90"/>
    </row>
    <row r="4556" spans="7:8">
      <c r="G4556" s="87"/>
      <c r="H4556" s="90"/>
    </row>
    <row r="4557" spans="7:8">
      <c r="G4557" s="87"/>
      <c r="H4557" s="90"/>
    </row>
    <row r="4558" spans="7:8">
      <c r="G4558" s="87"/>
      <c r="H4558" s="90"/>
    </row>
    <row r="4559" spans="7:8">
      <c r="G4559" s="87"/>
      <c r="H4559" s="90"/>
    </row>
    <row r="4560" spans="7:8">
      <c r="G4560" s="87"/>
      <c r="H4560" s="90"/>
    </row>
    <row r="4561" spans="7:8">
      <c r="G4561" s="87"/>
      <c r="H4561" s="90"/>
    </row>
    <row r="4562" spans="7:8">
      <c r="G4562" s="87"/>
      <c r="H4562" s="90"/>
    </row>
    <row r="4563" spans="7:8">
      <c r="G4563" s="87"/>
      <c r="H4563" s="90"/>
    </row>
    <row r="4564" spans="7:8">
      <c r="G4564" s="87"/>
      <c r="H4564" s="90"/>
    </row>
    <row r="4565" spans="7:8">
      <c r="G4565" s="87"/>
      <c r="H4565" s="90"/>
    </row>
    <row r="4566" spans="7:8">
      <c r="G4566" s="87"/>
      <c r="H4566" s="90"/>
    </row>
    <row r="4567" spans="7:8">
      <c r="G4567" s="87"/>
      <c r="H4567" s="90"/>
    </row>
    <row r="4568" spans="7:8">
      <c r="G4568" s="87"/>
      <c r="H4568" s="90"/>
    </row>
    <row r="4569" spans="7:8">
      <c r="G4569" s="87"/>
      <c r="H4569" s="90"/>
    </row>
    <row r="4570" spans="7:8">
      <c r="G4570" s="87"/>
      <c r="H4570" s="90"/>
    </row>
    <row r="4571" spans="7:8">
      <c r="G4571" s="87"/>
      <c r="H4571" s="90"/>
    </row>
    <row r="4572" spans="7:8">
      <c r="G4572" s="87"/>
      <c r="H4572" s="90"/>
    </row>
    <row r="4573" spans="7:8">
      <c r="G4573" s="87"/>
      <c r="H4573" s="90"/>
    </row>
    <row r="4574" spans="7:8">
      <c r="G4574" s="87"/>
      <c r="H4574" s="90"/>
    </row>
    <row r="4575" spans="7:8">
      <c r="G4575" s="87"/>
      <c r="H4575" s="90"/>
    </row>
    <row r="4576" spans="7:8">
      <c r="G4576" s="87"/>
      <c r="H4576" s="90"/>
    </row>
    <row r="4577" spans="7:8">
      <c r="G4577" s="87"/>
      <c r="H4577" s="90"/>
    </row>
    <row r="4578" spans="7:8">
      <c r="G4578" s="87"/>
      <c r="H4578" s="90"/>
    </row>
    <row r="4579" spans="7:8">
      <c r="G4579" s="87"/>
      <c r="H4579" s="90"/>
    </row>
    <row r="4580" spans="7:8">
      <c r="G4580" s="87"/>
      <c r="H4580" s="90"/>
    </row>
    <row r="4581" spans="7:8">
      <c r="G4581" s="87"/>
      <c r="H4581" s="90"/>
    </row>
    <row r="4582" spans="7:8">
      <c r="G4582" s="87"/>
      <c r="H4582" s="90"/>
    </row>
    <row r="4583" spans="7:8">
      <c r="G4583" s="87"/>
      <c r="H4583" s="90"/>
    </row>
    <row r="4584" spans="7:8">
      <c r="G4584" s="87"/>
      <c r="H4584" s="90"/>
    </row>
    <row r="4585" spans="7:8">
      <c r="G4585" s="87"/>
      <c r="H4585" s="90"/>
    </row>
    <row r="4586" spans="7:8">
      <c r="G4586" s="87"/>
      <c r="H4586" s="90"/>
    </row>
    <row r="4587" spans="7:8">
      <c r="G4587" s="87"/>
      <c r="H4587" s="90"/>
    </row>
    <row r="4588" spans="7:8">
      <c r="G4588" s="87"/>
      <c r="H4588" s="90"/>
    </row>
    <row r="4589" spans="7:8">
      <c r="G4589" s="87"/>
      <c r="H4589" s="90"/>
    </row>
    <row r="4590" spans="7:8">
      <c r="G4590" s="87"/>
      <c r="H4590" s="90"/>
    </row>
    <row r="4591" spans="7:8">
      <c r="G4591" s="87"/>
      <c r="H4591" s="90"/>
    </row>
    <row r="4592" spans="7:8">
      <c r="G4592" s="87"/>
      <c r="H4592" s="90"/>
    </row>
    <row r="4593" spans="7:8">
      <c r="G4593" s="87"/>
      <c r="H4593" s="90"/>
    </row>
    <row r="4594" spans="7:8">
      <c r="G4594" s="87"/>
      <c r="H4594" s="90"/>
    </row>
    <row r="4595" spans="7:8">
      <c r="G4595" s="87"/>
      <c r="H4595" s="90"/>
    </row>
    <row r="4596" spans="7:8">
      <c r="G4596" s="87"/>
      <c r="H4596" s="90"/>
    </row>
    <row r="4597" spans="7:8">
      <c r="G4597" s="87"/>
      <c r="H4597" s="90"/>
    </row>
    <row r="4598" spans="7:8">
      <c r="G4598" s="87"/>
      <c r="H4598" s="90"/>
    </row>
    <row r="4599" spans="7:8">
      <c r="G4599" s="87"/>
      <c r="H4599" s="90"/>
    </row>
    <row r="4600" spans="7:8">
      <c r="G4600" s="87"/>
      <c r="H4600" s="90"/>
    </row>
    <row r="4601" spans="7:8">
      <c r="G4601" s="87"/>
      <c r="H4601" s="90"/>
    </row>
    <row r="4602" spans="7:8">
      <c r="G4602" s="87"/>
      <c r="H4602" s="90"/>
    </row>
    <row r="4603" spans="7:8">
      <c r="G4603" s="87"/>
      <c r="H4603" s="90"/>
    </row>
    <row r="4604" spans="7:8">
      <c r="G4604" s="87"/>
      <c r="H4604" s="90"/>
    </row>
    <row r="4605" spans="7:8">
      <c r="G4605" s="87"/>
      <c r="H4605" s="90"/>
    </row>
    <row r="4606" spans="7:8">
      <c r="G4606" s="87"/>
      <c r="H4606" s="90"/>
    </row>
    <row r="4607" spans="7:8">
      <c r="G4607" s="87"/>
      <c r="H4607" s="90"/>
    </row>
    <row r="4608" spans="7:8">
      <c r="G4608" s="87"/>
      <c r="H4608" s="90"/>
    </row>
    <row r="4609" spans="7:8">
      <c r="G4609" s="87"/>
      <c r="H4609" s="90"/>
    </row>
    <row r="4610" spans="7:8">
      <c r="G4610" s="87"/>
      <c r="H4610" s="90"/>
    </row>
    <row r="4611" spans="7:8">
      <c r="G4611" s="87"/>
      <c r="H4611" s="90"/>
    </row>
    <row r="4612" spans="7:8">
      <c r="G4612" s="87"/>
      <c r="H4612" s="90"/>
    </row>
    <row r="4613" spans="7:8">
      <c r="G4613" s="87"/>
      <c r="H4613" s="90"/>
    </row>
    <row r="4614" spans="7:8">
      <c r="G4614" s="87"/>
      <c r="H4614" s="90"/>
    </row>
    <row r="4615" spans="7:8">
      <c r="G4615" s="87"/>
      <c r="H4615" s="90"/>
    </row>
    <row r="4616" spans="7:8">
      <c r="G4616" s="87"/>
      <c r="H4616" s="90"/>
    </row>
    <row r="4617" spans="7:8">
      <c r="G4617" s="87"/>
      <c r="H4617" s="90"/>
    </row>
    <row r="4618" spans="7:8">
      <c r="G4618" s="87"/>
      <c r="H4618" s="90"/>
    </row>
    <row r="4619" spans="7:8">
      <c r="G4619" s="87"/>
      <c r="H4619" s="90"/>
    </row>
    <row r="4620" spans="7:8">
      <c r="G4620" s="87"/>
      <c r="H4620" s="90"/>
    </row>
    <row r="4621" spans="7:8">
      <c r="G4621" s="87"/>
      <c r="H4621" s="90"/>
    </row>
    <row r="4622" spans="7:8">
      <c r="G4622" s="87"/>
      <c r="H4622" s="90"/>
    </row>
    <row r="4623" spans="7:8">
      <c r="G4623" s="87"/>
      <c r="H4623" s="90"/>
    </row>
    <row r="4624" spans="7:8">
      <c r="G4624" s="87"/>
      <c r="H4624" s="90"/>
    </row>
    <row r="4625" spans="7:8">
      <c r="G4625" s="87"/>
      <c r="H4625" s="90"/>
    </row>
    <row r="4626" spans="7:8">
      <c r="G4626" s="87"/>
      <c r="H4626" s="90"/>
    </row>
    <row r="4627" spans="7:8">
      <c r="G4627" s="87"/>
      <c r="H4627" s="90"/>
    </row>
    <row r="4628" spans="7:8">
      <c r="G4628" s="87"/>
      <c r="H4628" s="90"/>
    </row>
    <row r="4629" spans="7:8">
      <c r="G4629" s="87"/>
      <c r="H4629" s="90"/>
    </row>
    <row r="4630" spans="7:8">
      <c r="G4630" s="87"/>
      <c r="H4630" s="90"/>
    </row>
    <row r="4631" spans="7:8">
      <c r="G4631" s="87"/>
      <c r="H4631" s="90"/>
    </row>
    <row r="4632" spans="7:8">
      <c r="G4632" s="87"/>
      <c r="H4632" s="90"/>
    </row>
    <row r="4633" spans="7:8">
      <c r="G4633" s="87"/>
      <c r="H4633" s="90"/>
    </row>
    <row r="4634" spans="7:8">
      <c r="G4634" s="87"/>
      <c r="H4634" s="90"/>
    </row>
    <row r="4635" spans="7:8">
      <c r="G4635" s="87"/>
      <c r="H4635" s="90"/>
    </row>
    <row r="4636" spans="7:8">
      <c r="G4636" s="87"/>
      <c r="H4636" s="90"/>
    </row>
    <row r="4637" spans="7:8">
      <c r="G4637" s="87"/>
      <c r="H4637" s="90"/>
    </row>
    <row r="4638" spans="7:8">
      <c r="G4638" s="87"/>
      <c r="H4638" s="90"/>
    </row>
    <row r="4639" spans="7:8">
      <c r="G4639" s="87"/>
      <c r="H4639" s="90"/>
    </row>
    <row r="4640" spans="7:8">
      <c r="G4640" s="87"/>
      <c r="H4640" s="90"/>
    </row>
    <row r="4641" spans="7:8">
      <c r="G4641" s="87"/>
      <c r="H4641" s="90"/>
    </row>
    <row r="4642" spans="7:8">
      <c r="G4642" s="87"/>
      <c r="H4642" s="90"/>
    </row>
    <row r="4643" spans="7:8">
      <c r="G4643" s="87"/>
      <c r="H4643" s="90"/>
    </row>
    <row r="4644" spans="7:8">
      <c r="G4644" s="87"/>
      <c r="H4644" s="90"/>
    </row>
    <row r="4645" spans="7:8">
      <c r="G4645" s="87"/>
      <c r="H4645" s="90"/>
    </row>
    <row r="4646" spans="7:8">
      <c r="G4646" s="87"/>
      <c r="H4646" s="90"/>
    </row>
    <row r="4647" spans="7:8">
      <c r="G4647" s="87"/>
      <c r="H4647" s="90"/>
    </row>
    <row r="4648" spans="7:8">
      <c r="G4648" s="87"/>
      <c r="H4648" s="90"/>
    </row>
    <row r="4649" spans="7:8">
      <c r="G4649" s="87"/>
      <c r="H4649" s="90"/>
    </row>
    <row r="4650" spans="7:8">
      <c r="G4650" s="87"/>
      <c r="H4650" s="90"/>
    </row>
    <row r="4651" spans="7:8">
      <c r="G4651" s="87"/>
      <c r="H4651" s="90"/>
    </row>
    <row r="4652" spans="7:8">
      <c r="G4652" s="87"/>
      <c r="H4652" s="90"/>
    </row>
    <row r="4653" spans="7:8">
      <c r="G4653" s="87"/>
      <c r="H4653" s="90"/>
    </row>
    <row r="4654" spans="7:8">
      <c r="G4654" s="87"/>
      <c r="H4654" s="90"/>
    </row>
    <row r="4655" spans="7:8">
      <c r="G4655" s="87"/>
      <c r="H4655" s="90"/>
    </row>
    <row r="4656" spans="7:8">
      <c r="G4656" s="87"/>
      <c r="H4656" s="90"/>
    </row>
    <row r="4657" spans="7:8">
      <c r="G4657" s="87"/>
      <c r="H4657" s="90"/>
    </row>
    <row r="4658" spans="7:8">
      <c r="G4658" s="87"/>
      <c r="H4658" s="90"/>
    </row>
    <row r="4659" spans="7:8">
      <c r="G4659" s="87"/>
      <c r="H4659" s="90"/>
    </row>
    <row r="4660" spans="7:8">
      <c r="G4660" s="87"/>
      <c r="H4660" s="90"/>
    </row>
    <row r="4661" spans="7:8">
      <c r="G4661" s="87"/>
      <c r="H4661" s="90"/>
    </row>
    <row r="4662" spans="7:8">
      <c r="G4662" s="87"/>
      <c r="H4662" s="90"/>
    </row>
    <row r="4663" spans="7:8">
      <c r="G4663" s="87"/>
      <c r="H4663" s="90"/>
    </row>
    <row r="4664" spans="7:8">
      <c r="G4664" s="87"/>
      <c r="H4664" s="90"/>
    </row>
    <row r="4665" spans="7:8">
      <c r="G4665" s="87"/>
      <c r="H4665" s="90"/>
    </row>
    <row r="4666" spans="7:8">
      <c r="G4666" s="87"/>
      <c r="H4666" s="90"/>
    </row>
    <row r="4667" spans="7:8">
      <c r="G4667" s="87"/>
      <c r="H4667" s="90"/>
    </row>
    <row r="4668" spans="7:8">
      <c r="G4668" s="87"/>
      <c r="H4668" s="90"/>
    </row>
    <row r="4669" spans="7:8">
      <c r="G4669" s="87"/>
      <c r="H4669" s="90"/>
    </row>
    <row r="4670" spans="7:8">
      <c r="G4670" s="87"/>
      <c r="H4670" s="90"/>
    </row>
    <row r="4671" spans="7:8">
      <c r="G4671" s="87"/>
      <c r="H4671" s="90"/>
    </row>
    <row r="4672" spans="7:8">
      <c r="G4672" s="87"/>
      <c r="H4672" s="90"/>
    </row>
    <row r="4673" spans="7:8">
      <c r="G4673" s="87"/>
      <c r="H4673" s="90"/>
    </row>
    <row r="4674" spans="7:8">
      <c r="G4674" s="87"/>
      <c r="H4674" s="90"/>
    </row>
    <row r="4675" spans="7:8">
      <c r="G4675" s="87"/>
      <c r="H4675" s="90"/>
    </row>
    <row r="4676" spans="7:8">
      <c r="G4676" s="87"/>
      <c r="H4676" s="90"/>
    </row>
    <row r="4677" spans="7:8">
      <c r="G4677" s="87"/>
      <c r="H4677" s="90"/>
    </row>
    <row r="4678" spans="7:8">
      <c r="G4678" s="87"/>
      <c r="H4678" s="90"/>
    </row>
    <row r="4679" spans="7:8">
      <c r="G4679" s="87"/>
      <c r="H4679" s="90"/>
    </row>
    <row r="4680" spans="7:8">
      <c r="G4680" s="87"/>
      <c r="H4680" s="90"/>
    </row>
    <row r="4681" spans="7:8">
      <c r="G4681" s="87"/>
      <c r="H4681" s="90"/>
    </row>
    <row r="4682" spans="7:8">
      <c r="G4682" s="87"/>
      <c r="H4682" s="90"/>
    </row>
    <row r="4683" spans="7:8">
      <c r="G4683" s="87"/>
      <c r="H4683" s="90"/>
    </row>
    <row r="4684" spans="7:8">
      <c r="G4684" s="87"/>
      <c r="H4684" s="90"/>
    </row>
    <row r="4685" spans="7:8">
      <c r="G4685" s="87"/>
      <c r="H4685" s="90"/>
    </row>
    <row r="4686" spans="7:8">
      <c r="G4686" s="87"/>
      <c r="H4686" s="90"/>
    </row>
    <row r="4687" spans="7:8">
      <c r="G4687" s="87"/>
      <c r="H4687" s="90"/>
    </row>
    <row r="4688" spans="7:8">
      <c r="G4688" s="87"/>
      <c r="H4688" s="90"/>
    </row>
    <row r="4689" spans="7:8">
      <c r="G4689" s="87"/>
      <c r="H4689" s="90"/>
    </row>
    <row r="4690" spans="7:8">
      <c r="G4690" s="87"/>
      <c r="H4690" s="90"/>
    </row>
    <row r="4691" spans="7:8">
      <c r="G4691" s="87"/>
      <c r="H4691" s="90"/>
    </row>
    <row r="4692" spans="7:8">
      <c r="G4692" s="87"/>
      <c r="H4692" s="90"/>
    </row>
    <row r="4693" spans="7:8">
      <c r="G4693" s="87"/>
      <c r="H4693" s="90"/>
    </row>
    <row r="4694" spans="7:8">
      <c r="G4694" s="87"/>
      <c r="H4694" s="90"/>
    </row>
    <row r="4695" spans="7:8">
      <c r="G4695" s="87"/>
      <c r="H4695" s="90"/>
    </row>
    <row r="4696" spans="7:8">
      <c r="G4696" s="87"/>
      <c r="H4696" s="90"/>
    </row>
    <row r="4697" spans="7:8">
      <c r="G4697" s="87"/>
      <c r="H4697" s="90"/>
    </row>
    <row r="4698" spans="7:8">
      <c r="G4698" s="87"/>
      <c r="H4698" s="90"/>
    </row>
    <row r="4699" spans="7:8">
      <c r="G4699" s="87"/>
      <c r="H4699" s="90"/>
    </row>
    <row r="4700" spans="7:8">
      <c r="G4700" s="87"/>
      <c r="H4700" s="90"/>
    </row>
    <row r="4701" spans="7:8">
      <c r="G4701" s="87"/>
      <c r="H4701" s="90"/>
    </row>
    <row r="4702" spans="7:8">
      <c r="G4702" s="87"/>
      <c r="H4702" s="90"/>
    </row>
    <row r="4703" spans="7:8">
      <c r="G4703" s="87"/>
      <c r="H4703" s="90"/>
    </row>
    <row r="4704" spans="7:8">
      <c r="G4704" s="87"/>
      <c r="H4704" s="90"/>
    </row>
    <row r="4705" spans="7:8">
      <c r="G4705" s="87"/>
      <c r="H4705" s="90"/>
    </row>
    <row r="4706" spans="7:8">
      <c r="G4706" s="87"/>
      <c r="H4706" s="90"/>
    </row>
    <row r="4707" spans="7:8">
      <c r="G4707" s="87"/>
      <c r="H4707" s="90"/>
    </row>
    <row r="4708" spans="7:8">
      <c r="G4708" s="87"/>
      <c r="H4708" s="90"/>
    </row>
    <row r="4709" spans="7:8">
      <c r="G4709" s="87"/>
      <c r="H4709" s="90"/>
    </row>
    <row r="4710" spans="7:8">
      <c r="G4710" s="87"/>
      <c r="H4710" s="90"/>
    </row>
    <row r="4711" spans="7:8">
      <c r="G4711" s="87"/>
      <c r="H4711" s="90"/>
    </row>
    <row r="4712" spans="7:8">
      <c r="G4712" s="87"/>
      <c r="H4712" s="90"/>
    </row>
    <row r="4713" spans="7:8">
      <c r="G4713" s="87"/>
      <c r="H4713" s="90"/>
    </row>
    <row r="4714" spans="7:8">
      <c r="G4714" s="87"/>
      <c r="H4714" s="90"/>
    </row>
    <row r="4715" spans="7:8">
      <c r="G4715" s="87"/>
      <c r="H4715" s="90"/>
    </row>
    <row r="4716" spans="7:8">
      <c r="G4716" s="87"/>
      <c r="H4716" s="90"/>
    </row>
    <row r="4717" spans="7:8">
      <c r="G4717" s="87"/>
      <c r="H4717" s="90"/>
    </row>
    <row r="4718" spans="7:8">
      <c r="G4718" s="87"/>
      <c r="H4718" s="90"/>
    </row>
    <row r="4719" spans="7:8">
      <c r="G4719" s="87"/>
      <c r="H4719" s="90"/>
    </row>
    <row r="4720" spans="7:8">
      <c r="G4720" s="87"/>
      <c r="H4720" s="90"/>
    </row>
    <row r="4721" spans="7:8">
      <c r="G4721" s="87"/>
      <c r="H4721" s="90"/>
    </row>
    <row r="4722" spans="7:8">
      <c r="G4722" s="87"/>
      <c r="H4722" s="90"/>
    </row>
    <row r="4723" spans="7:8">
      <c r="G4723" s="87"/>
      <c r="H4723" s="90"/>
    </row>
    <row r="4724" spans="7:8">
      <c r="G4724" s="87"/>
      <c r="H4724" s="90"/>
    </row>
    <row r="4725" spans="7:8">
      <c r="G4725" s="87"/>
      <c r="H4725" s="90"/>
    </row>
    <row r="4726" spans="7:8">
      <c r="G4726" s="87"/>
      <c r="H4726" s="90"/>
    </row>
    <row r="4727" spans="7:8">
      <c r="G4727" s="87"/>
      <c r="H4727" s="90"/>
    </row>
    <row r="4728" spans="7:8">
      <c r="G4728" s="87"/>
      <c r="H4728" s="90"/>
    </row>
    <row r="4729" spans="7:8">
      <c r="G4729" s="87"/>
      <c r="H4729" s="90"/>
    </row>
    <row r="4730" spans="7:8">
      <c r="G4730" s="87"/>
      <c r="H4730" s="90"/>
    </row>
    <row r="4731" spans="7:8">
      <c r="G4731" s="87"/>
      <c r="H4731" s="90"/>
    </row>
    <row r="4732" spans="7:8">
      <c r="G4732" s="87"/>
      <c r="H4732" s="90"/>
    </row>
    <row r="4733" spans="7:8">
      <c r="G4733" s="87"/>
      <c r="H4733" s="90"/>
    </row>
    <row r="4734" spans="7:8">
      <c r="G4734" s="87"/>
      <c r="H4734" s="90"/>
    </row>
    <row r="4735" spans="7:8">
      <c r="G4735" s="87"/>
      <c r="H4735" s="90"/>
    </row>
    <row r="4736" spans="7:8">
      <c r="G4736" s="87"/>
      <c r="H4736" s="90"/>
    </row>
    <row r="4737" spans="7:8">
      <c r="G4737" s="87"/>
      <c r="H4737" s="90"/>
    </row>
    <row r="4738" spans="7:8">
      <c r="G4738" s="87"/>
      <c r="H4738" s="90"/>
    </row>
    <row r="4739" spans="7:8">
      <c r="G4739" s="87"/>
      <c r="H4739" s="90"/>
    </row>
    <row r="4740" spans="7:8">
      <c r="G4740" s="87"/>
      <c r="H4740" s="90"/>
    </row>
    <row r="4741" spans="7:8">
      <c r="G4741" s="87"/>
      <c r="H4741" s="90"/>
    </row>
    <row r="4742" spans="7:8">
      <c r="G4742" s="87"/>
      <c r="H4742" s="90"/>
    </row>
    <row r="4743" spans="7:8">
      <c r="G4743" s="87"/>
      <c r="H4743" s="90"/>
    </row>
    <row r="4744" spans="7:8">
      <c r="G4744" s="87"/>
      <c r="H4744" s="90"/>
    </row>
    <row r="4745" spans="7:8">
      <c r="G4745" s="87"/>
      <c r="H4745" s="90"/>
    </row>
    <row r="4746" spans="7:8">
      <c r="G4746" s="87"/>
      <c r="H4746" s="90"/>
    </row>
    <row r="4747" spans="7:8">
      <c r="G4747" s="87"/>
      <c r="H4747" s="90"/>
    </row>
    <row r="4748" spans="7:8">
      <c r="G4748" s="87"/>
      <c r="H4748" s="90"/>
    </row>
    <row r="4749" spans="7:8">
      <c r="G4749" s="87"/>
      <c r="H4749" s="90"/>
    </row>
    <row r="4750" spans="7:8">
      <c r="G4750" s="87"/>
      <c r="H4750" s="90"/>
    </row>
    <row r="4751" spans="7:8">
      <c r="G4751" s="87"/>
      <c r="H4751" s="90"/>
    </row>
    <row r="4752" spans="7:8">
      <c r="G4752" s="87"/>
      <c r="H4752" s="90"/>
    </row>
    <row r="4753" spans="7:8">
      <c r="G4753" s="87"/>
      <c r="H4753" s="90"/>
    </row>
    <row r="4754" spans="7:8">
      <c r="G4754" s="87"/>
      <c r="H4754" s="90"/>
    </row>
    <row r="4755" spans="7:8">
      <c r="G4755" s="87"/>
      <c r="H4755" s="90"/>
    </row>
    <row r="4756" spans="7:8">
      <c r="G4756" s="87"/>
      <c r="H4756" s="90"/>
    </row>
    <row r="4757" spans="7:8">
      <c r="G4757" s="87"/>
      <c r="H4757" s="90"/>
    </row>
    <row r="4758" spans="7:8">
      <c r="G4758" s="87"/>
      <c r="H4758" s="90"/>
    </row>
    <row r="4759" spans="7:8">
      <c r="G4759" s="87"/>
      <c r="H4759" s="90"/>
    </row>
    <row r="4760" spans="7:8">
      <c r="G4760" s="87"/>
      <c r="H4760" s="90"/>
    </row>
    <row r="4761" spans="7:8">
      <c r="G4761" s="87"/>
      <c r="H4761" s="90"/>
    </row>
    <row r="4762" spans="7:8">
      <c r="G4762" s="87"/>
      <c r="H4762" s="90"/>
    </row>
    <row r="4763" spans="7:8">
      <c r="G4763" s="87"/>
      <c r="H4763" s="90"/>
    </row>
    <row r="4764" spans="7:8">
      <c r="G4764" s="87"/>
      <c r="H4764" s="90"/>
    </row>
    <row r="4765" spans="7:8">
      <c r="G4765" s="87"/>
      <c r="H4765" s="90"/>
    </row>
    <row r="4766" spans="7:8">
      <c r="G4766" s="87"/>
      <c r="H4766" s="90"/>
    </row>
    <row r="4767" spans="7:8">
      <c r="G4767" s="87"/>
      <c r="H4767" s="90"/>
    </row>
    <row r="4768" spans="7:8">
      <c r="G4768" s="87"/>
      <c r="H4768" s="90"/>
    </row>
    <row r="4769" spans="7:8">
      <c r="G4769" s="87"/>
      <c r="H4769" s="90"/>
    </row>
    <row r="4770" spans="7:8">
      <c r="G4770" s="87"/>
      <c r="H4770" s="90"/>
    </row>
    <row r="4771" spans="7:8">
      <c r="G4771" s="87"/>
      <c r="H4771" s="90"/>
    </row>
    <row r="4772" spans="7:8">
      <c r="G4772" s="87"/>
      <c r="H4772" s="90"/>
    </row>
    <row r="4773" spans="7:8">
      <c r="G4773" s="87"/>
      <c r="H4773" s="90"/>
    </row>
    <row r="4774" spans="7:8">
      <c r="G4774" s="87"/>
      <c r="H4774" s="90"/>
    </row>
    <row r="4775" spans="7:8">
      <c r="G4775" s="87"/>
      <c r="H4775" s="90"/>
    </row>
    <row r="4776" spans="7:8">
      <c r="G4776" s="87"/>
      <c r="H4776" s="90"/>
    </row>
    <row r="4777" spans="7:8">
      <c r="G4777" s="87"/>
      <c r="H4777" s="90"/>
    </row>
    <row r="4778" spans="7:8">
      <c r="G4778" s="87"/>
      <c r="H4778" s="90"/>
    </row>
    <row r="4779" spans="7:8">
      <c r="G4779" s="87"/>
      <c r="H4779" s="90"/>
    </row>
    <row r="4780" spans="7:8">
      <c r="G4780" s="87"/>
      <c r="H4780" s="90"/>
    </row>
    <row r="4781" spans="7:8">
      <c r="G4781" s="87"/>
      <c r="H4781" s="90"/>
    </row>
    <row r="4782" spans="7:8">
      <c r="G4782" s="87"/>
      <c r="H4782" s="90"/>
    </row>
    <row r="4783" spans="7:8">
      <c r="G4783" s="87"/>
      <c r="H4783" s="90"/>
    </row>
    <row r="4784" spans="7:8">
      <c r="G4784" s="87"/>
      <c r="H4784" s="90"/>
    </row>
    <row r="4785" spans="7:8">
      <c r="G4785" s="87"/>
      <c r="H4785" s="90"/>
    </row>
    <row r="4786" spans="7:8">
      <c r="G4786" s="87"/>
      <c r="H4786" s="90"/>
    </row>
    <row r="4787" spans="7:8">
      <c r="G4787" s="87"/>
      <c r="H4787" s="90"/>
    </row>
    <row r="4788" spans="7:8">
      <c r="G4788" s="87"/>
      <c r="H4788" s="90"/>
    </row>
    <row r="4789" spans="7:8">
      <c r="G4789" s="87"/>
      <c r="H4789" s="90"/>
    </row>
    <row r="4790" spans="7:8">
      <c r="G4790" s="87"/>
      <c r="H4790" s="90"/>
    </row>
    <row r="4791" spans="7:8">
      <c r="G4791" s="87"/>
      <c r="H4791" s="90"/>
    </row>
    <row r="4792" spans="7:8">
      <c r="G4792" s="87"/>
      <c r="H4792" s="90"/>
    </row>
    <row r="4793" spans="7:8">
      <c r="G4793" s="87"/>
      <c r="H4793" s="90"/>
    </row>
    <row r="4794" spans="7:8">
      <c r="G4794" s="87"/>
      <c r="H4794" s="90"/>
    </row>
    <row r="4795" spans="7:8">
      <c r="G4795" s="87"/>
      <c r="H4795" s="90"/>
    </row>
    <row r="4796" spans="7:8">
      <c r="G4796" s="87"/>
      <c r="H4796" s="90"/>
    </row>
    <row r="4797" spans="7:8">
      <c r="G4797" s="87"/>
      <c r="H4797" s="90"/>
    </row>
    <row r="4798" spans="7:8">
      <c r="G4798" s="87"/>
      <c r="H4798" s="90"/>
    </row>
    <row r="4799" spans="7:8">
      <c r="G4799" s="87"/>
      <c r="H4799" s="90"/>
    </row>
    <row r="4800" spans="7:8">
      <c r="G4800" s="87"/>
      <c r="H4800" s="90"/>
    </row>
    <row r="4801" spans="7:8">
      <c r="G4801" s="87"/>
      <c r="H4801" s="90"/>
    </row>
    <row r="4802" spans="7:8">
      <c r="G4802" s="87"/>
      <c r="H4802" s="90"/>
    </row>
    <row r="4803" spans="7:8">
      <c r="G4803" s="87"/>
      <c r="H4803" s="90"/>
    </row>
    <row r="4804" spans="7:8">
      <c r="G4804" s="87"/>
      <c r="H4804" s="90"/>
    </row>
    <row r="4805" spans="7:8">
      <c r="G4805" s="87"/>
      <c r="H4805" s="90"/>
    </row>
    <row r="4806" spans="7:8">
      <c r="G4806" s="87"/>
      <c r="H4806" s="90"/>
    </row>
    <row r="4807" spans="7:8">
      <c r="G4807" s="87"/>
      <c r="H4807" s="90"/>
    </row>
    <row r="4808" spans="7:8">
      <c r="G4808" s="87"/>
      <c r="H4808" s="90"/>
    </row>
    <row r="4809" spans="7:8">
      <c r="G4809" s="87"/>
      <c r="H4809" s="90"/>
    </row>
    <row r="4810" spans="7:8">
      <c r="G4810" s="87"/>
      <c r="H4810" s="90"/>
    </row>
    <row r="4811" spans="7:8">
      <c r="G4811" s="87"/>
      <c r="H4811" s="90"/>
    </row>
    <row r="4812" spans="7:8">
      <c r="G4812" s="87"/>
      <c r="H4812" s="90"/>
    </row>
    <row r="4813" spans="7:8">
      <c r="G4813" s="87"/>
      <c r="H4813" s="90"/>
    </row>
    <row r="4814" spans="7:8">
      <c r="G4814" s="87"/>
      <c r="H4814" s="90"/>
    </row>
    <row r="4815" spans="7:8">
      <c r="G4815" s="87"/>
      <c r="H4815" s="90"/>
    </row>
    <row r="4816" spans="7:8">
      <c r="G4816" s="87"/>
      <c r="H4816" s="90"/>
    </row>
    <row r="4817" spans="7:8">
      <c r="G4817" s="87"/>
      <c r="H4817" s="90"/>
    </row>
    <row r="4818" spans="7:8">
      <c r="G4818" s="87"/>
      <c r="H4818" s="90"/>
    </row>
    <row r="4819" spans="7:8">
      <c r="G4819" s="87"/>
      <c r="H4819" s="90"/>
    </row>
    <row r="4820" spans="7:8">
      <c r="G4820" s="87"/>
      <c r="H4820" s="90"/>
    </row>
    <row r="4821" spans="7:8">
      <c r="G4821" s="87"/>
      <c r="H4821" s="90"/>
    </row>
    <row r="4822" spans="7:8">
      <c r="G4822" s="87"/>
      <c r="H4822" s="90"/>
    </row>
    <row r="4823" spans="7:8">
      <c r="G4823" s="87"/>
      <c r="H4823" s="90"/>
    </row>
    <row r="4824" spans="7:8">
      <c r="G4824" s="87"/>
      <c r="H4824" s="90"/>
    </row>
    <row r="4825" spans="7:8">
      <c r="G4825" s="87"/>
      <c r="H4825" s="90"/>
    </row>
    <row r="4826" spans="7:8">
      <c r="G4826" s="87"/>
      <c r="H4826" s="90"/>
    </row>
    <row r="4827" spans="7:8">
      <c r="G4827" s="87"/>
      <c r="H4827" s="90"/>
    </row>
    <row r="4828" spans="7:8">
      <c r="G4828" s="87"/>
      <c r="H4828" s="90"/>
    </row>
    <row r="4829" spans="7:8">
      <c r="G4829" s="87"/>
      <c r="H4829" s="90"/>
    </row>
    <row r="4830" spans="7:8">
      <c r="G4830" s="87"/>
      <c r="H4830" s="90"/>
    </row>
    <row r="4831" spans="7:8">
      <c r="G4831" s="87"/>
      <c r="H4831" s="90"/>
    </row>
    <row r="4832" spans="7:8">
      <c r="G4832" s="87"/>
      <c r="H4832" s="90"/>
    </row>
    <row r="4833" spans="7:8">
      <c r="G4833" s="87"/>
      <c r="H4833" s="90"/>
    </row>
    <row r="4834" spans="7:8">
      <c r="G4834" s="87"/>
      <c r="H4834" s="90"/>
    </row>
    <row r="4835" spans="7:8">
      <c r="G4835" s="87"/>
      <c r="H4835" s="90"/>
    </row>
    <row r="4836" spans="7:8">
      <c r="G4836" s="87"/>
      <c r="H4836" s="90"/>
    </row>
    <row r="4837" spans="7:8">
      <c r="G4837" s="87"/>
      <c r="H4837" s="90"/>
    </row>
    <row r="4838" spans="7:8">
      <c r="G4838" s="87"/>
      <c r="H4838" s="90"/>
    </row>
    <row r="4839" spans="7:8">
      <c r="G4839" s="87"/>
      <c r="H4839" s="90"/>
    </row>
    <row r="4840" spans="7:8">
      <c r="G4840" s="87"/>
      <c r="H4840" s="90"/>
    </row>
    <row r="4841" spans="7:8">
      <c r="G4841" s="87"/>
      <c r="H4841" s="90"/>
    </row>
    <row r="4842" spans="7:8">
      <c r="G4842" s="87"/>
      <c r="H4842" s="90"/>
    </row>
    <row r="4843" spans="7:8">
      <c r="G4843" s="87"/>
      <c r="H4843" s="90"/>
    </row>
    <row r="4844" spans="7:8">
      <c r="G4844" s="87"/>
      <c r="H4844" s="90"/>
    </row>
    <row r="4845" spans="7:8">
      <c r="G4845" s="87"/>
      <c r="H4845" s="90"/>
    </row>
    <row r="4846" spans="7:8">
      <c r="G4846" s="87"/>
      <c r="H4846" s="90"/>
    </row>
    <row r="4847" spans="7:8">
      <c r="G4847" s="87"/>
      <c r="H4847" s="90"/>
    </row>
    <row r="4848" spans="7:8">
      <c r="G4848" s="87"/>
      <c r="H4848" s="90"/>
    </row>
    <row r="4849" spans="7:8">
      <c r="G4849" s="87"/>
      <c r="H4849" s="90"/>
    </row>
    <row r="4850" spans="7:8">
      <c r="G4850" s="87"/>
      <c r="H4850" s="90"/>
    </row>
    <row r="4851" spans="7:8">
      <c r="G4851" s="87"/>
      <c r="H4851" s="90"/>
    </row>
    <row r="4852" spans="7:8">
      <c r="G4852" s="87"/>
      <c r="H4852" s="90"/>
    </row>
    <row r="4853" spans="7:8">
      <c r="G4853" s="87"/>
      <c r="H4853" s="90"/>
    </row>
    <row r="4854" spans="7:8">
      <c r="G4854" s="87"/>
      <c r="H4854" s="90"/>
    </row>
    <row r="4855" spans="7:8">
      <c r="G4855" s="87"/>
      <c r="H4855" s="90"/>
    </row>
    <row r="4856" spans="7:8">
      <c r="G4856" s="87"/>
      <c r="H4856" s="90"/>
    </row>
    <row r="4857" spans="7:8">
      <c r="G4857" s="87"/>
      <c r="H4857" s="90"/>
    </row>
    <row r="4858" spans="7:8">
      <c r="G4858" s="87"/>
      <c r="H4858" s="90"/>
    </row>
    <row r="4859" spans="7:8">
      <c r="G4859" s="87"/>
      <c r="H4859" s="90"/>
    </row>
    <row r="4860" spans="7:8">
      <c r="G4860" s="87"/>
      <c r="H4860" s="90"/>
    </row>
    <row r="4861" spans="7:8">
      <c r="G4861" s="87"/>
      <c r="H4861" s="90"/>
    </row>
    <row r="4862" spans="7:8">
      <c r="G4862" s="87"/>
      <c r="H4862" s="90"/>
    </row>
    <row r="4863" spans="7:8">
      <c r="G4863" s="87"/>
      <c r="H4863" s="90"/>
    </row>
    <row r="4864" spans="7:8">
      <c r="G4864" s="87"/>
      <c r="H4864" s="90"/>
    </row>
    <row r="4865" spans="7:8">
      <c r="G4865" s="87"/>
      <c r="H4865" s="90"/>
    </row>
    <row r="4866" spans="7:8">
      <c r="G4866" s="87"/>
      <c r="H4866" s="90"/>
    </row>
    <row r="4867" spans="7:8">
      <c r="G4867" s="87"/>
      <c r="H4867" s="90"/>
    </row>
    <row r="4868" spans="7:8">
      <c r="G4868" s="87"/>
      <c r="H4868" s="90"/>
    </row>
    <row r="4869" spans="7:8">
      <c r="G4869" s="87"/>
      <c r="H4869" s="90"/>
    </row>
    <row r="4870" spans="7:8">
      <c r="G4870" s="87"/>
      <c r="H4870" s="90"/>
    </row>
    <row r="4871" spans="7:8">
      <c r="G4871" s="87"/>
      <c r="H4871" s="90"/>
    </row>
    <row r="4872" spans="7:8">
      <c r="G4872" s="87"/>
      <c r="H4872" s="90"/>
    </row>
    <row r="4873" spans="7:8">
      <c r="G4873" s="87"/>
      <c r="H4873" s="90"/>
    </row>
    <row r="4874" spans="7:8">
      <c r="G4874" s="87"/>
      <c r="H4874" s="90"/>
    </row>
    <row r="4875" spans="7:8">
      <c r="G4875" s="87"/>
      <c r="H4875" s="90"/>
    </row>
    <row r="4876" spans="7:8">
      <c r="G4876" s="87"/>
      <c r="H4876" s="90"/>
    </row>
    <row r="4877" spans="7:8">
      <c r="G4877" s="87"/>
      <c r="H4877" s="90"/>
    </row>
    <row r="4878" spans="7:8">
      <c r="G4878" s="87"/>
      <c r="H4878" s="90"/>
    </row>
    <row r="4879" spans="7:8">
      <c r="G4879" s="87"/>
      <c r="H4879" s="90"/>
    </row>
    <row r="4880" spans="7:8">
      <c r="G4880" s="87"/>
      <c r="H4880" s="90"/>
    </row>
    <row r="4881" spans="7:8">
      <c r="G4881" s="87"/>
      <c r="H4881" s="90"/>
    </row>
    <row r="4882" spans="7:8">
      <c r="G4882" s="87"/>
      <c r="H4882" s="90"/>
    </row>
    <row r="4883" spans="7:8">
      <c r="G4883" s="87"/>
      <c r="H4883" s="90"/>
    </row>
    <row r="4884" spans="7:8">
      <c r="G4884" s="87"/>
      <c r="H4884" s="90"/>
    </row>
    <row r="4885" spans="7:8">
      <c r="G4885" s="87"/>
      <c r="H4885" s="90"/>
    </row>
    <row r="4886" spans="7:8">
      <c r="G4886" s="87"/>
      <c r="H4886" s="90"/>
    </row>
    <row r="4887" spans="7:8">
      <c r="G4887" s="87"/>
      <c r="H4887" s="90"/>
    </row>
    <row r="4888" spans="7:8">
      <c r="G4888" s="87"/>
      <c r="H4888" s="90"/>
    </row>
    <row r="4889" spans="7:8">
      <c r="G4889" s="87"/>
      <c r="H4889" s="90"/>
    </row>
    <row r="4890" spans="7:8">
      <c r="G4890" s="87"/>
      <c r="H4890" s="90"/>
    </row>
    <row r="4891" spans="7:8">
      <c r="G4891" s="87"/>
      <c r="H4891" s="90"/>
    </row>
    <row r="4892" spans="7:8">
      <c r="G4892" s="87"/>
      <c r="H4892" s="90"/>
    </row>
    <row r="4893" spans="7:8">
      <c r="G4893" s="87"/>
      <c r="H4893" s="90"/>
    </row>
    <row r="4894" spans="7:8">
      <c r="G4894" s="87"/>
      <c r="H4894" s="90"/>
    </row>
    <row r="4895" spans="7:8">
      <c r="G4895" s="87"/>
      <c r="H4895" s="90"/>
    </row>
    <row r="4896" spans="7:8">
      <c r="G4896" s="87"/>
      <c r="H4896" s="90"/>
    </row>
    <row r="4897" spans="7:8">
      <c r="G4897" s="87"/>
      <c r="H4897" s="90"/>
    </row>
    <row r="4898" spans="7:8">
      <c r="G4898" s="87"/>
      <c r="H4898" s="90"/>
    </row>
    <row r="4899" spans="7:8">
      <c r="G4899" s="87"/>
      <c r="H4899" s="90"/>
    </row>
    <row r="4900" spans="7:8">
      <c r="G4900" s="87"/>
      <c r="H4900" s="90"/>
    </row>
    <row r="4901" spans="7:8">
      <c r="G4901" s="87"/>
      <c r="H4901" s="90"/>
    </row>
    <row r="4902" spans="7:8">
      <c r="G4902" s="87"/>
      <c r="H4902" s="90"/>
    </row>
    <row r="4903" spans="7:8">
      <c r="G4903" s="87"/>
      <c r="H4903" s="90"/>
    </row>
    <row r="4904" spans="7:8">
      <c r="G4904" s="87"/>
      <c r="H4904" s="90"/>
    </row>
    <row r="4905" spans="7:8">
      <c r="G4905" s="87"/>
      <c r="H4905" s="90"/>
    </row>
    <row r="4906" spans="7:8">
      <c r="G4906" s="87"/>
      <c r="H4906" s="90"/>
    </row>
    <row r="4907" spans="7:8">
      <c r="G4907" s="87"/>
      <c r="H4907" s="90"/>
    </row>
    <row r="4908" spans="7:8">
      <c r="G4908" s="87"/>
      <c r="H4908" s="90"/>
    </row>
    <row r="4909" spans="7:8">
      <c r="G4909" s="87"/>
      <c r="H4909" s="90"/>
    </row>
    <row r="4910" spans="7:8">
      <c r="G4910" s="87"/>
      <c r="H4910" s="90"/>
    </row>
    <row r="4911" spans="7:8">
      <c r="G4911" s="87"/>
      <c r="H4911" s="90"/>
    </row>
    <row r="4912" spans="7:8">
      <c r="G4912" s="87"/>
      <c r="H4912" s="90"/>
    </row>
    <row r="4913" spans="7:8">
      <c r="G4913" s="87"/>
      <c r="H4913" s="90"/>
    </row>
    <row r="4914" spans="7:8">
      <c r="G4914" s="87"/>
      <c r="H4914" s="90"/>
    </row>
    <row r="4915" spans="7:8">
      <c r="G4915" s="87"/>
      <c r="H4915" s="90"/>
    </row>
    <row r="4916" spans="7:8">
      <c r="G4916" s="87"/>
      <c r="H4916" s="90"/>
    </row>
    <row r="4917" spans="7:8">
      <c r="G4917" s="87"/>
      <c r="H4917" s="90"/>
    </row>
    <row r="4918" spans="7:8">
      <c r="G4918" s="87"/>
      <c r="H4918" s="90"/>
    </row>
    <row r="4919" spans="7:8">
      <c r="G4919" s="87"/>
      <c r="H4919" s="90"/>
    </row>
    <row r="4920" spans="7:8">
      <c r="G4920" s="87"/>
      <c r="H4920" s="90"/>
    </row>
    <row r="4921" spans="7:8">
      <c r="G4921" s="87"/>
      <c r="H4921" s="90"/>
    </row>
    <row r="4922" spans="7:8">
      <c r="G4922" s="87"/>
      <c r="H4922" s="90"/>
    </row>
    <row r="4923" spans="7:8">
      <c r="G4923" s="87"/>
      <c r="H4923" s="90"/>
    </row>
    <row r="4924" spans="7:8">
      <c r="G4924" s="87"/>
      <c r="H4924" s="90"/>
    </row>
    <row r="4925" spans="7:8">
      <c r="G4925" s="87"/>
      <c r="H4925" s="90"/>
    </row>
    <row r="4926" spans="7:8">
      <c r="G4926" s="87"/>
      <c r="H4926" s="90"/>
    </row>
    <row r="4927" spans="7:8">
      <c r="G4927" s="87"/>
      <c r="H4927" s="90"/>
    </row>
    <row r="4928" spans="7:8">
      <c r="G4928" s="87"/>
      <c r="H4928" s="90"/>
    </row>
    <row r="4929" spans="7:8">
      <c r="G4929" s="87"/>
      <c r="H4929" s="90"/>
    </row>
    <row r="4930" spans="7:8">
      <c r="G4930" s="87"/>
      <c r="H4930" s="90"/>
    </row>
    <row r="4931" spans="7:8">
      <c r="G4931" s="87"/>
      <c r="H4931" s="90"/>
    </row>
    <row r="4932" spans="7:8">
      <c r="G4932" s="87"/>
      <c r="H4932" s="90"/>
    </row>
    <row r="4933" spans="7:8">
      <c r="G4933" s="87"/>
      <c r="H4933" s="90"/>
    </row>
    <row r="4934" spans="7:8">
      <c r="G4934" s="87"/>
      <c r="H4934" s="90"/>
    </row>
    <row r="4935" spans="7:8">
      <c r="G4935" s="87"/>
      <c r="H4935" s="90"/>
    </row>
    <row r="4936" spans="7:8">
      <c r="G4936" s="87"/>
      <c r="H4936" s="90"/>
    </row>
    <row r="4937" spans="7:8">
      <c r="G4937" s="87"/>
      <c r="H4937" s="90"/>
    </row>
    <row r="4938" spans="7:8">
      <c r="G4938" s="87"/>
      <c r="H4938" s="90"/>
    </row>
    <row r="4939" spans="7:8">
      <c r="G4939" s="87"/>
      <c r="H4939" s="90"/>
    </row>
    <row r="4940" spans="7:8">
      <c r="G4940" s="87"/>
      <c r="H4940" s="90"/>
    </row>
    <row r="4941" spans="7:8">
      <c r="G4941" s="87"/>
      <c r="H4941" s="90"/>
    </row>
    <row r="4942" spans="7:8">
      <c r="G4942" s="87"/>
      <c r="H4942" s="90"/>
    </row>
    <row r="4943" spans="7:8">
      <c r="G4943" s="87"/>
      <c r="H4943" s="90"/>
    </row>
    <row r="4944" spans="7:8">
      <c r="G4944" s="87"/>
      <c r="H4944" s="90"/>
    </row>
    <row r="4945" spans="7:8">
      <c r="G4945" s="87"/>
      <c r="H4945" s="90"/>
    </row>
    <row r="4946" spans="7:8">
      <c r="G4946" s="87"/>
      <c r="H4946" s="90"/>
    </row>
    <row r="4947" spans="7:8">
      <c r="G4947" s="87"/>
      <c r="H4947" s="90"/>
    </row>
    <row r="4948" spans="7:8">
      <c r="G4948" s="87"/>
      <c r="H4948" s="90"/>
    </row>
    <row r="4949" spans="7:8">
      <c r="G4949" s="87"/>
      <c r="H4949" s="90"/>
    </row>
    <row r="4950" spans="7:8">
      <c r="G4950" s="87"/>
      <c r="H4950" s="90"/>
    </row>
    <row r="4951" spans="7:8">
      <c r="G4951" s="87"/>
      <c r="H4951" s="90"/>
    </row>
    <row r="4952" spans="7:8">
      <c r="G4952" s="87"/>
      <c r="H4952" s="90"/>
    </row>
    <row r="4953" spans="7:8">
      <c r="G4953" s="87"/>
      <c r="H4953" s="90"/>
    </row>
    <row r="4954" spans="7:8">
      <c r="G4954" s="87"/>
      <c r="H4954" s="90"/>
    </row>
    <row r="4955" spans="7:8">
      <c r="G4955" s="87"/>
      <c r="H4955" s="90"/>
    </row>
    <row r="4956" spans="7:8">
      <c r="G4956" s="87"/>
      <c r="H4956" s="90"/>
    </row>
    <row r="4957" spans="7:8">
      <c r="G4957" s="87"/>
      <c r="H4957" s="90"/>
    </row>
    <row r="4958" spans="7:8">
      <c r="G4958" s="87"/>
      <c r="H4958" s="90"/>
    </row>
    <row r="4959" spans="7:8">
      <c r="G4959" s="87"/>
      <c r="H4959" s="90"/>
    </row>
    <row r="4960" spans="7:8">
      <c r="G4960" s="87"/>
      <c r="H4960" s="90"/>
    </row>
    <row r="4961" spans="7:8">
      <c r="G4961" s="87"/>
      <c r="H4961" s="90"/>
    </row>
    <row r="4962" spans="7:8">
      <c r="G4962" s="87"/>
      <c r="H4962" s="90"/>
    </row>
    <row r="4963" spans="7:8">
      <c r="G4963" s="87"/>
      <c r="H4963" s="90"/>
    </row>
    <row r="4964" spans="7:8">
      <c r="G4964" s="87"/>
      <c r="H4964" s="90"/>
    </row>
    <row r="4965" spans="7:8">
      <c r="G4965" s="87"/>
      <c r="H4965" s="90"/>
    </row>
    <row r="4966" spans="7:8">
      <c r="G4966" s="87"/>
      <c r="H4966" s="90"/>
    </row>
    <row r="4967" spans="7:8">
      <c r="G4967" s="87"/>
      <c r="H4967" s="90"/>
    </row>
    <row r="4968" spans="7:8">
      <c r="G4968" s="87"/>
      <c r="H4968" s="90"/>
    </row>
    <row r="4969" spans="7:8">
      <c r="G4969" s="87"/>
      <c r="H4969" s="90"/>
    </row>
    <row r="4970" spans="7:8">
      <c r="G4970" s="87"/>
      <c r="H4970" s="90"/>
    </row>
    <row r="4971" spans="7:8">
      <c r="G4971" s="87"/>
      <c r="H4971" s="90"/>
    </row>
    <row r="4972" spans="7:8">
      <c r="G4972" s="87"/>
      <c r="H4972" s="90"/>
    </row>
    <row r="4973" spans="7:8">
      <c r="G4973" s="87"/>
      <c r="H4973" s="90"/>
    </row>
    <row r="4974" spans="7:8">
      <c r="G4974" s="87"/>
      <c r="H4974" s="90"/>
    </row>
    <row r="4975" spans="7:8">
      <c r="G4975" s="87"/>
      <c r="H4975" s="90"/>
    </row>
    <row r="4976" spans="7:8">
      <c r="G4976" s="87"/>
      <c r="H4976" s="90"/>
    </row>
    <row r="4977" spans="7:8">
      <c r="G4977" s="87"/>
      <c r="H4977" s="90"/>
    </row>
    <row r="4978" spans="7:8">
      <c r="G4978" s="87"/>
      <c r="H4978" s="90"/>
    </row>
    <row r="4979" spans="7:8">
      <c r="G4979" s="87"/>
      <c r="H4979" s="90"/>
    </row>
    <row r="4980" spans="7:8">
      <c r="G4980" s="87"/>
      <c r="H4980" s="90"/>
    </row>
    <row r="4981" spans="7:8">
      <c r="G4981" s="87"/>
      <c r="H4981" s="90"/>
    </row>
    <row r="4982" spans="7:8">
      <c r="G4982" s="87"/>
      <c r="H4982" s="90"/>
    </row>
    <row r="4983" spans="7:8">
      <c r="G4983" s="87"/>
      <c r="H4983" s="90"/>
    </row>
    <row r="4984" spans="7:8">
      <c r="G4984" s="87"/>
      <c r="H4984" s="90"/>
    </row>
    <row r="4985" spans="7:8">
      <c r="G4985" s="87"/>
      <c r="H4985" s="90"/>
    </row>
    <row r="4986" spans="7:8">
      <c r="G4986" s="87"/>
      <c r="H4986" s="90"/>
    </row>
    <row r="4987" spans="7:8">
      <c r="G4987" s="87"/>
      <c r="H4987" s="90"/>
    </row>
    <row r="4988" spans="7:8">
      <c r="G4988" s="87"/>
      <c r="H4988" s="90"/>
    </row>
    <row r="4989" spans="7:8">
      <c r="G4989" s="87"/>
      <c r="H4989" s="90"/>
    </row>
    <row r="4990" spans="7:8">
      <c r="G4990" s="87"/>
      <c r="H4990" s="90"/>
    </row>
    <row r="4991" spans="7:8">
      <c r="G4991" s="87"/>
      <c r="H4991" s="90"/>
    </row>
    <row r="4992" spans="7:8">
      <c r="G4992" s="87"/>
      <c r="H4992" s="90"/>
    </row>
    <row r="4993" spans="7:8">
      <c r="G4993" s="87"/>
      <c r="H4993" s="90"/>
    </row>
    <row r="4994" spans="7:8">
      <c r="G4994" s="87"/>
      <c r="H4994" s="90"/>
    </row>
    <row r="4995" spans="7:8">
      <c r="G4995" s="87"/>
      <c r="H4995" s="90"/>
    </row>
    <row r="4996" spans="7:8">
      <c r="G4996" s="87"/>
      <c r="H4996" s="90"/>
    </row>
    <row r="4997" spans="7:8">
      <c r="G4997" s="87"/>
      <c r="H4997" s="90"/>
    </row>
    <row r="4998" spans="7:8">
      <c r="G4998" s="87"/>
      <c r="H4998" s="90"/>
    </row>
    <row r="4999" spans="7:8">
      <c r="G4999" s="87"/>
      <c r="H4999" s="90"/>
    </row>
    <row r="5000" spans="7:8">
      <c r="G5000" s="87"/>
      <c r="H5000" s="90"/>
    </row>
    <row r="5001" spans="7:8">
      <c r="G5001" s="87"/>
      <c r="H5001" s="90"/>
    </row>
    <row r="5002" spans="7:8">
      <c r="G5002" s="87"/>
      <c r="H5002" s="90"/>
    </row>
    <row r="5003" spans="7:8">
      <c r="G5003" s="87"/>
      <c r="H5003" s="90"/>
    </row>
    <row r="5004" spans="7:8">
      <c r="G5004" s="87"/>
      <c r="H5004" s="90"/>
    </row>
    <row r="5005" spans="7:8">
      <c r="G5005" s="87"/>
      <c r="H5005" s="90"/>
    </row>
    <row r="5006" spans="7:8">
      <c r="G5006" s="87"/>
      <c r="H5006" s="90"/>
    </row>
    <row r="5007" spans="7:8">
      <c r="G5007" s="87"/>
      <c r="H5007" s="90"/>
    </row>
    <row r="5008" spans="7:8">
      <c r="G5008" s="87"/>
      <c r="H5008" s="90"/>
    </row>
    <row r="5009" spans="7:8">
      <c r="G5009" s="87"/>
      <c r="H5009" s="90"/>
    </row>
    <row r="5010" spans="7:8">
      <c r="G5010" s="87"/>
      <c r="H5010" s="90"/>
    </row>
    <row r="5011" spans="7:8">
      <c r="G5011" s="87"/>
      <c r="H5011" s="90"/>
    </row>
    <row r="5012" spans="7:8">
      <c r="G5012" s="87"/>
      <c r="H5012" s="90"/>
    </row>
    <row r="5013" spans="7:8">
      <c r="G5013" s="87"/>
      <c r="H5013" s="90"/>
    </row>
    <row r="5014" spans="7:8">
      <c r="G5014" s="87"/>
      <c r="H5014" s="90"/>
    </row>
    <row r="5015" spans="7:8">
      <c r="G5015" s="87"/>
      <c r="H5015" s="90"/>
    </row>
    <row r="5016" spans="7:8">
      <c r="G5016" s="87"/>
      <c r="H5016" s="90"/>
    </row>
    <row r="5017" spans="7:8">
      <c r="G5017" s="87"/>
      <c r="H5017" s="90"/>
    </row>
    <row r="5018" spans="7:8">
      <c r="G5018" s="87"/>
      <c r="H5018" s="90"/>
    </row>
    <row r="5019" spans="7:8">
      <c r="G5019" s="87"/>
      <c r="H5019" s="90"/>
    </row>
    <row r="5020" spans="7:8">
      <c r="G5020" s="87"/>
      <c r="H5020" s="90"/>
    </row>
    <row r="5021" spans="7:8">
      <c r="G5021" s="87"/>
      <c r="H5021" s="90"/>
    </row>
    <row r="5022" spans="7:8">
      <c r="G5022" s="87"/>
      <c r="H5022" s="90"/>
    </row>
    <row r="5023" spans="7:8">
      <c r="G5023" s="87"/>
      <c r="H5023" s="90"/>
    </row>
    <row r="5024" spans="7:8">
      <c r="G5024" s="87"/>
      <c r="H5024" s="90"/>
    </row>
    <row r="5025" spans="7:8">
      <c r="G5025" s="87"/>
      <c r="H5025" s="90"/>
    </row>
    <row r="5026" spans="7:8">
      <c r="G5026" s="87"/>
      <c r="H5026" s="90"/>
    </row>
    <row r="5027" spans="7:8">
      <c r="G5027" s="87"/>
      <c r="H5027" s="90"/>
    </row>
    <row r="5028" spans="7:8">
      <c r="G5028" s="87"/>
      <c r="H5028" s="90"/>
    </row>
    <row r="5029" spans="7:8">
      <c r="G5029" s="87"/>
      <c r="H5029" s="90"/>
    </row>
    <row r="5030" spans="7:8">
      <c r="G5030" s="87"/>
      <c r="H5030" s="90"/>
    </row>
    <row r="5031" spans="7:8">
      <c r="G5031" s="87"/>
      <c r="H5031" s="90"/>
    </row>
    <row r="5032" spans="7:8">
      <c r="G5032" s="87"/>
      <c r="H5032" s="90"/>
    </row>
    <row r="5033" spans="7:8">
      <c r="G5033" s="87"/>
      <c r="H5033" s="90"/>
    </row>
    <row r="5034" spans="7:8">
      <c r="G5034" s="87"/>
      <c r="H5034" s="90"/>
    </row>
    <row r="5035" spans="7:8">
      <c r="G5035" s="87"/>
      <c r="H5035" s="90"/>
    </row>
    <row r="5036" spans="7:8">
      <c r="G5036" s="87"/>
      <c r="H5036" s="90"/>
    </row>
    <row r="5037" spans="7:8">
      <c r="G5037" s="87"/>
      <c r="H5037" s="90"/>
    </row>
    <row r="5038" spans="7:8">
      <c r="G5038" s="87"/>
      <c r="H5038" s="90"/>
    </row>
    <row r="5039" spans="7:8">
      <c r="G5039" s="87"/>
      <c r="H5039" s="90"/>
    </row>
    <row r="5040" spans="7:8">
      <c r="G5040" s="87"/>
      <c r="H5040" s="90"/>
    </row>
    <row r="5041" spans="7:8">
      <c r="G5041" s="87"/>
      <c r="H5041" s="90"/>
    </row>
    <row r="5042" spans="7:8">
      <c r="G5042" s="87"/>
      <c r="H5042" s="90"/>
    </row>
    <row r="5043" spans="7:8">
      <c r="G5043" s="87"/>
      <c r="H5043" s="90"/>
    </row>
    <row r="5044" spans="7:8">
      <c r="G5044" s="87"/>
      <c r="H5044" s="90"/>
    </row>
    <row r="5045" spans="7:8">
      <c r="G5045" s="87"/>
      <c r="H5045" s="90"/>
    </row>
    <row r="5046" spans="7:8">
      <c r="G5046" s="87"/>
      <c r="H5046" s="90"/>
    </row>
    <row r="5047" spans="7:8">
      <c r="G5047" s="87"/>
      <c r="H5047" s="90"/>
    </row>
    <row r="5048" spans="7:8">
      <c r="G5048" s="87"/>
      <c r="H5048" s="90"/>
    </row>
    <row r="5049" spans="7:8">
      <c r="G5049" s="87"/>
      <c r="H5049" s="90"/>
    </row>
    <row r="5050" spans="7:8">
      <c r="G5050" s="87"/>
      <c r="H5050" s="90"/>
    </row>
    <row r="5051" spans="7:8">
      <c r="G5051" s="87"/>
      <c r="H5051" s="90"/>
    </row>
    <row r="5052" spans="7:8">
      <c r="G5052" s="87"/>
      <c r="H5052" s="90"/>
    </row>
    <row r="5053" spans="7:8">
      <c r="G5053" s="87"/>
      <c r="H5053" s="90"/>
    </row>
    <row r="5054" spans="7:8">
      <c r="G5054" s="87"/>
      <c r="H5054" s="90"/>
    </row>
    <row r="5055" spans="7:8">
      <c r="G5055" s="87"/>
      <c r="H5055" s="90"/>
    </row>
    <row r="5056" spans="7:8">
      <c r="G5056" s="87"/>
      <c r="H5056" s="90"/>
    </row>
    <row r="5057" spans="7:8">
      <c r="G5057" s="87"/>
      <c r="H5057" s="90"/>
    </row>
    <row r="5058" spans="7:8">
      <c r="G5058" s="87"/>
      <c r="H5058" s="90"/>
    </row>
    <row r="5059" spans="7:8">
      <c r="G5059" s="87"/>
      <c r="H5059" s="90"/>
    </row>
    <row r="5060" spans="7:8">
      <c r="G5060" s="87"/>
      <c r="H5060" s="90"/>
    </row>
    <row r="5061" spans="7:8">
      <c r="G5061" s="87"/>
      <c r="H5061" s="90"/>
    </row>
    <row r="5062" spans="7:8">
      <c r="G5062" s="87"/>
      <c r="H5062" s="90"/>
    </row>
    <row r="5063" spans="7:8">
      <c r="G5063" s="87"/>
      <c r="H5063" s="90"/>
    </row>
    <row r="5064" spans="7:8">
      <c r="G5064" s="87"/>
      <c r="H5064" s="90"/>
    </row>
    <row r="5065" spans="7:8">
      <c r="G5065" s="87"/>
      <c r="H5065" s="90"/>
    </row>
    <row r="5066" spans="7:8">
      <c r="G5066" s="87"/>
      <c r="H5066" s="90"/>
    </row>
    <row r="5067" spans="7:8">
      <c r="G5067" s="87"/>
      <c r="H5067" s="90"/>
    </row>
    <row r="5068" spans="7:8">
      <c r="G5068" s="87"/>
      <c r="H5068" s="90"/>
    </row>
    <row r="5069" spans="7:8">
      <c r="G5069" s="87"/>
      <c r="H5069" s="90"/>
    </row>
    <row r="5070" spans="7:8">
      <c r="G5070" s="87"/>
      <c r="H5070" s="90"/>
    </row>
    <row r="5071" spans="7:8">
      <c r="G5071" s="87"/>
      <c r="H5071" s="90"/>
    </row>
    <row r="5072" spans="7:8">
      <c r="G5072" s="87"/>
      <c r="H5072" s="90"/>
    </row>
    <row r="5073" spans="7:8">
      <c r="G5073" s="87"/>
      <c r="H5073" s="90"/>
    </row>
    <row r="5074" spans="7:8">
      <c r="G5074" s="87"/>
      <c r="H5074" s="90"/>
    </row>
    <row r="5075" spans="7:8">
      <c r="G5075" s="87"/>
      <c r="H5075" s="90"/>
    </row>
    <row r="5076" spans="7:8">
      <c r="G5076" s="87"/>
      <c r="H5076" s="90"/>
    </row>
    <row r="5077" spans="7:8">
      <c r="G5077" s="87"/>
      <c r="H5077" s="90"/>
    </row>
    <row r="5078" spans="7:8">
      <c r="G5078" s="87"/>
      <c r="H5078" s="90"/>
    </row>
    <row r="5079" spans="7:8">
      <c r="G5079" s="87"/>
      <c r="H5079" s="90"/>
    </row>
    <row r="5080" spans="7:8">
      <c r="G5080" s="87"/>
      <c r="H5080" s="90"/>
    </row>
    <row r="5081" spans="7:8">
      <c r="G5081" s="87"/>
      <c r="H5081" s="90"/>
    </row>
    <row r="5082" spans="7:8">
      <c r="G5082" s="87"/>
      <c r="H5082" s="90"/>
    </row>
    <row r="5083" spans="7:8">
      <c r="G5083" s="87"/>
      <c r="H5083" s="90"/>
    </row>
    <row r="5084" spans="7:8">
      <c r="G5084" s="87"/>
      <c r="H5084" s="90"/>
    </row>
    <row r="5085" spans="7:8">
      <c r="G5085" s="87"/>
      <c r="H5085" s="90"/>
    </row>
    <row r="5086" spans="7:8">
      <c r="G5086" s="87"/>
      <c r="H5086" s="90"/>
    </row>
    <row r="5087" spans="7:8">
      <c r="G5087" s="87"/>
      <c r="H5087" s="90"/>
    </row>
    <row r="5088" spans="7:8">
      <c r="G5088" s="87"/>
      <c r="H5088" s="90"/>
    </row>
    <row r="5089" spans="7:8">
      <c r="G5089" s="87"/>
      <c r="H5089" s="90"/>
    </row>
    <row r="5090" spans="7:8">
      <c r="G5090" s="87"/>
      <c r="H5090" s="90"/>
    </row>
    <row r="5091" spans="7:8">
      <c r="G5091" s="87"/>
      <c r="H5091" s="90"/>
    </row>
    <row r="5092" spans="7:8">
      <c r="G5092" s="87"/>
      <c r="H5092" s="90"/>
    </row>
    <row r="5093" spans="7:8">
      <c r="G5093" s="87"/>
      <c r="H5093" s="90"/>
    </row>
    <row r="5094" spans="7:8">
      <c r="G5094" s="87"/>
      <c r="H5094" s="90"/>
    </row>
    <row r="5095" spans="7:8">
      <c r="G5095" s="87"/>
      <c r="H5095" s="90"/>
    </row>
    <row r="5096" spans="7:8">
      <c r="G5096" s="87"/>
      <c r="H5096" s="90"/>
    </row>
    <row r="5097" spans="7:8">
      <c r="G5097" s="87"/>
      <c r="H5097" s="90"/>
    </row>
    <row r="5098" spans="7:8">
      <c r="G5098" s="87"/>
      <c r="H5098" s="90"/>
    </row>
    <row r="5099" spans="7:8">
      <c r="G5099" s="87"/>
      <c r="H5099" s="90"/>
    </row>
    <row r="5100" spans="7:8">
      <c r="G5100" s="87"/>
      <c r="H5100" s="90"/>
    </row>
    <row r="5101" spans="7:8">
      <c r="G5101" s="87"/>
      <c r="H5101" s="90"/>
    </row>
    <row r="5102" spans="7:8">
      <c r="G5102" s="87"/>
      <c r="H5102" s="90"/>
    </row>
    <row r="5103" spans="7:8">
      <c r="G5103" s="87"/>
      <c r="H5103" s="90"/>
    </row>
    <row r="5104" spans="7:8">
      <c r="G5104" s="87"/>
      <c r="H5104" s="90"/>
    </row>
    <row r="5105" spans="7:8">
      <c r="G5105" s="87"/>
      <c r="H5105" s="90"/>
    </row>
    <row r="5106" spans="7:8">
      <c r="G5106" s="87"/>
      <c r="H5106" s="90"/>
    </row>
    <row r="5107" spans="7:8">
      <c r="G5107" s="87"/>
      <c r="H5107" s="90"/>
    </row>
    <row r="5108" spans="7:8">
      <c r="G5108" s="87"/>
      <c r="H5108" s="90"/>
    </row>
    <row r="5109" spans="7:8">
      <c r="G5109" s="87"/>
      <c r="H5109" s="90"/>
    </row>
    <row r="5110" spans="7:8">
      <c r="G5110" s="87"/>
      <c r="H5110" s="90"/>
    </row>
    <row r="5111" spans="7:8">
      <c r="G5111" s="87"/>
      <c r="H5111" s="90"/>
    </row>
    <row r="5112" spans="7:8">
      <c r="G5112" s="87"/>
      <c r="H5112" s="90"/>
    </row>
    <row r="5113" spans="7:8">
      <c r="G5113" s="87"/>
      <c r="H5113" s="90"/>
    </row>
    <row r="5114" spans="7:8">
      <c r="G5114" s="87"/>
      <c r="H5114" s="90"/>
    </row>
    <row r="5115" spans="7:8">
      <c r="G5115" s="87"/>
      <c r="H5115" s="90"/>
    </row>
    <row r="5116" spans="7:8">
      <c r="G5116" s="87"/>
      <c r="H5116" s="90"/>
    </row>
    <row r="5117" spans="7:8">
      <c r="G5117" s="87"/>
      <c r="H5117" s="90"/>
    </row>
    <row r="5118" spans="7:8">
      <c r="G5118" s="87"/>
      <c r="H5118" s="90"/>
    </row>
    <row r="5119" spans="7:8">
      <c r="G5119" s="87"/>
      <c r="H5119" s="90"/>
    </row>
    <row r="5120" spans="7:8">
      <c r="G5120" s="87"/>
      <c r="H5120" s="90"/>
    </row>
    <row r="5121" spans="7:8">
      <c r="G5121" s="87"/>
      <c r="H5121" s="90"/>
    </row>
    <row r="5122" spans="7:8">
      <c r="G5122" s="87"/>
      <c r="H5122" s="90"/>
    </row>
    <row r="5123" spans="7:8">
      <c r="G5123" s="87"/>
      <c r="H5123" s="90"/>
    </row>
    <row r="5124" spans="7:8">
      <c r="G5124" s="87"/>
      <c r="H5124" s="90"/>
    </row>
    <row r="5125" spans="7:8">
      <c r="G5125" s="87"/>
      <c r="H5125" s="90"/>
    </row>
    <row r="5126" spans="7:8">
      <c r="G5126" s="87"/>
      <c r="H5126" s="90"/>
    </row>
    <row r="5127" spans="7:8">
      <c r="G5127" s="87"/>
      <c r="H5127" s="90"/>
    </row>
    <row r="5128" spans="7:8">
      <c r="G5128" s="87"/>
      <c r="H5128" s="90"/>
    </row>
    <row r="5129" spans="7:8">
      <c r="G5129" s="87"/>
      <c r="H5129" s="90"/>
    </row>
    <row r="5130" spans="7:8">
      <c r="G5130" s="87"/>
      <c r="H5130" s="90"/>
    </row>
    <row r="5131" spans="7:8">
      <c r="G5131" s="87"/>
      <c r="H5131" s="90"/>
    </row>
    <row r="5132" spans="7:8">
      <c r="G5132" s="87"/>
      <c r="H5132" s="90"/>
    </row>
    <row r="5133" spans="7:8">
      <c r="G5133" s="87"/>
      <c r="H5133" s="90"/>
    </row>
    <row r="5134" spans="7:8">
      <c r="G5134" s="87"/>
      <c r="H5134" s="90"/>
    </row>
    <row r="5135" spans="7:8">
      <c r="G5135" s="87"/>
      <c r="H5135" s="90"/>
    </row>
    <row r="5136" spans="7:8">
      <c r="G5136" s="87"/>
      <c r="H5136" s="90"/>
    </row>
    <row r="5137" spans="7:8">
      <c r="G5137" s="87"/>
      <c r="H5137" s="90"/>
    </row>
    <row r="5138" spans="7:8">
      <c r="G5138" s="87"/>
      <c r="H5138" s="90"/>
    </row>
    <row r="5139" spans="7:8">
      <c r="G5139" s="87"/>
      <c r="H5139" s="90"/>
    </row>
    <row r="5140" spans="7:8">
      <c r="G5140" s="87"/>
      <c r="H5140" s="90"/>
    </row>
    <row r="5141" spans="7:8">
      <c r="G5141" s="87"/>
      <c r="H5141" s="90"/>
    </row>
    <row r="5142" spans="7:8">
      <c r="G5142" s="87"/>
      <c r="H5142" s="90"/>
    </row>
    <row r="5143" spans="7:8">
      <c r="G5143" s="87"/>
      <c r="H5143" s="90"/>
    </row>
    <row r="5144" spans="7:8">
      <c r="G5144" s="87"/>
      <c r="H5144" s="90"/>
    </row>
    <row r="5145" spans="7:8">
      <c r="G5145" s="87"/>
      <c r="H5145" s="90"/>
    </row>
    <row r="5146" spans="7:8">
      <c r="G5146" s="87"/>
      <c r="H5146" s="90"/>
    </row>
    <row r="5147" spans="7:8">
      <c r="G5147" s="87"/>
      <c r="H5147" s="90"/>
    </row>
    <row r="5148" spans="7:8">
      <c r="G5148" s="87"/>
      <c r="H5148" s="90"/>
    </row>
    <row r="5149" spans="7:8">
      <c r="G5149" s="87"/>
      <c r="H5149" s="90"/>
    </row>
    <row r="5150" spans="7:8">
      <c r="G5150" s="87"/>
      <c r="H5150" s="90"/>
    </row>
    <row r="5151" spans="7:8">
      <c r="G5151" s="87"/>
      <c r="H5151" s="90"/>
    </row>
    <row r="5152" spans="7:8">
      <c r="G5152" s="87"/>
      <c r="H5152" s="90"/>
    </row>
    <row r="5153" spans="7:8">
      <c r="G5153" s="87"/>
      <c r="H5153" s="90"/>
    </row>
    <row r="5154" spans="7:8">
      <c r="G5154" s="87"/>
      <c r="H5154" s="90"/>
    </row>
    <row r="5155" spans="7:8">
      <c r="G5155" s="87"/>
      <c r="H5155" s="90"/>
    </row>
    <row r="5156" spans="7:8">
      <c r="G5156" s="87"/>
      <c r="H5156" s="90"/>
    </row>
    <row r="5157" spans="7:8">
      <c r="G5157" s="87"/>
      <c r="H5157" s="90"/>
    </row>
    <row r="5158" spans="7:8">
      <c r="G5158" s="87"/>
      <c r="H5158" s="90"/>
    </row>
    <row r="5159" spans="7:8">
      <c r="G5159" s="87"/>
      <c r="H5159" s="90"/>
    </row>
    <row r="5160" spans="7:8">
      <c r="G5160" s="87"/>
      <c r="H5160" s="90"/>
    </row>
    <row r="5161" spans="7:8">
      <c r="G5161" s="87"/>
      <c r="H5161" s="90"/>
    </row>
    <row r="5162" spans="7:8">
      <c r="G5162" s="87"/>
      <c r="H5162" s="90"/>
    </row>
    <row r="5163" spans="7:8">
      <c r="G5163" s="87"/>
      <c r="H5163" s="90"/>
    </row>
    <row r="5164" spans="7:8">
      <c r="G5164" s="87"/>
      <c r="H5164" s="90"/>
    </row>
    <row r="5165" spans="7:8">
      <c r="G5165" s="87"/>
      <c r="H5165" s="90"/>
    </row>
    <row r="5166" spans="7:8">
      <c r="G5166" s="87"/>
      <c r="H5166" s="90"/>
    </row>
    <row r="5167" spans="7:8">
      <c r="G5167" s="87"/>
      <c r="H5167" s="90"/>
    </row>
    <row r="5168" spans="7:8">
      <c r="G5168" s="87"/>
      <c r="H5168" s="90"/>
    </row>
    <row r="5169" spans="7:8">
      <c r="G5169" s="87"/>
      <c r="H5169" s="90"/>
    </row>
    <row r="5170" spans="7:8">
      <c r="G5170" s="87"/>
      <c r="H5170" s="90"/>
    </row>
    <row r="5171" spans="7:8">
      <c r="G5171" s="87"/>
      <c r="H5171" s="90"/>
    </row>
    <row r="5172" spans="7:8">
      <c r="G5172" s="87"/>
      <c r="H5172" s="90"/>
    </row>
    <row r="5173" spans="7:8">
      <c r="G5173" s="87"/>
      <c r="H5173" s="90"/>
    </row>
    <row r="5174" spans="7:8">
      <c r="G5174" s="87"/>
      <c r="H5174" s="90"/>
    </row>
    <row r="5175" spans="7:8">
      <c r="G5175" s="87"/>
      <c r="H5175" s="90"/>
    </row>
    <row r="5176" spans="7:8">
      <c r="G5176" s="87"/>
      <c r="H5176" s="90"/>
    </row>
    <row r="5177" spans="7:8">
      <c r="G5177" s="87"/>
      <c r="H5177" s="90"/>
    </row>
    <row r="5178" spans="7:8">
      <c r="G5178" s="87"/>
      <c r="H5178" s="90"/>
    </row>
    <row r="5179" spans="7:8">
      <c r="G5179" s="87"/>
      <c r="H5179" s="90"/>
    </row>
    <row r="5180" spans="7:8">
      <c r="G5180" s="87"/>
      <c r="H5180" s="90"/>
    </row>
    <row r="5181" spans="7:8">
      <c r="G5181" s="87"/>
      <c r="H5181" s="90"/>
    </row>
    <row r="5182" spans="7:8">
      <c r="G5182" s="87"/>
      <c r="H5182" s="90"/>
    </row>
    <row r="5183" spans="7:8">
      <c r="G5183" s="87"/>
      <c r="H5183" s="90"/>
    </row>
    <row r="5184" spans="7:8">
      <c r="G5184" s="87"/>
      <c r="H5184" s="90"/>
    </row>
    <row r="5185" spans="7:8">
      <c r="G5185" s="87"/>
      <c r="H5185" s="90"/>
    </row>
    <row r="5186" spans="7:8">
      <c r="G5186" s="87"/>
      <c r="H5186" s="90"/>
    </row>
    <row r="5187" spans="7:8">
      <c r="G5187" s="87"/>
      <c r="H5187" s="90"/>
    </row>
    <row r="5188" spans="7:8">
      <c r="G5188" s="87"/>
      <c r="H5188" s="90"/>
    </row>
    <row r="5189" spans="7:8">
      <c r="G5189" s="87"/>
      <c r="H5189" s="90"/>
    </row>
    <row r="5190" spans="7:8">
      <c r="G5190" s="87"/>
      <c r="H5190" s="90"/>
    </row>
    <row r="5191" spans="7:8">
      <c r="G5191" s="87"/>
      <c r="H5191" s="90"/>
    </row>
    <row r="5192" spans="7:8">
      <c r="G5192" s="87"/>
      <c r="H5192" s="90"/>
    </row>
    <row r="5193" spans="7:8">
      <c r="G5193" s="87"/>
      <c r="H5193" s="90"/>
    </row>
    <row r="5194" spans="7:8">
      <c r="G5194" s="87"/>
      <c r="H5194" s="90"/>
    </row>
    <row r="5195" spans="7:8">
      <c r="G5195" s="87"/>
      <c r="H5195" s="90"/>
    </row>
    <row r="5196" spans="7:8">
      <c r="G5196" s="87"/>
      <c r="H5196" s="90"/>
    </row>
    <row r="5197" spans="7:8">
      <c r="G5197" s="87"/>
      <c r="H5197" s="90"/>
    </row>
    <row r="5198" spans="7:8">
      <c r="G5198" s="87"/>
      <c r="H5198" s="90"/>
    </row>
    <row r="5199" spans="7:8">
      <c r="G5199" s="87"/>
      <c r="H5199" s="90"/>
    </row>
    <row r="5200" spans="7:8">
      <c r="G5200" s="87"/>
      <c r="H5200" s="90"/>
    </row>
    <row r="5201" spans="7:8">
      <c r="G5201" s="87"/>
      <c r="H5201" s="90"/>
    </row>
    <row r="5202" spans="7:8">
      <c r="G5202" s="87"/>
      <c r="H5202" s="90"/>
    </row>
    <row r="5203" spans="7:8">
      <c r="G5203" s="87"/>
      <c r="H5203" s="90"/>
    </row>
    <row r="5204" spans="7:8">
      <c r="G5204" s="87"/>
      <c r="H5204" s="90"/>
    </row>
    <row r="5205" spans="7:8">
      <c r="G5205" s="87"/>
      <c r="H5205" s="90"/>
    </row>
    <row r="5206" spans="7:8">
      <c r="G5206" s="87"/>
      <c r="H5206" s="90"/>
    </row>
    <row r="5207" spans="7:8">
      <c r="G5207" s="87"/>
      <c r="H5207" s="90"/>
    </row>
    <row r="5208" spans="7:8">
      <c r="G5208" s="87"/>
      <c r="H5208" s="90"/>
    </row>
    <row r="5209" spans="7:8">
      <c r="G5209" s="87"/>
      <c r="H5209" s="90"/>
    </row>
    <row r="5210" spans="7:8">
      <c r="G5210" s="87"/>
      <c r="H5210" s="90"/>
    </row>
    <row r="5211" spans="7:8">
      <c r="G5211" s="87"/>
      <c r="H5211" s="90"/>
    </row>
    <row r="5212" spans="7:8">
      <c r="G5212" s="87"/>
      <c r="H5212" s="90"/>
    </row>
    <row r="5213" spans="7:8">
      <c r="G5213" s="87"/>
      <c r="H5213" s="90"/>
    </row>
    <row r="5214" spans="7:8">
      <c r="G5214" s="87"/>
      <c r="H5214" s="90"/>
    </row>
    <row r="5215" spans="7:8">
      <c r="G5215" s="87"/>
      <c r="H5215" s="90"/>
    </row>
    <row r="5216" spans="7:8">
      <c r="G5216" s="87"/>
      <c r="H5216" s="90"/>
    </row>
    <row r="5217" spans="7:8">
      <c r="G5217" s="87"/>
      <c r="H5217" s="90"/>
    </row>
    <row r="5218" spans="7:8">
      <c r="G5218" s="87"/>
      <c r="H5218" s="90"/>
    </row>
    <row r="5219" spans="7:8">
      <c r="G5219" s="87"/>
      <c r="H5219" s="90"/>
    </row>
    <row r="5220" spans="7:8">
      <c r="G5220" s="87"/>
      <c r="H5220" s="90"/>
    </row>
    <row r="5221" spans="7:8">
      <c r="G5221" s="87"/>
      <c r="H5221" s="90"/>
    </row>
    <row r="5222" spans="7:8">
      <c r="G5222" s="87"/>
      <c r="H5222" s="90"/>
    </row>
    <row r="5223" spans="7:8">
      <c r="G5223" s="87"/>
      <c r="H5223" s="90"/>
    </row>
    <row r="5224" spans="7:8">
      <c r="G5224" s="87"/>
      <c r="H5224" s="90"/>
    </row>
    <row r="5225" spans="7:8">
      <c r="G5225" s="87"/>
      <c r="H5225" s="90"/>
    </row>
    <row r="5226" spans="7:8">
      <c r="G5226" s="87"/>
      <c r="H5226" s="90"/>
    </row>
    <row r="5227" spans="7:8">
      <c r="G5227" s="87"/>
      <c r="H5227" s="90"/>
    </row>
    <row r="5228" spans="7:8">
      <c r="G5228" s="87"/>
      <c r="H5228" s="90"/>
    </row>
    <row r="5229" spans="7:8">
      <c r="G5229" s="87"/>
      <c r="H5229" s="90"/>
    </row>
    <row r="5230" spans="7:8">
      <c r="G5230" s="87"/>
      <c r="H5230" s="90"/>
    </row>
    <row r="5231" spans="7:8">
      <c r="G5231" s="87"/>
      <c r="H5231" s="90"/>
    </row>
    <row r="5232" spans="7:8">
      <c r="G5232" s="87"/>
      <c r="H5232" s="90"/>
    </row>
    <row r="5233" spans="7:8">
      <c r="G5233" s="87"/>
      <c r="H5233" s="90"/>
    </row>
    <row r="5234" spans="7:8">
      <c r="G5234" s="87"/>
      <c r="H5234" s="90"/>
    </row>
    <row r="5235" spans="7:8">
      <c r="G5235" s="87"/>
      <c r="H5235" s="90"/>
    </row>
    <row r="5236" spans="7:8">
      <c r="G5236" s="87"/>
      <c r="H5236" s="90"/>
    </row>
    <row r="5237" spans="7:8">
      <c r="G5237" s="87"/>
      <c r="H5237" s="90"/>
    </row>
    <row r="5238" spans="7:8">
      <c r="G5238" s="87"/>
      <c r="H5238" s="90"/>
    </row>
    <row r="5239" spans="7:8">
      <c r="G5239" s="87"/>
      <c r="H5239" s="90"/>
    </row>
    <row r="5240" spans="7:8">
      <c r="G5240" s="87"/>
      <c r="H5240" s="90"/>
    </row>
    <row r="5241" spans="7:8">
      <c r="G5241" s="87"/>
      <c r="H5241" s="90"/>
    </row>
    <row r="5242" spans="7:8">
      <c r="G5242" s="87"/>
      <c r="H5242" s="90"/>
    </row>
    <row r="5243" spans="7:8">
      <c r="G5243" s="87"/>
      <c r="H5243" s="90"/>
    </row>
    <row r="5244" spans="7:8">
      <c r="G5244" s="87"/>
      <c r="H5244" s="90"/>
    </row>
    <row r="5245" spans="7:8">
      <c r="G5245" s="87"/>
      <c r="H5245" s="90"/>
    </row>
    <row r="5246" spans="7:8">
      <c r="G5246" s="87"/>
      <c r="H5246" s="90"/>
    </row>
    <row r="5247" spans="7:8">
      <c r="G5247" s="87"/>
      <c r="H5247" s="90"/>
    </row>
    <row r="5248" spans="7:8">
      <c r="G5248" s="87"/>
      <c r="H5248" s="90"/>
    </row>
    <row r="5249" spans="7:8">
      <c r="G5249" s="87"/>
      <c r="H5249" s="90"/>
    </row>
    <row r="5250" spans="7:8">
      <c r="G5250" s="87"/>
      <c r="H5250" s="90"/>
    </row>
    <row r="5251" spans="7:8">
      <c r="G5251" s="87"/>
      <c r="H5251" s="90"/>
    </row>
    <row r="5252" spans="7:8">
      <c r="G5252" s="87"/>
      <c r="H5252" s="90"/>
    </row>
    <row r="5253" spans="7:8">
      <c r="G5253" s="87"/>
      <c r="H5253" s="90"/>
    </row>
    <row r="5254" spans="7:8">
      <c r="G5254" s="87"/>
      <c r="H5254" s="90"/>
    </row>
    <row r="5255" spans="7:8">
      <c r="G5255" s="87"/>
      <c r="H5255" s="90"/>
    </row>
    <row r="5256" spans="7:8">
      <c r="G5256" s="87"/>
      <c r="H5256" s="90"/>
    </row>
    <row r="5257" spans="7:8">
      <c r="G5257" s="87"/>
      <c r="H5257" s="90"/>
    </row>
    <row r="5258" spans="7:8">
      <c r="G5258" s="87"/>
      <c r="H5258" s="90"/>
    </row>
    <row r="5259" spans="7:8">
      <c r="G5259" s="87"/>
      <c r="H5259" s="90"/>
    </row>
    <row r="5260" spans="7:8">
      <c r="G5260" s="87"/>
      <c r="H5260" s="90"/>
    </row>
    <row r="5261" spans="7:8">
      <c r="G5261" s="87"/>
      <c r="H5261" s="90"/>
    </row>
    <row r="5262" spans="7:8">
      <c r="G5262" s="87"/>
      <c r="H5262" s="90"/>
    </row>
    <row r="5263" spans="7:8">
      <c r="G5263" s="87"/>
      <c r="H5263" s="90"/>
    </row>
    <row r="5264" spans="7:8">
      <c r="G5264" s="87"/>
      <c r="H5264" s="90"/>
    </row>
    <row r="5265" spans="7:8">
      <c r="G5265" s="87"/>
      <c r="H5265" s="90"/>
    </row>
    <row r="5266" spans="7:8">
      <c r="G5266" s="87"/>
      <c r="H5266" s="90"/>
    </row>
    <row r="5267" spans="7:8">
      <c r="G5267" s="87"/>
      <c r="H5267" s="90"/>
    </row>
    <row r="5268" spans="7:8">
      <c r="G5268" s="87"/>
      <c r="H5268" s="90"/>
    </row>
    <row r="5269" spans="7:8">
      <c r="G5269" s="87"/>
      <c r="H5269" s="90"/>
    </row>
    <row r="5270" spans="7:8">
      <c r="G5270" s="87"/>
      <c r="H5270" s="90"/>
    </row>
    <row r="5271" spans="7:8">
      <c r="G5271" s="87"/>
      <c r="H5271" s="90"/>
    </row>
    <row r="5272" spans="7:8">
      <c r="G5272" s="87"/>
      <c r="H5272" s="90"/>
    </row>
    <row r="5273" spans="7:8">
      <c r="G5273" s="87"/>
      <c r="H5273" s="90"/>
    </row>
    <row r="5274" spans="7:8">
      <c r="G5274" s="87"/>
      <c r="H5274" s="90"/>
    </row>
    <row r="5275" spans="7:8">
      <c r="G5275" s="87"/>
      <c r="H5275" s="90"/>
    </row>
    <row r="5276" spans="7:8">
      <c r="G5276" s="87"/>
      <c r="H5276" s="90"/>
    </row>
    <row r="5277" spans="7:8">
      <c r="G5277" s="87"/>
      <c r="H5277" s="90"/>
    </row>
    <row r="5278" spans="7:8">
      <c r="G5278" s="87"/>
      <c r="H5278" s="90"/>
    </row>
    <row r="5279" spans="7:8">
      <c r="G5279" s="87"/>
      <c r="H5279" s="90"/>
    </row>
    <row r="5280" spans="7:8">
      <c r="G5280" s="87"/>
      <c r="H5280" s="90"/>
    </row>
    <row r="5281" spans="7:8">
      <c r="G5281" s="87"/>
      <c r="H5281" s="90"/>
    </row>
    <row r="5282" spans="7:8">
      <c r="G5282" s="87"/>
      <c r="H5282" s="90"/>
    </row>
    <row r="5283" spans="7:8">
      <c r="G5283" s="87"/>
      <c r="H5283" s="90"/>
    </row>
    <row r="5284" spans="7:8">
      <c r="G5284" s="87"/>
      <c r="H5284" s="90"/>
    </row>
    <row r="5285" spans="7:8">
      <c r="G5285" s="87"/>
      <c r="H5285" s="90"/>
    </row>
    <row r="5286" spans="7:8">
      <c r="G5286" s="87"/>
      <c r="H5286" s="90"/>
    </row>
    <row r="5287" spans="7:8">
      <c r="G5287" s="87"/>
      <c r="H5287" s="90"/>
    </row>
    <row r="5288" spans="7:8">
      <c r="G5288" s="87"/>
      <c r="H5288" s="90"/>
    </row>
    <row r="5289" spans="7:8">
      <c r="G5289" s="87"/>
      <c r="H5289" s="90"/>
    </row>
    <row r="5290" spans="7:8">
      <c r="G5290" s="87"/>
      <c r="H5290" s="90"/>
    </row>
    <row r="5291" spans="7:8">
      <c r="G5291" s="87"/>
      <c r="H5291" s="90"/>
    </row>
    <row r="5292" spans="7:8">
      <c r="G5292" s="87"/>
      <c r="H5292" s="90"/>
    </row>
    <row r="5293" spans="7:8">
      <c r="G5293" s="87"/>
      <c r="H5293" s="90"/>
    </row>
    <row r="5294" spans="7:8">
      <c r="G5294" s="87"/>
      <c r="H5294" s="90"/>
    </row>
    <row r="5295" spans="7:8">
      <c r="G5295" s="87"/>
      <c r="H5295" s="90"/>
    </row>
    <row r="5296" spans="7:8">
      <c r="G5296" s="87"/>
      <c r="H5296" s="90"/>
    </row>
    <row r="5297" spans="7:8">
      <c r="G5297" s="87"/>
      <c r="H5297" s="90"/>
    </row>
    <row r="5298" spans="7:8">
      <c r="G5298" s="87"/>
      <c r="H5298" s="90"/>
    </row>
    <row r="5299" spans="7:8">
      <c r="G5299" s="87"/>
      <c r="H5299" s="90"/>
    </row>
    <row r="5300" spans="7:8">
      <c r="G5300" s="87"/>
      <c r="H5300" s="90"/>
    </row>
    <row r="5301" spans="7:8">
      <c r="G5301" s="87"/>
      <c r="H5301" s="90"/>
    </row>
    <row r="5302" spans="7:8">
      <c r="G5302" s="87"/>
      <c r="H5302" s="90"/>
    </row>
    <row r="5303" spans="7:8">
      <c r="G5303" s="87"/>
      <c r="H5303" s="90"/>
    </row>
    <row r="5304" spans="7:8">
      <c r="G5304" s="87"/>
      <c r="H5304" s="90"/>
    </row>
    <row r="5305" spans="7:8">
      <c r="G5305" s="87"/>
      <c r="H5305" s="90"/>
    </row>
    <row r="5306" spans="7:8">
      <c r="G5306" s="87"/>
      <c r="H5306" s="90"/>
    </row>
    <row r="5307" spans="7:8">
      <c r="G5307" s="87"/>
      <c r="H5307" s="90"/>
    </row>
    <row r="5308" spans="7:8">
      <c r="G5308" s="87"/>
      <c r="H5308" s="90"/>
    </row>
    <row r="5309" spans="7:8">
      <c r="G5309" s="87"/>
      <c r="H5309" s="90"/>
    </row>
    <row r="5310" spans="7:8">
      <c r="G5310" s="87"/>
      <c r="H5310" s="90"/>
    </row>
    <row r="5311" spans="7:8">
      <c r="G5311" s="87"/>
      <c r="H5311" s="90"/>
    </row>
    <row r="5312" spans="7:8">
      <c r="G5312" s="87"/>
      <c r="H5312" s="90"/>
    </row>
    <row r="5313" spans="7:8">
      <c r="G5313" s="87"/>
      <c r="H5313" s="90"/>
    </row>
    <row r="5314" spans="7:8">
      <c r="G5314" s="87"/>
      <c r="H5314" s="90"/>
    </row>
    <row r="5315" spans="7:8">
      <c r="G5315" s="87"/>
      <c r="H5315" s="90"/>
    </row>
    <row r="5316" spans="7:8">
      <c r="G5316" s="87"/>
      <c r="H5316" s="90"/>
    </row>
    <row r="5317" spans="7:8">
      <c r="G5317" s="87"/>
      <c r="H5317" s="90"/>
    </row>
    <row r="5318" spans="7:8">
      <c r="G5318" s="87"/>
      <c r="H5318" s="90"/>
    </row>
    <row r="5319" spans="7:8">
      <c r="G5319" s="87"/>
      <c r="H5319" s="90"/>
    </row>
    <row r="5320" spans="7:8">
      <c r="G5320" s="87"/>
      <c r="H5320" s="90"/>
    </row>
    <row r="5321" spans="7:8">
      <c r="G5321" s="87"/>
      <c r="H5321" s="90"/>
    </row>
    <row r="5322" spans="7:8">
      <c r="G5322" s="87"/>
      <c r="H5322" s="90"/>
    </row>
    <row r="5323" spans="7:8">
      <c r="G5323" s="87"/>
      <c r="H5323" s="90"/>
    </row>
    <row r="5324" spans="7:8">
      <c r="G5324" s="87"/>
      <c r="H5324" s="90"/>
    </row>
    <row r="5325" spans="7:8">
      <c r="G5325" s="87"/>
      <c r="H5325" s="90"/>
    </row>
    <row r="5326" spans="7:8">
      <c r="G5326" s="87"/>
      <c r="H5326" s="90"/>
    </row>
    <row r="5327" spans="7:8">
      <c r="G5327" s="87"/>
      <c r="H5327" s="90"/>
    </row>
    <row r="5328" spans="7:8">
      <c r="G5328" s="87"/>
      <c r="H5328" s="90"/>
    </row>
    <row r="5329" spans="7:8">
      <c r="G5329" s="87"/>
      <c r="H5329" s="90"/>
    </row>
    <row r="5330" spans="7:8">
      <c r="G5330" s="87"/>
      <c r="H5330" s="90"/>
    </row>
    <row r="5331" spans="7:8">
      <c r="G5331" s="87"/>
      <c r="H5331" s="90"/>
    </row>
    <row r="5332" spans="7:8">
      <c r="G5332" s="87"/>
      <c r="H5332" s="90"/>
    </row>
    <row r="5333" spans="7:8">
      <c r="G5333" s="87"/>
      <c r="H5333" s="90"/>
    </row>
    <row r="5334" spans="7:8">
      <c r="G5334" s="87"/>
      <c r="H5334" s="90"/>
    </row>
    <row r="5335" spans="7:8">
      <c r="G5335" s="87"/>
      <c r="H5335" s="90"/>
    </row>
    <row r="5336" spans="7:8">
      <c r="G5336" s="87"/>
      <c r="H5336" s="90"/>
    </row>
    <row r="5337" spans="7:8">
      <c r="G5337" s="87"/>
      <c r="H5337" s="90"/>
    </row>
    <row r="5338" spans="7:8">
      <c r="G5338" s="87"/>
      <c r="H5338" s="90"/>
    </row>
    <row r="5339" spans="7:8">
      <c r="G5339" s="87"/>
      <c r="H5339" s="90"/>
    </row>
    <row r="5340" spans="7:8">
      <c r="G5340" s="87"/>
      <c r="H5340" s="90"/>
    </row>
    <row r="5341" spans="7:8">
      <c r="G5341" s="87"/>
      <c r="H5341" s="90"/>
    </row>
    <row r="5342" spans="7:8">
      <c r="G5342" s="87"/>
      <c r="H5342" s="90"/>
    </row>
    <row r="5343" spans="7:8">
      <c r="G5343" s="87"/>
      <c r="H5343" s="90"/>
    </row>
    <row r="5344" spans="7:8">
      <c r="G5344" s="87"/>
      <c r="H5344" s="90"/>
    </row>
    <row r="5345" spans="7:8">
      <c r="G5345" s="87"/>
      <c r="H5345" s="90"/>
    </row>
    <row r="5346" spans="7:8">
      <c r="G5346" s="87"/>
      <c r="H5346" s="90"/>
    </row>
    <row r="5347" spans="7:8">
      <c r="G5347" s="87"/>
      <c r="H5347" s="90"/>
    </row>
    <row r="5348" spans="7:8">
      <c r="G5348" s="87"/>
      <c r="H5348" s="90"/>
    </row>
    <row r="5349" spans="7:8">
      <c r="G5349" s="87"/>
      <c r="H5349" s="90"/>
    </row>
    <row r="5350" spans="7:8">
      <c r="G5350" s="87"/>
      <c r="H5350" s="90"/>
    </row>
    <row r="5351" spans="7:8">
      <c r="G5351" s="87"/>
      <c r="H5351" s="90"/>
    </row>
    <row r="5352" spans="7:8">
      <c r="G5352" s="87"/>
      <c r="H5352" s="90"/>
    </row>
    <row r="5353" spans="7:8">
      <c r="G5353" s="87"/>
      <c r="H5353" s="90"/>
    </row>
    <row r="5354" spans="7:8">
      <c r="G5354" s="87"/>
      <c r="H5354" s="90"/>
    </row>
    <row r="5355" spans="7:8">
      <c r="G5355" s="87"/>
      <c r="H5355" s="90"/>
    </row>
    <row r="5356" spans="7:8">
      <c r="G5356" s="87"/>
      <c r="H5356" s="90"/>
    </row>
    <row r="5357" spans="7:8">
      <c r="G5357" s="87"/>
      <c r="H5357" s="90"/>
    </row>
    <row r="5358" spans="7:8">
      <c r="G5358" s="87"/>
      <c r="H5358" s="90"/>
    </row>
    <row r="5359" spans="7:8">
      <c r="G5359" s="87"/>
      <c r="H5359" s="90"/>
    </row>
    <row r="5360" spans="7:8">
      <c r="G5360" s="87"/>
      <c r="H5360" s="90"/>
    </row>
    <row r="5361" spans="7:8">
      <c r="G5361" s="87"/>
      <c r="H5361" s="90"/>
    </row>
    <row r="5362" spans="7:8">
      <c r="G5362" s="87"/>
      <c r="H5362" s="90"/>
    </row>
    <row r="5363" spans="7:8">
      <c r="G5363" s="87"/>
      <c r="H5363" s="90"/>
    </row>
    <row r="5364" spans="7:8">
      <c r="G5364" s="87"/>
      <c r="H5364" s="90"/>
    </row>
    <row r="5365" spans="7:8">
      <c r="G5365" s="87"/>
      <c r="H5365" s="90"/>
    </row>
    <row r="5366" spans="7:8">
      <c r="G5366" s="87"/>
      <c r="H5366" s="90"/>
    </row>
    <row r="5367" spans="7:8">
      <c r="G5367" s="87"/>
      <c r="H5367" s="90"/>
    </row>
    <row r="5368" spans="7:8">
      <c r="G5368" s="87"/>
      <c r="H5368" s="90"/>
    </row>
    <row r="5369" spans="7:8">
      <c r="G5369" s="87"/>
      <c r="H5369" s="90"/>
    </row>
    <row r="5370" spans="7:8">
      <c r="G5370" s="87"/>
      <c r="H5370" s="90"/>
    </row>
    <row r="5371" spans="7:8">
      <c r="G5371" s="87"/>
      <c r="H5371" s="90"/>
    </row>
    <row r="5372" spans="7:8">
      <c r="G5372" s="87"/>
      <c r="H5372" s="90"/>
    </row>
    <row r="5373" spans="7:8">
      <c r="G5373" s="87"/>
      <c r="H5373" s="90"/>
    </row>
    <row r="5374" spans="7:8">
      <c r="G5374" s="87"/>
      <c r="H5374" s="90"/>
    </row>
    <row r="5375" spans="7:8">
      <c r="G5375" s="87"/>
      <c r="H5375" s="90"/>
    </row>
    <row r="5376" spans="7:8">
      <c r="G5376" s="87"/>
      <c r="H5376" s="90"/>
    </row>
    <row r="5377" spans="7:8">
      <c r="G5377" s="87"/>
      <c r="H5377" s="90"/>
    </row>
    <row r="5378" spans="7:8">
      <c r="G5378" s="87"/>
      <c r="H5378" s="90"/>
    </row>
    <row r="5379" spans="7:8">
      <c r="G5379" s="87"/>
      <c r="H5379" s="90"/>
    </row>
    <row r="5380" spans="7:8">
      <c r="G5380" s="87"/>
      <c r="H5380" s="90"/>
    </row>
    <row r="5381" spans="7:8">
      <c r="G5381" s="87"/>
      <c r="H5381" s="90"/>
    </row>
    <row r="5382" spans="7:8">
      <c r="G5382" s="87"/>
      <c r="H5382" s="90"/>
    </row>
    <row r="5383" spans="7:8">
      <c r="G5383" s="87"/>
      <c r="H5383" s="90"/>
    </row>
    <row r="5384" spans="7:8">
      <c r="G5384" s="87"/>
      <c r="H5384" s="90"/>
    </row>
    <row r="5385" spans="7:8">
      <c r="G5385" s="87"/>
      <c r="H5385" s="90"/>
    </row>
    <row r="5386" spans="7:8">
      <c r="G5386" s="87"/>
      <c r="H5386" s="90"/>
    </row>
    <row r="5387" spans="7:8">
      <c r="G5387" s="87"/>
      <c r="H5387" s="90"/>
    </row>
    <row r="5388" spans="7:8">
      <c r="G5388" s="87"/>
      <c r="H5388" s="90"/>
    </row>
    <row r="5389" spans="7:8">
      <c r="G5389" s="87"/>
      <c r="H5389" s="90"/>
    </row>
    <row r="5390" spans="7:8">
      <c r="G5390" s="87"/>
      <c r="H5390" s="90"/>
    </row>
    <row r="5391" spans="7:8">
      <c r="G5391" s="87"/>
      <c r="H5391" s="90"/>
    </row>
    <row r="5392" spans="7:8">
      <c r="G5392" s="87"/>
      <c r="H5392" s="90"/>
    </row>
    <row r="5393" spans="7:8">
      <c r="G5393" s="87"/>
      <c r="H5393" s="90"/>
    </row>
    <row r="5394" spans="7:8">
      <c r="G5394" s="87"/>
      <c r="H5394" s="90"/>
    </row>
    <row r="5395" spans="7:8">
      <c r="G5395" s="87"/>
      <c r="H5395" s="90"/>
    </row>
    <row r="5396" spans="7:8">
      <c r="G5396" s="87"/>
      <c r="H5396" s="90"/>
    </row>
    <row r="5397" spans="7:8">
      <c r="G5397" s="87"/>
      <c r="H5397" s="90"/>
    </row>
    <row r="5398" spans="7:8">
      <c r="G5398" s="87"/>
      <c r="H5398" s="90"/>
    </row>
    <row r="5399" spans="7:8">
      <c r="G5399" s="87"/>
      <c r="H5399" s="90"/>
    </row>
    <row r="5400" spans="7:8">
      <c r="G5400" s="87"/>
      <c r="H5400" s="90"/>
    </row>
    <row r="5401" spans="7:8">
      <c r="G5401" s="87"/>
      <c r="H5401" s="90"/>
    </row>
    <row r="5402" spans="7:8">
      <c r="G5402" s="87"/>
      <c r="H5402" s="90"/>
    </row>
    <row r="5403" spans="7:8">
      <c r="G5403" s="87"/>
      <c r="H5403" s="90"/>
    </row>
    <row r="5404" spans="7:8">
      <c r="G5404" s="87"/>
      <c r="H5404" s="90"/>
    </row>
    <row r="5405" spans="7:8">
      <c r="G5405" s="87"/>
      <c r="H5405" s="90"/>
    </row>
    <row r="5406" spans="7:8">
      <c r="G5406" s="87"/>
      <c r="H5406" s="90"/>
    </row>
    <row r="5407" spans="7:8">
      <c r="G5407" s="87"/>
      <c r="H5407" s="90"/>
    </row>
    <row r="5408" spans="7:8">
      <c r="G5408" s="87"/>
      <c r="H5408" s="90"/>
    </row>
    <row r="5409" spans="7:8">
      <c r="G5409" s="87"/>
      <c r="H5409" s="90"/>
    </row>
    <row r="5410" spans="7:8">
      <c r="G5410" s="87"/>
      <c r="H5410" s="90"/>
    </row>
    <row r="5411" spans="7:8">
      <c r="G5411" s="87"/>
      <c r="H5411" s="90"/>
    </row>
    <row r="5412" spans="7:8">
      <c r="G5412" s="87"/>
      <c r="H5412" s="90"/>
    </row>
    <row r="5413" spans="7:8">
      <c r="G5413" s="87"/>
      <c r="H5413" s="90"/>
    </row>
    <row r="5414" spans="7:8">
      <c r="G5414" s="87"/>
      <c r="H5414" s="90"/>
    </row>
    <row r="5415" spans="7:8">
      <c r="G5415" s="87"/>
      <c r="H5415" s="90"/>
    </row>
    <row r="5416" spans="7:8">
      <c r="G5416" s="87"/>
      <c r="H5416" s="90"/>
    </row>
    <row r="5417" spans="7:8">
      <c r="G5417" s="87"/>
      <c r="H5417" s="90"/>
    </row>
    <row r="5418" spans="7:8">
      <c r="G5418" s="87"/>
      <c r="H5418" s="90"/>
    </row>
    <row r="5419" spans="7:8">
      <c r="G5419" s="87"/>
      <c r="H5419" s="90"/>
    </row>
    <row r="5420" spans="7:8">
      <c r="G5420" s="87"/>
      <c r="H5420" s="90"/>
    </row>
    <row r="5421" spans="7:8">
      <c r="G5421" s="87"/>
      <c r="H5421" s="90"/>
    </row>
    <row r="5422" spans="7:8">
      <c r="G5422" s="87"/>
      <c r="H5422" s="90"/>
    </row>
    <row r="5423" spans="7:8">
      <c r="G5423" s="87"/>
      <c r="H5423" s="90"/>
    </row>
    <row r="5424" spans="7:8">
      <c r="G5424" s="87"/>
      <c r="H5424" s="90"/>
    </row>
    <row r="5425" spans="7:8">
      <c r="G5425" s="87"/>
      <c r="H5425" s="90"/>
    </row>
    <row r="5426" spans="7:8">
      <c r="G5426" s="87"/>
      <c r="H5426" s="90"/>
    </row>
    <row r="5427" spans="7:8">
      <c r="G5427" s="87"/>
      <c r="H5427" s="90"/>
    </row>
    <row r="5428" spans="7:8">
      <c r="G5428" s="87"/>
      <c r="H5428" s="90"/>
    </row>
    <row r="5429" spans="7:8">
      <c r="G5429" s="87"/>
      <c r="H5429" s="90"/>
    </row>
    <row r="5430" spans="7:8">
      <c r="G5430" s="87"/>
      <c r="H5430" s="90"/>
    </row>
    <row r="5431" spans="7:8">
      <c r="G5431" s="87"/>
      <c r="H5431" s="90"/>
    </row>
    <row r="5432" spans="7:8">
      <c r="G5432" s="87"/>
      <c r="H5432" s="90"/>
    </row>
    <row r="5433" spans="7:8">
      <c r="G5433" s="87"/>
      <c r="H5433" s="90"/>
    </row>
    <row r="5434" spans="7:8">
      <c r="G5434" s="87"/>
      <c r="H5434" s="90"/>
    </row>
    <row r="5435" spans="7:8">
      <c r="G5435" s="87"/>
      <c r="H5435" s="90"/>
    </row>
    <row r="5436" spans="7:8">
      <c r="G5436" s="87"/>
      <c r="H5436" s="90"/>
    </row>
    <row r="5437" spans="7:8">
      <c r="G5437" s="87"/>
      <c r="H5437" s="90"/>
    </row>
    <row r="5438" spans="7:8">
      <c r="G5438" s="87"/>
      <c r="H5438" s="90"/>
    </row>
    <row r="5439" spans="7:8">
      <c r="G5439" s="87"/>
      <c r="H5439" s="90"/>
    </row>
    <row r="5440" spans="7:8">
      <c r="G5440" s="87"/>
      <c r="H5440" s="90"/>
    </row>
    <row r="5441" spans="7:8">
      <c r="G5441" s="87"/>
      <c r="H5441" s="90"/>
    </row>
    <row r="5442" spans="7:8">
      <c r="G5442" s="87"/>
      <c r="H5442" s="90"/>
    </row>
    <row r="5443" spans="7:8">
      <c r="G5443" s="87"/>
      <c r="H5443" s="90"/>
    </row>
    <row r="5444" spans="7:8">
      <c r="G5444" s="87"/>
      <c r="H5444" s="90"/>
    </row>
    <row r="5445" spans="7:8">
      <c r="G5445" s="87"/>
      <c r="H5445" s="90"/>
    </row>
    <row r="5446" spans="7:8">
      <c r="G5446" s="87"/>
      <c r="H5446" s="90"/>
    </row>
    <row r="5447" spans="7:8">
      <c r="G5447" s="87"/>
      <c r="H5447" s="90"/>
    </row>
    <row r="5448" spans="7:8">
      <c r="G5448" s="87"/>
      <c r="H5448" s="90"/>
    </row>
    <row r="5449" spans="7:8">
      <c r="G5449" s="87"/>
      <c r="H5449" s="90"/>
    </row>
    <row r="5450" spans="7:8">
      <c r="G5450" s="87"/>
      <c r="H5450" s="90"/>
    </row>
    <row r="5451" spans="7:8">
      <c r="G5451" s="87"/>
      <c r="H5451" s="90"/>
    </row>
    <row r="5452" spans="7:8">
      <c r="G5452" s="87"/>
      <c r="H5452" s="90"/>
    </row>
    <row r="5453" spans="7:8">
      <c r="G5453" s="87"/>
      <c r="H5453" s="90"/>
    </row>
    <row r="5454" spans="7:8">
      <c r="G5454" s="87"/>
      <c r="H5454" s="90"/>
    </row>
    <row r="5455" spans="7:8">
      <c r="G5455" s="87"/>
      <c r="H5455" s="90"/>
    </row>
    <row r="5456" spans="7:8">
      <c r="G5456" s="87"/>
      <c r="H5456" s="90"/>
    </row>
    <row r="5457" spans="7:8">
      <c r="G5457" s="87"/>
      <c r="H5457" s="90"/>
    </row>
    <row r="5458" spans="7:8">
      <c r="G5458" s="87"/>
      <c r="H5458" s="90"/>
    </row>
    <row r="5459" spans="7:8">
      <c r="G5459" s="87"/>
      <c r="H5459" s="90"/>
    </row>
    <row r="5460" spans="7:8">
      <c r="G5460" s="87"/>
      <c r="H5460" s="90"/>
    </row>
    <row r="5461" spans="7:8">
      <c r="G5461" s="87"/>
      <c r="H5461" s="90"/>
    </row>
    <row r="5462" spans="7:8">
      <c r="G5462" s="87"/>
      <c r="H5462" s="90"/>
    </row>
    <row r="5463" spans="7:8">
      <c r="G5463" s="87"/>
      <c r="H5463" s="90"/>
    </row>
    <row r="5464" spans="7:8">
      <c r="G5464" s="87"/>
      <c r="H5464" s="90"/>
    </row>
    <row r="5465" spans="7:8">
      <c r="G5465" s="87"/>
      <c r="H5465" s="90"/>
    </row>
    <row r="5466" spans="7:8">
      <c r="G5466" s="87"/>
      <c r="H5466" s="90"/>
    </row>
    <row r="5467" spans="7:8">
      <c r="G5467" s="87"/>
      <c r="H5467" s="90"/>
    </row>
    <row r="5468" spans="7:8">
      <c r="G5468" s="87"/>
      <c r="H5468" s="90"/>
    </row>
    <row r="5469" spans="7:8">
      <c r="G5469" s="87"/>
      <c r="H5469" s="90"/>
    </row>
    <row r="5470" spans="7:8">
      <c r="G5470" s="87"/>
      <c r="H5470" s="90"/>
    </row>
    <row r="5471" spans="7:8">
      <c r="G5471" s="87"/>
      <c r="H5471" s="90"/>
    </row>
    <row r="5472" spans="7:8">
      <c r="G5472" s="87"/>
      <c r="H5472" s="90"/>
    </row>
    <row r="5473" spans="7:8">
      <c r="G5473" s="87"/>
      <c r="H5473" s="90"/>
    </row>
    <row r="5474" spans="7:8">
      <c r="G5474" s="87"/>
      <c r="H5474" s="90"/>
    </row>
    <row r="5475" spans="7:8">
      <c r="G5475" s="87"/>
      <c r="H5475" s="90"/>
    </row>
    <row r="5476" spans="7:8">
      <c r="G5476" s="87"/>
      <c r="H5476" s="90"/>
    </row>
    <row r="5477" spans="7:8">
      <c r="G5477" s="87"/>
      <c r="H5477" s="90"/>
    </row>
    <row r="5478" spans="7:8">
      <c r="G5478" s="87"/>
      <c r="H5478" s="90"/>
    </row>
    <row r="5479" spans="7:8">
      <c r="G5479" s="87"/>
      <c r="H5479" s="90"/>
    </row>
    <row r="5480" spans="7:8">
      <c r="G5480" s="87"/>
      <c r="H5480" s="90"/>
    </row>
    <row r="5481" spans="7:8">
      <c r="G5481" s="87"/>
      <c r="H5481" s="90"/>
    </row>
    <row r="5482" spans="7:8">
      <c r="G5482" s="87"/>
      <c r="H5482" s="90"/>
    </row>
    <row r="5483" spans="7:8">
      <c r="G5483" s="87"/>
      <c r="H5483" s="90"/>
    </row>
    <row r="5484" spans="7:8">
      <c r="G5484" s="87"/>
      <c r="H5484" s="90"/>
    </row>
    <row r="5485" spans="7:8">
      <c r="G5485" s="87"/>
      <c r="H5485" s="90"/>
    </row>
    <row r="5486" spans="7:8">
      <c r="G5486" s="87"/>
      <c r="H5486" s="90"/>
    </row>
    <row r="5487" spans="7:8">
      <c r="G5487" s="87"/>
      <c r="H5487" s="90"/>
    </row>
    <row r="5488" spans="7:8">
      <c r="G5488" s="87"/>
      <c r="H5488" s="90"/>
    </row>
    <row r="5489" spans="7:8">
      <c r="G5489" s="87"/>
      <c r="H5489" s="90"/>
    </row>
    <row r="5490" spans="7:8">
      <c r="G5490" s="87"/>
      <c r="H5490" s="90"/>
    </row>
    <row r="5491" spans="7:8">
      <c r="G5491" s="87"/>
      <c r="H5491" s="90"/>
    </row>
    <row r="5492" spans="7:8">
      <c r="G5492" s="87"/>
      <c r="H5492" s="90"/>
    </row>
    <row r="5493" spans="7:8">
      <c r="G5493" s="87"/>
      <c r="H5493" s="90"/>
    </row>
    <row r="5494" spans="7:8">
      <c r="G5494" s="87"/>
      <c r="H5494" s="90"/>
    </row>
    <row r="5495" spans="7:8">
      <c r="G5495" s="87"/>
      <c r="H5495" s="90"/>
    </row>
    <row r="5496" spans="7:8">
      <c r="G5496" s="87"/>
      <c r="H5496" s="90"/>
    </row>
    <row r="5497" spans="7:8">
      <c r="G5497" s="87"/>
      <c r="H5497" s="90"/>
    </row>
    <row r="5498" spans="7:8">
      <c r="G5498" s="87"/>
      <c r="H5498" s="90"/>
    </row>
    <row r="5499" spans="7:8">
      <c r="G5499" s="87"/>
      <c r="H5499" s="90"/>
    </row>
    <row r="5500" spans="7:8">
      <c r="G5500" s="87"/>
      <c r="H5500" s="90"/>
    </row>
    <row r="5501" spans="7:8">
      <c r="G5501" s="87"/>
      <c r="H5501" s="90"/>
    </row>
    <row r="5502" spans="7:8">
      <c r="G5502" s="87"/>
      <c r="H5502" s="90"/>
    </row>
    <row r="5503" spans="7:8">
      <c r="G5503" s="87"/>
      <c r="H5503" s="90"/>
    </row>
    <row r="5504" spans="7:8">
      <c r="G5504" s="87"/>
      <c r="H5504" s="90"/>
    </row>
    <row r="5505" spans="7:8">
      <c r="G5505" s="87"/>
      <c r="H5505" s="90"/>
    </row>
    <row r="5506" spans="7:8">
      <c r="G5506" s="87"/>
      <c r="H5506" s="90"/>
    </row>
    <row r="5507" spans="7:8">
      <c r="G5507" s="87"/>
      <c r="H5507" s="90"/>
    </row>
    <row r="5508" spans="7:8">
      <c r="G5508" s="87"/>
      <c r="H5508" s="90"/>
    </row>
    <row r="5509" spans="7:8">
      <c r="G5509" s="87"/>
      <c r="H5509" s="90"/>
    </row>
    <row r="5510" spans="7:8">
      <c r="G5510" s="87"/>
      <c r="H5510" s="90"/>
    </row>
    <row r="5511" spans="7:8">
      <c r="G5511" s="87"/>
      <c r="H5511" s="90"/>
    </row>
    <row r="5512" spans="7:8">
      <c r="G5512" s="87"/>
      <c r="H5512" s="90"/>
    </row>
    <row r="5513" spans="7:8">
      <c r="G5513" s="87"/>
      <c r="H5513" s="90"/>
    </row>
    <row r="5514" spans="7:8">
      <c r="G5514" s="87"/>
      <c r="H5514" s="90"/>
    </row>
    <row r="5515" spans="7:8">
      <c r="G5515" s="87"/>
      <c r="H5515" s="90"/>
    </row>
    <row r="5516" spans="7:8">
      <c r="G5516" s="87"/>
      <c r="H5516" s="90"/>
    </row>
    <row r="5517" spans="7:8">
      <c r="G5517" s="87"/>
      <c r="H5517" s="90"/>
    </row>
    <row r="5518" spans="7:8">
      <c r="G5518" s="87"/>
      <c r="H5518" s="90"/>
    </row>
    <row r="5519" spans="7:8">
      <c r="G5519" s="87"/>
      <c r="H5519" s="90"/>
    </row>
    <row r="5520" spans="7:8">
      <c r="G5520" s="87"/>
      <c r="H5520" s="90"/>
    </row>
    <row r="5521" spans="7:8">
      <c r="G5521" s="87"/>
      <c r="H5521" s="90"/>
    </row>
    <row r="5522" spans="7:8">
      <c r="G5522" s="87"/>
      <c r="H5522" s="90"/>
    </row>
    <row r="5523" spans="7:8">
      <c r="G5523" s="87"/>
      <c r="H5523" s="90"/>
    </row>
    <row r="5524" spans="7:8">
      <c r="G5524" s="87"/>
      <c r="H5524" s="90"/>
    </row>
    <row r="5525" spans="7:8">
      <c r="G5525" s="87"/>
      <c r="H5525" s="90"/>
    </row>
    <row r="5526" spans="7:8">
      <c r="G5526" s="87"/>
      <c r="H5526" s="90"/>
    </row>
    <row r="5527" spans="7:8">
      <c r="G5527" s="87"/>
      <c r="H5527" s="90"/>
    </row>
    <row r="5528" spans="7:8">
      <c r="G5528" s="87"/>
      <c r="H5528" s="90"/>
    </row>
    <row r="5529" spans="7:8">
      <c r="G5529" s="87"/>
      <c r="H5529" s="90"/>
    </row>
    <row r="5530" spans="7:8">
      <c r="G5530" s="87"/>
      <c r="H5530" s="90"/>
    </row>
    <row r="5531" spans="7:8">
      <c r="G5531" s="87"/>
      <c r="H5531" s="90"/>
    </row>
    <row r="5532" spans="7:8">
      <c r="G5532" s="87"/>
      <c r="H5532" s="90"/>
    </row>
    <row r="5533" spans="7:8">
      <c r="G5533" s="87"/>
      <c r="H5533" s="90"/>
    </row>
    <row r="5534" spans="7:8">
      <c r="G5534" s="87"/>
      <c r="H5534" s="90"/>
    </row>
    <row r="5535" spans="7:8">
      <c r="G5535" s="87"/>
      <c r="H5535" s="90"/>
    </row>
    <row r="5536" spans="7:8">
      <c r="G5536" s="87"/>
      <c r="H5536" s="90"/>
    </row>
    <row r="5537" spans="7:8">
      <c r="G5537" s="87"/>
      <c r="H5537" s="90"/>
    </row>
    <row r="5538" spans="7:8">
      <c r="G5538" s="87"/>
      <c r="H5538" s="90"/>
    </row>
    <row r="5539" spans="7:8">
      <c r="G5539" s="87"/>
      <c r="H5539" s="90"/>
    </row>
    <row r="5540" spans="7:8">
      <c r="G5540" s="87"/>
      <c r="H5540" s="90"/>
    </row>
    <row r="5541" spans="7:8">
      <c r="G5541" s="87"/>
      <c r="H5541" s="90"/>
    </row>
    <row r="5542" spans="7:8">
      <c r="G5542" s="87"/>
      <c r="H5542" s="90"/>
    </row>
    <row r="5543" spans="7:8">
      <c r="G5543" s="87"/>
      <c r="H5543" s="90"/>
    </row>
    <row r="5544" spans="7:8">
      <c r="G5544" s="87"/>
      <c r="H5544" s="90"/>
    </row>
    <row r="5545" spans="7:8">
      <c r="G5545" s="87"/>
      <c r="H5545" s="90"/>
    </row>
    <row r="5546" spans="7:8">
      <c r="G5546" s="87"/>
      <c r="H5546" s="90"/>
    </row>
    <row r="5547" spans="7:8">
      <c r="G5547" s="87"/>
      <c r="H5547" s="90"/>
    </row>
    <row r="5548" spans="7:8">
      <c r="G5548" s="87"/>
      <c r="H5548" s="90"/>
    </row>
    <row r="5549" spans="7:8">
      <c r="G5549" s="87"/>
      <c r="H5549" s="90"/>
    </row>
    <row r="5550" spans="7:8">
      <c r="G5550" s="87"/>
      <c r="H5550" s="90"/>
    </row>
    <row r="5551" spans="7:8">
      <c r="G5551" s="87"/>
      <c r="H5551" s="90"/>
    </row>
    <row r="5552" spans="7:8">
      <c r="G5552" s="87"/>
      <c r="H5552" s="90"/>
    </row>
    <row r="5553" spans="7:8">
      <c r="G5553" s="87"/>
      <c r="H5553" s="90"/>
    </row>
    <row r="5554" spans="7:8">
      <c r="G5554" s="87"/>
      <c r="H5554" s="90"/>
    </row>
    <row r="5555" spans="7:8">
      <c r="G5555" s="87"/>
      <c r="H5555" s="90"/>
    </row>
    <row r="5556" spans="7:8">
      <c r="G5556" s="87"/>
      <c r="H5556" s="90"/>
    </row>
    <row r="5557" spans="7:8">
      <c r="G5557" s="87"/>
      <c r="H5557" s="90"/>
    </row>
    <row r="5558" spans="7:8">
      <c r="G5558" s="87"/>
      <c r="H5558" s="90"/>
    </row>
    <row r="5559" spans="7:8">
      <c r="G5559" s="87"/>
      <c r="H5559" s="90"/>
    </row>
    <row r="5560" spans="7:8">
      <c r="G5560" s="87"/>
      <c r="H5560" s="90"/>
    </row>
    <row r="5561" spans="7:8">
      <c r="G5561" s="87"/>
      <c r="H5561" s="90"/>
    </row>
    <row r="5562" spans="7:8">
      <c r="G5562" s="87"/>
      <c r="H5562" s="90"/>
    </row>
    <row r="5563" spans="7:8">
      <c r="G5563" s="87"/>
      <c r="H5563" s="90"/>
    </row>
    <row r="5564" spans="7:8">
      <c r="G5564" s="87"/>
      <c r="H5564" s="90"/>
    </row>
    <row r="5565" spans="7:8">
      <c r="G5565" s="87"/>
      <c r="H5565" s="90"/>
    </row>
    <row r="5566" spans="7:8">
      <c r="G5566" s="87"/>
      <c r="H5566" s="90"/>
    </row>
    <row r="5567" spans="7:8">
      <c r="G5567" s="87"/>
      <c r="H5567" s="90"/>
    </row>
    <row r="5568" spans="7:8">
      <c r="G5568" s="87"/>
      <c r="H5568" s="90"/>
    </row>
    <row r="5569" spans="7:8">
      <c r="G5569" s="87"/>
      <c r="H5569" s="90"/>
    </row>
    <row r="5570" spans="7:8">
      <c r="G5570" s="87"/>
      <c r="H5570" s="90"/>
    </row>
    <row r="5571" spans="7:8">
      <c r="G5571" s="87"/>
      <c r="H5571" s="90"/>
    </row>
    <row r="5572" spans="7:8">
      <c r="G5572" s="87"/>
      <c r="H5572" s="90"/>
    </row>
    <row r="5573" spans="7:8">
      <c r="G5573" s="87"/>
      <c r="H5573" s="90"/>
    </row>
    <row r="5574" spans="7:8">
      <c r="G5574" s="87"/>
      <c r="H5574" s="90"/>
    </row>
    <row r="5575" spans="7:8">
      <c r="G5575" s="87"/>
      <c r="H5575" s="90"/>
    </row>
    <row r="5576" spans="7:8">
      <c r="G5576" s="87"/>
      <c r="H5576" s="90"/>
    </row>
    <row r="5577" spans="7:8">
      <c r="G5577" s="87"/>
      <c r="H5577" s="90"/>
    </row>
    <row r="5578" spans="7:8">
      <c r="G5578" s="87"/>
      <c r="H5578" s="90"/>
    </row>
    <row r="5579" spans="7:8">
      <c r="G5579" s="87"/>
      <c r="H5579" s="90"/>
    </row>
    <row r="5580" spans="7:8">
      <c r="G5580" s="87"/>
      <c r="H5580" s="90"/>
    </row>
    <row r="5581" spans="7:8">
      <c r="G5581" s="87"/>
      <c r="H5581" s="90"/>
    </row>
    <row r="5582" spans="7:8">
      <c r="G5582" s="87"/>
      <c r="H5582" s="90"/>
    </row>
    <row r="5583" spans="7:8">
      <c r="G5583" s="87"/>
      <c r="H5583" s="90"/>
    </row>
    <row r="5584" spans="7:8">
      <c r="G5584" s="87"/>
      <c r="H5584" s="90"/>
    </row>
    <row r="5585" spans="7:8">
      <c r="G5585" s="87"/>
      <c r="H5585" s="90"/>
    </row>
    <row r="5586" spans="7:8">
      <c r="G5586" s="87"/>
      <c r="H5586" s="90"/>
    </row>
    <row r="5587" spans="7:8">
      <c r="G5587" s="87"/>
      <c r="H5587" s="90"/>
    </row>
    <row r="5588" spans="7:8">
      <c r="G5588" s="87"/>
      <c r="H5588" s="90"/>
    </row>
    <row r="5589" spans="7:8">
      <c r="G5589" s="87"/>
      <c r="H5589" s="90"/>
    </row>
    <row r="5590" spans="7:8">
      <c r="G5590" s="87"/>
      <c r="H5590" s="90"/>
    </row>
    <row r="5591" spans="7:8">
      <c r="G5591" s="87"/>
      <c r="H5591" s="90"/>
    </row>
    <row r="5592" spans="7:8">
      <c r="G5592" s="87"/>
      <c r="H5592" s="90"/>
    </row>
    <row r="5593" spans="7:8">
      <c r="G5593" s="87"/>
      <c r="H5593" s="90"/>
    </row>
    <row r="5594" spans="7:8">
      <c r="G5594" s="87"/>
      <c r="H5594" s="90"/>
    </row>
    <row r="5595" spans="7:8">
      <c r="G5595" s="87"/>
      <c r="H5595" s="90"/>
    </row>
    <row r="5596" spans="7:8">
      <c r="G5596" s="87"/>
      <c r="H5596" s="90"/>
    </row>
    <row r="5597" spans="7:8">
      <c r="G5597" s="87"/>
      <c r="H5597" s="90"/>
    </row>
    <row r="5598" spans="7:8">
      <c r="G5598" s="87"/>
      <c r="H5598" s="90"/>
    </row>
    <row r="5599" spans="7:8">
      <c r="G5599" s="87"/>
      <c r="H5599" s="90"/>
    </row>
    <row r="5600" spans="7:8">
      <c r="G5600" s="87"/>
      <c r="H5600" s="90"/>
    </row>
    <row r="5601" spans="7:8">
      <c r="G5601" s="87"/>
      <c r="H5601" s="90"/>
    </row>
    <row r="5602" spans="7:8">
      <c r="G5602" s="87"/>
      <c r="H5602" s="90"/>
    </row>
    <row r="5603" spans="7:8">
      <c r="G5603" s="87"/>
      <c r="H5603" s="90"/>
    </row>
    <row r="5604" spans="7:8">
      <c r="G5604" s="87"/>
      <c r="H5604" s="90"/>
    </row>
    <row r="5605" spans="7:8">
      <c r="G5605" s="87"/>
      <c r="H5605" s="90"/>
    </row>
    <row r="5606" spans="7:8">
      <c r="G5606" s="87"/>
      <c r="H5606" s="90"/>
    </row>
    <row r="5607" spans="7:8">
      <c r="G5607" s="87"/>
      <c r="H5607" s="90"/>
    </row>
    <row r="5608" spans="7:8">
      <c r="G5608" s="87"/>
      <c r="H5608" s="90"/>
    </row>
    <row r="5609" spans="7:8">
      <c r="G5609" s="87"/>
      <c r="H5609" s="90"/>
    </row>
    <row r="5610" spans="7:8">
      <c r="G5610" s="87"/>
      <c r="H5610" s="90"/>
    </row>
    <row r="5611" spans="7:8">
      <c r="G5611" s="87"/>
      <c r="H5611" s="90"/>
    </row>
    <row r="5612" spans="7:8">
      <c r="G5612" s="87"/>
      <c r="H5612" s="90"/>
    </row>
    <row r="5613" spans="7:8">
      <c r="G5613" s="87"/>
      <c r="H5613" s="90"/>
    </row>
    <row r="5614" spans="7:8">
      <c r="G5614" s="87"/>
      <c r="H5614" s="90"/>
    </row>
    <row r="5615" spans="7:8">
      <c r="G5615" s="87"/>
      <c r="H5615" s="90"/>
    </row>
    <row r="5616" spans="7:8">
      <c r="G5616" s="87"/>
      <c r="H5616" s="90"/>
    </row>
    <row r="5617" spans="7:8">
      <c r="G5617" s="87"/>
      <c r="H5617" s="90"/>
    </row>
    <row r="5618" spans="7:8">
      <c r="G5618" s="87"/>
      <c r="H5618" s="90"/>
    </row>
    <row r="5619" spans="7:8">
      <c r="G5619" s="87"/>
      <c r="H5619" s="90"/>
    </row>
    <row r="5620" spans="7:8">
      <c r="G5620" s="87"/>
      <c r="H5620" s="90"/>
    </row>
    <row r="5621" spans="7:8">
      <c r="G5621" s="87"/>
      <c r="H5621" s="90"/>
    </row>
    <row r="5622" spans="7:8">
      <c r="G5622" s="87"/>
      <c r="H5622" s="90"/>
    </row>
    <row r="5623" spans="7:8">
      <c r="G5623" s="87"/>
      <c r="H5623" s="90"/>
    </row>
    <row r="5624" spans="7:8">
      <c r="G5624" s="87"/>
      <c r="H5624" s="90"/>
    </row>
    <row r="5625" spans="7:8">
      <c r="G5625" s="87"/>
      <c r="H5625" s="90"/>
    </row>
    <row r="5626" spans="7:8">
      <c r="G5626" s="87"/>
      <c r="H5626" s="90"/>
    </row>
    <row r="5627" spans="7:8">
      <c r="G5627" s="87"/>
      <c r="H5627" s="90"/>
    </row>
    <row r="5628" spans="7:8">
      <c r="G5628" s="87"/>
      <c r="H5628" s="90"/>
    </row>
    <row r="5629" spans="7:8">
      <c r="G5629" s="87"/>
      <c r="H5629" s="90"/>
    </row>
    <row r="5630" spans="7:8">
      <c r="G5630" s="87"/>
      <c r="H5630" s="90"/>
    </row>
    <row r="5631" spans="7:8">
      <c r="G5631" s="87"/>
      <c r="H5631" s="90"/>
    </row>
    <row r="5632" spans="7:8">
      <c r="G5632" s="87"/>
      <c r="H5632" s="90"/>
    </row>
    <row r="5633" spans="7:8">
      <c r="G5633" s="87"/>
      <c r="H5633" s="90"/>
    </row>
    <row r="5634" spans="7:8">
      <c r="G5634" s="87"/>
      <c r="H5634" s="90"/>
    </row>
    <row r="5635" spans="7:8">
      <c r="G5635" s="87"/>
      <c r="H5635" s="90"/>
    </row>
    <row r="5636" spans="7:8">
      <c r="G5636" s="87"/>
      <c r="H5636" s="90"/>
    </row>
    <row r="5637" spans="7:8">
      <c r="G5637" s="87"/>
      <c r="H5637" s="90"/>
    </row>
    <row r="5638" spans="7:8">
      <c r="G5638" s="87"/>
      <c r="H5638" s="90"/>
    </row>
    <row r="5639" spans="7:8">
      <c r="G5639" s="87"/>
      <c r="H5639" s="90"/>
    </row>
    <row r="5640" spans="7:8">
      <c r="G5640" s="87"/>
      <c r="H5640" s="90"/>
    </row>
    <row r="5641" spans="7:8">
      <c r="G5641" s="87"/>
      <c r="H5641" s="90"/>
    </row>
    <row r="5642" spans="7:8">
      <c r="G5642" s="87"/>
      <c r="H5642" s="90"/>
    </row>
    <row r="5643" spans="7:8">
      <c r="G5643" s="87"/>
      <c r="H5643" s="90"/>
    </row>
    <row r="5644" spans="7:8">
      <c r="G5644" s="87"/>
      <c r="H5644" s="90"/>
    </row>
    <row r="5645" spans="7:8">
      <c r="G5645" s="87"/>
      <c r="H5645" s="90"/>
    </row>
    <row r="5646" spans="7:8">
      <c r="G5646" s="87"/>
      <c r="H5646" s="90"/>
    </row>
    <row r="5647" spans="7:8">
      <c r="G5647" s="87"/>
      <c r="H5647" s="90"/>
    </row>
    <row r="5648" spans="7:8">
      <c r="G5648" s="87"/>
      <c r="H5648" s="90"/>
    </row>
    <row r="5649" spans="7:8">
      <c r="G5649" s="87"/>
      <c r="H5649" s="90"/>
    </row>
    <row r="5650" spans="7:8">
      <c r="G5650" s="87"/>
      <c r="H5650" s="90"/>
    </row>
    <row r="5651" spans="7:8">
      <c r="G5651" s="87"/>
      <c r="H5651" s="90"/>
    </row>
    <row r="5652" spans="7:8">
      <c r="G5652" s="87"/>
      <c r="H5652" s="90"/>
    </row>
    <row r="5653" spans="7:8">
      <c r="G5653" s="87"/>
      <c r="H5653" s="90"/>
    </row>
    <row r="5654" spans="7:8">
      <c r="G5654" s="87"/>
      <c r="H5654" s="90"/>
    </row>
    <row r="5655" spans="7:8">
      <c r="G5655" s="87"/>
      <c r="H5655" s="90"/>
    </row>
    <row r="5656" spans="7:8">
      <c r="G5656" s="87"/>
      <c r="H5656" s="90"/>
    </row>
    <row r="5657" spans="7:8">
      <c r="G5657" s="87"/>
      <c r="H5657" s="90"/>
    </row>
    <row r="5658" spans="7:8">
      <c r="G5658" s="87"/>
      <c r="H5658" s="90"/>
    </row>
    <row r="5659" spans="7:8">
      <c r="G5659" s="87"/>
      <c r="H5659" s="90"/>
    </row>
    <row r="5660" spans="7:8">
      <c r="G5660" s="87"/>
      <c r="H5660" s="90"/>
    </row>
    <row r="5661" spans="7:8">
      <c r="G5661" s="87"/>
      <c r="H5661" s="90"/>
    </row>
    <row r="5662" spans="7:8">
      <c r="G5662" s="87"/>
      <c r="H5662" s="90"/>
    </row>
    <row r="5663" spans="7:8">
      <c r="G5663" s="87"/>
      <c r="H5663" s="90"/>
    </row>
    <row r="5664" spans="7:8">
      <c r="G5664" s="87"/>
      <c r="H5664" s="90"/>
    </row>
    <row r="5665" spans="7:8">
      <c r="G5665" s="87"/>
      <c r="H5665" s="90"/>
    </row>
    <row r="5666" spans="7:8">
      <c r="G5666" s="87"/>
      <c r="H5666" s="90"/>
    </row>
    <row r="5667" spans="7:8">
      <c r="G5667" s="87"/>
      <c r="H5667" s="90"/>
    </row>
    <row r="5668" spans="7:8">
      <c r="G5668" s="87"/>
      <c r="H5668" s="90"/>
    </row>
    <row r="5669" spans="7:8">
      <c r="G5669" s="87"/>
      <c r="H5669" s="90"/>
    </row>
    <row r="5670" spans="7:8">
      <c r="G5670" s="87"/>
      <c r="H5670" s="90"/>
    </row>
    <row r="5671" spans="7:8">
      <c r="G5671" s="87"/>
      <c r="H5671" s="90"/>
    </row>
    <row r="5672" spans="7:8">
      <c r="G5672" s="87"/>
      <c r="H5672" s="90"/>
    </row>
    <row r="5673" spans="7:8">
      <c r="G5673" s="87"/>
      <c r="H5673" s="90"/>
    </row>
    <row r="5674" spans="7:8">
      <c r="G5674" s="87"/>
      <c r="H5674" s="90"/>
    </row>
    <row r="5675" spans="7:8">
      <c r="G5675" s="87"/>
      <c r="H5675" s="90"/>
    </row>
    <row r="5676" spans="7:8">
      <c r="G5676" s="87"/>
      <c r="H5676" s="90"/>
    </row>
    <row r="5677" spans="7:8">
      <c r="G5677" s="87"/>
      <c r="H5677" s="90"/>
    </row>
    <row r="5678" spans="7:8">
      <c r="G5678" s="87"/>
      <c r="H5678" s="90"/>
    </row>
    <row r="5679" spans="7:8">
      <c r="G5679" s="87"/>
      <c r="H5679" s="90"/>
    </row>
    <row r="5680" spans="7:8">
      <c r="G5680" s="87"/>
      <c r="H5680" s="90"/>
    </row>
    <row r="5681" spans="7:8">
      <c r="G5681" s="87"/>
      <c r="H5681" s="90"/>
    </row>
    <row r="5682" spans="7:8">
      <c r="G5682" s="87"/>
      <c r="H5682" s="90"/>
    </row>
    <row r="5683" spans="7:8">
      <c r="G5683" s="87"/>
      <c r="H5683" s="90"/>
    </row>
    <row r="5684" spans="7:8">
      <c r="G5684" s="87"/>
      <c r="H5684" s="90"/>
    </row>
    <row r="5685" spans="7:8">
      <c r="G5685" s="87"/>
      <c r="H5685" s="90"/>
    </row>
    <row r="5686" spans="7:8">
      <c r="G5686" s="87"/>
      <c r="H5686" s="90"/>
    </row>
    <row r="5687" spans="7:8">
      <c r="G5687" s="87"/>
      <c r="H5687" s="90"/>
    </row>
    <row r="5688" spans="7:8">
      <c r="G5688" s="87"/>
      <c r="H5688" s="90"/>
    </row>
    <row r="5689" spans="7:8">
      <c r="G5689" s="87"/>
      <c r="H5689" s="90"/>
    </row>
    <row r="5690" spans="7:8">
      <c r="G5690" s="87"/>
      <c r="H5690" s="90"/>
    </row>
    <row r="5691" spans="7:8">
      <c r="G5691" s="87"/>
      <c r="H5691" s="90"/>
    </row>
    <row r="5692" spans="7:8">
      <c r="G5692" s="87"/>
      <c r="H5692" s="90"/>
    </row>
    <row r="5693" spans="7:8">
      <c r="G5693" s="87"/>
      <c r="H5693" s="90"/>
    </row>
    <row r="5694" spans="7:8">
      <c r="G5694" s="87"/>
      <c r="H5694" s="90"/>
    </row>
    <row r="5695" spans="7:8">
      <c r="G5695" s="87"/>
      <c r="H5695" s="90"/>
    </row>
    <row r="5696" spans="7:8">
      <c r="G5696" s="87"/>
      <c r="H5696" s="90"/>
    </row>
    <row r="5697" spans="7:8">
      <c r="G5697" s="87"/>
      <c r="H5697" s="90"/>
    </row>
    <row r="5698" spans="7:8">
      <c r="G5698" s="87"/>
      <c r="H5698" s="90"/>
    </row>
    <row r="5699" spans="7:8">
      <c r="G5699" s="87"/>
      <c r="H5699" s="90"/>
    </row>
    <row r="5700" spans="7:8">
      <c r="G5700" s="87"/>
      <c r="H5700" s="90"/>
    </row>
    <row r="5701" spans="7:8">
      <c r="G5701" s="87"/>
      <c r="H5701" s="90"/>
    </row>
    <row r="5702" spans="7:8">
      <c r="G5702" s="87"/>
      <c r="H5702" s="90"/>
    </row>
    <row r="5703" spans="7:8">
      <c r="G5703" s="87"/>
      <c r="H5703" s="90"/>
    </row>
    <row r="5704" spans="7:8">
      <c r="G5704" s="87"/>
      <c r="H5704" s="90"/>
    </row>
    <row r="5705" spans="7:8">
      <c r="G5705" s="87"/>
      <c r="H5705" s="90"/>
    </row>
    <row r="5706" spans="7:8">
      <c r="G5706" s="87"/>
      <c r="H5706" s="90"/>
    </row>
    <row r="5707" spans="7:8">
      <c r="G5707" s="87"/>
      <c r="H5707" s="90"/>
    </row>
    <row r="5708" spans="7:8">
      <c r="G5708" s="87"/>
      <c r="H5708" s="90"/>
    </row>
    <row r="5709" spans="7:8">
      <c r="G5709" s="87"/>
      <c r="H5709" s="90"/>
    </row>
    <row r="5710" spans="7:8">
      <c r="G5710" s="87"/>
      <c r="H5710" s="90"/>
    </row>
    <row r="5711" spans="7:8">
      <c r="G5711" s="87"/>
      <c r="H5711" s="90"/>
    </row>
    <row r="5712" spans="7:8">
      <c r="G5712" s="87"/>
      <c r="H5712" s="90"/>
    </row>
    <row r="5713" spans="7:8">
      <c r="G5713" s="87"/>
      <c r="H5713" s="90"/>
    </row>
    <row r="5714" spans="7:8">
      <c r="G5714" s="87"/>
      <c r="H5714" s="90"/>
    </row>
    <row r="5715" spans="7:8">
      <c r="G5715" s="87"/>
      <c r="H5715" s="90"/>
    </row>
    <row r="5716" spans="7:8">
      <c r="G5716" s="87"/>
      <c r="H5716" s="90"/>
    </row>
    <row r="5717" spans="7:8">
      <c r="G5717" s="87"/>
      <c r="H5717" s="90"/>
    </row>
    <row r="5718" spans="7:8">
      <c r="G5718" s="87"/>
      <c r="H5718" s="90"/>
    </row>
    <row r="5719" spans="7:8">
      <c r="G5719" s="87"/>
      <c r="H5719" s="90"/>
    </row>
    <row r="5720" spans="7:8">
      <c r="G5720" s="87"/>
      <c r="H5720" s="90"/>
    </row>
    <row r="5721" spans="7:8">
      <c r="G5721" s="87"/>
      <c r="H5721" s="90"/>
    </row>
    <row r="5722" spans="7:8">
      <c r="G5722" s="87"/>
      <c r="H5722" s="90"/>
    </row>
    <row r="5723" spans="7:8">
      <c r="G5723" s="87"/>
      <c r="H5723" s="90"/>
    </row>
    <row r="5724" spans="7:8">
      <c r="G5724" s="87"/>
      <c r="H5724" s="90"/>
    </row>
    <row r="5725" spans="7:8">
      <c r="G5725" s="87"/>
      <c r="H5725" s="90"/>
    </row>
    <row r="5726" spans="7:8">
      <c r="G5726" s="87"/>
      <c r="H5726" s="90"/>
    </row>
    <row r="5727" spans="7:8">
      <c r="G5727" s="87"/>
      <c r="H5727" s="90"/>
    </row>
    <row r="5728" spans="7:8">
      <c r="G5728" s="87"/>
      <c r="H5728" s="90"/>
    </row>
    <row r="5729" spans="7:8">
      <c r="G5729" s="87"/>
      <c r="H5729" s="90"/>
    </row>
    <row r="5730" spans="7:8">
      <c r="G5730" s="87"/>
      <c r="H5730" s="90"/>
    </row>
    <row r="5731" spans="7:8">
      <c r="G5731" s="87"/>
      <c r="H5731" s="90"/>
    </row>
    <row r="5732" spans="7:8">
      <c r="G5732" s="87"/>
      <c r="H5732" s="90"/>
    </row>
    <row r="5733" spans="7:8">
      <c r="G5733" s="87"/>
      <c r="H5733" s="90"/>
    </row>
    <row r="5734" spans="7:8">
      <c r="G5734" s="87"/>
      <c r="H5734" s="90"/>
    </row>
    <row r="5735" spans="7:8">
      <c r="G5735" s="87"/>
      <c r="H5735" s="90"/>
    </row>
    <row r="5736" spans="7:8">
      <c r="G5736" s="87"/>
      <c r="H5736" s="90"/>
    </row>
    <row r="5737" spans="7:8">
      <c r="G5737" s="87"/>
      <c r="H5737" s="90"/>
    </row>
    <row r="5738" spans="7:8">
      <c r="G5738" s="87"/>
      <c r="H5738" s="90"/>
    </row>
    <row r="5739" spans="7:8">
      <c r="G5739" s="87"/>
      <c r="H5739" s="90"/>
    </row>
    <row r="5740" spans="7:8">
      <c r="G5740" s="87"/>
      <c r="H5740" s="90"/>
    </row>
    <row r="5741" spans="7:8">
      <c r="G5741" s="87"/>
      <c r="H5741" s="90"/>
    </row>
    <row r="5742" spans="7:8">
      <c r="G5742" s="87"/>
      <c r="H5742" s="90"/>
    </row>
    <row r="5743" spans="7:8">
      <c r="G5743" s="87"/>
      <c r="H5743" s="90"/>
    </row>
    <row r="5744" spans="7:8">
      <c r="G5744" s="87"/>
      <c r="H5744" s="90"/>
    </row>
    <row r="5745" spans="7:8">
      <c r="G5745" s="87"/>
      <c r="H5745" s="90"/>
    </row>
    <row r="5746" spans="7:8">
      <c r="G5746" s="87"/>
      <c r="H5746" s="90"/>
    </row>
    <row r="5747" spans="7:8">
      <c r="G5747" s="87"/>
      <c r="H5747" s="90"/>
    </row>
    <row r="5748" spans="7:8">
      <c r="G5748" s="87"/>
      <c r="H5748" s="90"/>
    </row>
    <row r="5749" spans="7:8">
      <c r="G5749" s="87"/>
      <c r="H5749" s="90"/>
    </row>
    <row r="5750" spans="7:8">
      <c r="G5750" s="87"/>
      <c r="H5750" s="90"/>
    </row>
    <row r="5751" spans="7:8">
      <c r="G5751" s="87"/>
      <c r="H5751" s="90"/>
    </row>
    <row r="5752" spans="7:8">
      <c r="G5752" s="87"/>
      <c r="H5752" s="90"/>
    </row>
    <row r="5753" spans="7:8">
      <c r="G5753" s="87"/>
      <c r="H5753" s="90"/>
    </row>
    <row r="5754" spans="7:8">
      <c r="G5754" s="87"/>
      <c r="H5754" s="90"/>
    </row>
    <row r="5755" spans="7:8">
      <c r="G5755" s="87"/>
      <c r="H5755" s="90"/>
    </row>
    <row r="5756" spans="7:8">
      <c r="G5756" s="87"/>
      <c r="H5756" s="90"/>
    </row>
    <row r="5757" spans="7:8">
      <c r="G5757" s="87"/>
      <c r="H5757" s="90"/>
    </row>
    <row r="5758" spans="7:8">
      <c r="G5758" s="87"/>
      <c r="H5758" s="90"/>
    </row>
    <row r="5759" spans="7:8">
      <c r="G5759" s="87"/>
      <c r="H5759" s="90"/>
    </row>
    <row r="5760" spans="7:8">
      <c r="G5760" s="87"/>
      <c r="H5760" s="90"/>
    </row>
    <row r="5761" spans="7:8">
      <c r="G5761" s="87"/>
      <c r="H5761" s="90"/>
    </row>
    <row r="5762" spans="7:8">
      <c r="G5762" s="87"/>
      <c r="H5762" s="90"/>
    </row>
    <row r="5763" spans="7:8">
      <c r="G5763" s="87"/>
      <c r="H5763" s="90"/>
    </row>
    <row r="5764" spans="7:8">
      <c r="G5764" s="87"/>
      <c r="H5764" s="90"/>
    </row>
    <row r="5765" spans="7:8">
      <c r="G5765" s="87"/>
      <c r="H5765" s="90"/>
    </row>
    <row r="5766" spans="7:8">
      <c r="G5766" s="87"/>
      <c r="H5766" s="90"/>
    </row>
    <row r="5767" spans="7:8">
      <c r="G5767" s="87"/>
      <c r="H5767" s="90"/>
    </row>
    <row r="5768" spans="7:8">
      <c r="G5768" s="87"/>
      <c r="H5768" s="90"/>
    </row>
    <row r="5769" spans="7:8">
      <c r="G5769" s="87"/>
      <c r="H5769" s="90"/>
    </row>
    <row r="5770" spans="7:8">
      <c r="G5770" s="87"/>
      <c r="H5770" s="90"/>
    </row>
    <row r="5771" spans="7:8">
      <c r="G5771" s="87"/>
      <c r="H5771" s="90"/>
    </row>
    <row r="5772" spans="7:8">
      <c r="G5772" s="87"/>
      <c r="H5772" s="90"/>
    </row>
    <row r="5773" spans="7:8">
      <c r="G5773" s="87"/>
      <c r="H5773" s="90"/>
    </row>
    <row r="5774" spans="7:8">
      <c r="G5774" s="87"/>
      <c r="H5774" s="90"/>
    </row>
    <row r="5775" spans="7:8">
      <c r="G5775" s="87"/>
      <c r="H5775" s="90"/>
    </row>
    <row r="5776" spans="7:8">
      <c r="G5776" s="87"/>
      <c r="H5776" s="90"/>
    </row>
    <row r="5777" spans="7:8">
      <c r="G5777" s="87"/>
      <c r="H5777" s="90"/>
    </row>
    <row r="5778" spans="7:8">
      <c r="G5778" s="87"/>
      <c r="H5778" s="90"/>
    </row>
    <row r="5779" spans="7:8">
      <c r="G5779" s="87"/>
      <c r="H5779" s="90"/>
    </row>
    <row r="5780" spans="7:8">
      <c r="G5780" s="87"/>
      <c r="H5780" s="90"/>
    </row>
    <row r="5781" spans="7:8">
      <c r="G5781" s="87"/>
      <c r="H5781" s="90"/>
    </row>
    <row r="5782" spans="7:8">
      <c r="G5782" s="87"/>
      <c r="H5782" s="90"/>
    </row>
    <row r="5783" spans="7:8">
      <c r="G5783" s="87"/>
      <c r="H5783" s="90"/>
    </row>
    <row r="5784" spans="7:8">
      <c r="G5784" s="87"/>
      <c r="H5784" s="90"/>
    </row>
    <row r="5785" spans="7:8">
      <c r="G5785" s="87"/>
      <c r="H5785" s="90"/>
    </row>
    <row r="5786" spans="7:8">
      <c r="G5786" s="87"/>
      <c r="H5786" s="90"/>
    </row>
    <row r="5787" spans="7:8">
      <c r="G5787" s="87"/>
      <c r="H5787" s="90"/>
    </row>
    <row r="5788" spans="7:8">
      <c r="G5788" s="87"/>
      <c r="H5788" s="90"/>
    </row>
    <row r="5789" spans="7:8">
      <c r="G5789" s="87"/>
      <c r="H5789" s="90"/>
    </row>
    <row r="5790" spans="7:8">
      <c r="G5790" s="87"/>
      <c r="H5790" s="90"/>
    </row>
    <row r="5791" spans="7:8">
      <c r="G5791" s="87"/>
      <c r="H5791" s="90"/>
    </row>
    <row r="5792" spans="7:8">
      <c r="G5792" s="87"/>
      <c r="H5792" s="90"/>
    </row>
    <row r="5793" spans="7:8">
      <c r="G5793" s="87"/>
      <c r="H5793" s="90"/>
    </row>
    <row r="5794" spans="7:8">
      <c r="G5794" s="87"/>
      <c r="H5794" s="90"/>
    </row>
    <row r="5795" spans="7:8">
      <c r="G5795" s="87"/>
      <c r="H5795" s="90"/>
    </row>
    <row r="5796" spans="7:8">
      <c r="G5796" s="87"/>
      <c r="H5796" s="90"/>
    </row>
    <row r="5797" spans="7:8">
      <c r="G5797" s="87"/>
      <c r="H5797" s="90"/>
    </row>
    <row r="5798" spans="7:8">
      <c r="G5798" s="87"/>
      <c r="H5798" s="90"/>
    </row>
    <row r="5799" spans="7:8">
      <c r="G5799" s="87"/>
      <c r="H5799" s="90"/>
    </row>
    <row r="5800" spans="7:8">
      <c r="G5800" s="87"/>
      <c r="H5800" s="90"/>
    </row>
    <row r="5801" spans="7:8">
      <c r="G5801" s="87"/>
      <c r="H5801" s="90"/>
    </row>
    <row r="5802" spans="7:8">
      <c r="G5802" s="87"/>
      <c r="H5802" s="90"/>
    </row>
    <row r="5803" spans="7:8">
      <c r="G5803" s="87"/>
      <c r="H5803" s="90"/>
    </row>
    <row r="5804" spans="7:8">
      <c r="G5804" s="87"/>
      <c r="H5804" s="90"/>
    </row>
    <row r="5805" spans="7:8">
      <c r="G5805" s="87"/>
      <c r="H5805" s="90"/>
    </row>
    <row r="5806" spans="7:8">
      <c r="G5806" s="87"/>
      <c r="H5806" s="90"/>
    </row>
    <row r="5807" spans="7:8">
      <c r="G5807" s="87"/>
      <c r="H5807" s="90"/>
    </row>
    <row r="5808" spans="7:8">
      <c r="G5808" s="87"/>
      <c r="H5808" s="90"/>
    </row>
    <row r="5809" spans="7:8">
      <c r="G5809" s="87"/>
      <c r="H5809" s="90"/>
    </row>
    <row r="5810" spans="7:8">
      <c r="G5810" s="87"/>
      <c r="H5810" s="90"/>
    </row>
    <row r="5811" spans="7:8">
      <c r="G5811" s="87"/>
      <c r="H5811" s="90"/>
    </row>
    <row r="5812" spans="7:8">
      <c r="G5812" s="87"/>
      <c r="H5812" s="90"/>
    </row>
    <row r="5813" spans="7:8">
      <c r="G5813" s="87"/>
      <c r="H5813" s="90"/>
    </row>
    <row r="5814" spans="7:8">
      <c r="G5814" s="87"/>
      <c r="H5814" s="90"/>
    </row>
    <row r="5815" spans="7:8">
      <c r="G5815" s="87"/>
      <c r="H5815" s="90"/>
    </row>
    <row r="5816" spans="7:8">
      <c r="G5816" s="87"/>
      <c r="H5816" s="90"/>
    </row>
    <row r="5817" spans="7:8">
      <c r="G5817" s="87"/>
      <c r="H5817" s="90"/>
    </row>
    <row r="5818" spans="7:8">
      <c r="G5818" s="87"/>
      <c r="H5818" s="90"/>
    </row>
    <row r="5819" spans="7:8">
      <c r="G5819" s="87"/>
      <c r="H5819" s="90"/>
    </row>
    <row r="5820" spans="7:8">
      <c r="G5820" s="87"/>
      <c r="H5820" s="90"/>
    </row>
    <row r="5821" spans="7:8">
      <c r="G5821" s="87"/>
      <c r="H5821" s="90"/>
    </row>
    <row r="5822" spans="7:8">
      <c r="G5822" s="87"/>
      <c r="H5822" s="90"/>
    </row>
    <row r="5823" spans="7:8">
      <c r="G5823" s="87"/>
      <c r="H5823" s="90"/>
    </row>
    <row r="5824" spans="7:8">
      <c r="G5824" s="87"/>
      <c r="H5824" s="90"/>
    </row>
    <row r="5825" spans="7:8">
      <c r="G5825" s="87"/>
      <c r="H5825" s="90"/>
    </row>
    <row r="5826" spans="7:8">
      <c r="G5826" s="87"/>
      <c r="H5826" s="90"/>
    </row>
    <row r="5827" spans="7:8">
      <c r="G5827" s="87"/>
      <c r="H5827" s="90"/>
    </row>
    <row r="5828" spans="7:8">
      <c r="G5828" s="87"/>
      <c r="H5828" s="90"/>
    </row>
    <row r="5829" spans="7:8">
      <c r="G5829" s="87"/>
      <c r="H5829" s="90"/>
    </row>
    <row r="5830" spans="7:8">
      <c r="G5830" s="87"/>
      <c r="H5830" s="90"/>
    </row>
    <row r="5831" spans="7:8">
      <c r="G5831" s="87"/>
      <c r="H5831" s="90"/>
    </row>
    <row r="5832" spans="7:8">
      <c r="G5832" s="87"/>
      <c r="H5832" s="90"/>
    </row>
    <row r="5833" spans="7:8">
      <c r="G5833" s="87"/>
      <c r="H5833" s="90"/>
    </row>
    <row r="5834" spans="7:8">
      <c r="G5834" s="87"/>
      <c r="H5834" s="90"/>
    </row>
    <row r="5835" spans="7:8">
      <c r="G5835" s="87"/>
      <c r="H5835" s="90"/>
    </row>
    <row r="5836" spans="7:8">
      <c r="G5836" s="87"/>
      <c r="H5836" s="90"/>
    </row>
    <row r="5837" spans="7:8">
      <c r="G5837" s="87"/>
      <c r="H5837" s="90"/>
    </row>
    <row r="5838" spans="7:8">
      <c r="G5838" s="87"/>
      <c r="H5838" s="90"/>
    </row>
    <row r="5839" spans="7:8">
      <c r="G5839" s="87"/>
      <c r="H5839" s="90"/>
    </row>
    <row r="5840" spans="7:8">
      <c r="G5840" s="87"/>
      <c r="H5840" s="90"/>
    </row>
    <row r="5841" spans="7:8">
      <c r="G5841" s="87"/>
      <c r="H5841" s="90"/>
    </row>
    <row r="5842" spans="7:8">
      <c r="G5842" s="87"/>
      <c r="H5842" s="90"/>
    </row>
    <row r="5843" spans="7:8">
      <c r="G5843" s="87"/>
      <c r="H5843" s="90"/>
    </row>
    <row r="5844" spans="7:8">
      <c r="G5844" s="87"/>
      <c r="H5844" s="90"/>
    </row>
    <row r="5845" spans="7:8">
      <c r="G5845" s="87"/>
      <c r="H5845" s="90"/>
    </row>
    <row r="5846" spans="7:8">
      <c r="G5846" s="87"/>
      <c r="H5846" s="90"/>
    </row>
    <row r="5847" spans="7:8">
      <c r="G5847" s="87"/>
      <c r="H5847" s="90"/>
    </row>
    <row r="5848" spans="7:8">
      <c r="G5848" s="87"/>
      <c r="H5848" s="90"/>
    </row>
    <row r="5849" spans="7:8">
      <c r="G5849" s="87"/>
      <c r="H5849" s="90"/>
    </row>
    <row r="5850" spans="7:8">
      <c r="G5850" s="87"/>
      <c r="H5850" s="90"/>
    </row>
    <row r="5851" spans="7:8">
      <c r="G5851" s="87"/>
      <c r="H5851" s="90"/>
    </row>
    <row r="5852" spans="7:8">
      <c r="G5852" s="87"/>
      <c r="H5852" s="90"/>
    </row>
    <row r="5853" spans="7:8">
      <c r="G5853" s="87"/>
      <c r="H5853" s="90"/>
    </row>
    <row r="5854" spans="7:8">
      <c r="G5854" s="87"/>
      <c r="H5854" s="90"/>
    </row>
    <row r="5855" spans="7:8">
      <c r="G5855" s="87"/>
      <c r="H5855" s="90"/>
    </row>
    <row r="5856" spans="7:8">
      <c r="G5856" s="87"/>
      <c r="H5856" s="90"/>
    </row>
    <row r="5857" spans="7:8">
      <c r="G5857" s="87"/>
      <c r="H5857" s="90"/>
    </row>
    <row r="5858" spans="7:8">
      <c r="G5858" s="87"/>
      <c r="H5858" s="90"/>
    </row>
    <row r="5859" spans="7:8">
      <c r="G5859" s="87"/>
      <c r="H5859" s="90"/>
    </row>
    <row r="5860" spans="7:8">
      <c r="G5860" s="87"/>
      <c r="H5860" s="90"/>
    </row>
    <row r="5861" spans="7:8">
      <c r="G5861" s="87"/>
      <c r="H5861" s="90"/>
    </row>
    <row r="5862" spans="7:8">
      <c r="G5862" s="87"/>
      <c r="H5862" s="90"/>
    </row>
    <row r="5863" spans="7:8">
      <c r="G5863" s="87"/>
      <c r="H5863" s="90"/>
    </row>
    <row r="5864" spans="7:8">
      <c r="G5864" s="87"/>
      <c r="H5864" s="90"/>
    </row>
    <row r="5865" spans="7:8">
      <c r="G5865" s="87"/>
      <c r="H5865" s="90"/>
    </row>
    <row r="5866" spans="7:8">
      <c r="G5866" s="87"/>
      <c r="H5866" s="90"/>
    </row>
    <row r="5867" spans="7:8">
      <c r="G5867" s="87"/>
      <c r="H5867" s="90"/>
    </row>
    <row r="5868" spans="7:8">
      <c r="G5868" s="87"/>
      <c r="H5868" s="90"/>
    </row>
    <row r="5869" spans="7:8">
      <c r="G5869" s="87"/>
      <c r="H5869" s="90"/>
    </row>
    <row r="5870" spans="7:8">
      <c r="G5870" s="87"/>
      <c r="H5870" s="90"/>
    </row>
    <row r="5871" spans="7:8">
      <c r="G5871" s="87"/>
      <c r="H5871" s="90"/>
    </row>
    <row r="5872" spans="7:8">
      <c r="G5872" s="87"/>
      <c r="H5872" s="90"/>
    </row>
    <row r="5873" spans="7:8">
      <c r="G5873" s="87"/>
      <c r="H5873" s="90"/>
    </row>
    <row r="5874" spans="7:8">
      <c r="G5874" s="87"/>
      <c r="H5874" s="90"/>
    </row>
    <row r="5875" spans="7:8">
      <c r="G5875" s="87"/>
      <c r="H5875" s="90"/>
    </row>
    <row r="5876" spans="7:8">
      <c r="G5876" s="87"/>
      <c r="H5876" s="90"/>
    </row>
    <row r="5877" spans="7:8">
      <c r="G5877" s="87"/>
      <c r="H5877" s="90"/>
    </row>
    <row r="5878" spans="7:8">
      <c r="G5878" s="87"/>
      <c r="H5878" s="90"/>
    </row>
    <row r="5879" spans="7:8">
      <c r="G5879" s="87"/>
      <c r="H5879" s="90"/>
    </row>
    <row r="5880" spans="7:8">
      <c r="G5880" s="87"/>
      <c r="H5880" s="90"/>
    </row>
    <row r="5881" spans="7:8">
      <c r="G5881" s="87"/>
      <c r="H5881" s="90"/>
    </row>
    <row r="5882" spans="7:8">
      <c r="G5882" s="87"/>
      <c r="H5882" s="90"/>
    </row>
    <row r="5883" spans="7:8">
      <c r="G5883" s="87"/>
      <c r="H5883" s="90"/>
    </row>
    <row r="5884" spans="7:8">
      <c r="G5884" s="87"/>
      <c r="H5884" s="90"/>
    </row>
    <row r="5885" spans="7:8">
      <c r="G5885" s="87"/>
      <c r="H5885" s="90"/>
    </row>
    <row r="5886" spans="7:8">
      <c r="G5886" s="87"/>
      <c r="H5886" s="90"/>
    </row>
    <row r="5887" spans="7:8">
      <c r="G5887" s="87"/>
      <c r="H5887" s="90"/>
    </row>
    <row r="5888" spans="7:8">
      <c r="G5888" s="87"/>
      <c r="H5888" s="90"/>
    </row>
    <row r="5889" spans="7:8">
      <c r="G5889" s="87"/>
      <c r="H5889" s="90"/>
    </row>
    <row r="5890" spans="7:8">
      <c r="G5890" s="87"/>
      <c r="H5890" s="90"/>
    </row>
    <row r="5891" spans="7:8">
      <c r="G5891" s="87"/>
      <c r="H5891" s="90"/>
    </row>
    <row r="5892" spans="7:8">
      <c r="G5892" s="87"/>
      <c r="H5892" s="90"/>
    </row>
    <row r="5893" spans="7:8">
      <c r="G5893" s="87"/>
      <c r="H5893" s="90"/>
    </row>
    <row r="5894" spans="7:8">
      <c r="G5894" s="87"/>
      <c r="H5894" s="90"/>
    </row>
    <row r="5895" spans="7:8">
      <c r="G5895" s="87"/>
      <c r="H5895" s="90"/>
    </row>
    <row r="5896" spans="7:8">
      <c r="G5896" s="87"/>
      <c r="H5896" s="90"/>
    </row>
    <row r="5897" spans="7:8">
      <c r="G5897" s="87"/>
      <c r="H5897" s="90"/>
    </row>
    <row r="5898" spans="7:8">
      <c r="G5898" s="87"/>
      <c r="H5898" s="90"/>
    </row>
    <row r="5899" spans="7:8">
      <c r="G5899" s="87"/>
      <c r="H5899" s="90"/>
    </row>
    <row r="5900" spans="7:8">
      <c r="G5900" s="87"/>
      <c r="H5900" s="90"/>
    </row>
    <row r="5901" spans="7:8">
      <c r="G5901" s="87"/>
      <c r="H5901" s="90"/>
    </row>
    <row r="5902" spans="7:8">
      <c r="G5902" s="87"/>
      <c r="H5902" s="90"/>
    </row>
    <row r="5903" spans="7:8">
      <c r="G5903" s="87"/>
      <c r="H5903" s="90"/>
    </row>
    <row r="5904" spans="7:8">
      <c r="G5904" s="87"/>
      <c r="H5904" s="90"/>
    </row>
    <row r="5905" spans="7:8">
      <c r="G5905" s="87"/>
      <c r="H5905" s="90"/>
    </row>
    <row r="5906" spans="7:8">
      <c r="G5906" s="87"/>
      <c r="H5906" s="90"/>
    </row>
    <row r="5907" spans="7:8">
      <c r="G5907" s="87"/>
      <c r="H5907" s="90"/>
    </row>
    <row r="5908" spans="7:8">
      <c r="G5908" s="87"/>
      <c r="H5908" s="90"/>
    </row>
    <row r="5909" spans="7:8">
      <c r="G5909" s="87"/>
      <c r="H5909" s="90"/>
    </row>
    <row r="5910" spans="7:8">
      <c r="G5910" s="87"/>
      <c r="H5910" s="90"/>
    </row>
    <row r="5911" spans="7:8">
      <c r="G5911" s="87"/>
      <c r="H5911" s="90"/>
    </row>
    <row r="5912" spans="7:8">
      <c r="G5912" s="87"/>
      <c r="H5912" s="90"/>
    </row>
    <row r="5913" spans="7:8">
      <c r="G5913" s="87"/>
      <c r="H5913" s="90"/>
    </row>
    <row r="5914" spans="7:8">
      <c r="G5914" s="87"/>
      <c r="H5914" s="90"/>
    </row>
    <row r="5915" spans="7:8">
      <c r="G5915" s="87"/>
      <c r="H5915" s="90"/>
    </row>
    <row r="5916" spans="7:8">
      <c r="G5916" s="87"/>
      <c r="H5916" s="90"/>
    </row>
    <row r="5917" spans="7:8">
      <c r="G5917" s="87"/>
      <c r="H5917" s="90"/>
    </row>
    <row r="5918" spans="7:8">
      <c r="G5918" s="87"/>
      <c r="H5918" s="90"/>
    </row>
    <row r="5919" spans="7:8">
      <c r="G5919" s="87"/>
      <c r="H5919" s="90"/>
    </row>
    <row r="5920" spans="7:8">
      <c r="G5920" s="87"/>
      <c r="H5920" s="90"/>
    </row>
    <row r="5921" spans="7:8">
      <c r="G5921" s="87"/>
      <c r="H5921" s="90"/>
    </row>
    <row r="5922" spans="7:8">
      <c r="G5922" s="87"/>
      <c r="H5922" s="90"/>
    </row>
    <row r="5923" spans="7:8">
      <c r="G5923" s="87"/>
      <c r="H5923" s="90"/>
    </row>
    <row r="5924" spans="7:8">
      <c r="G5924" s="87"/>
      <c r="H5924" s="90"/>
    </row>
    <row r="5925" spans="7:8">
      <c r="G5925" s="87"/>
      <c r="H5925" s="90"/>
    </row>
    <row r="5926" spans="7:8">
      <c r="G5926" s="87"/>
      <c r="H5926" s="90"/>
    </row>
    <row r="5927" spans="7:8">
      <c r="G5927" s="87"/>
      <c r="H5927" s="90"/>
    </row>
    <row r="5928" spans="7:8">
      <c r="G5928" s="87"/>
      <c r="H5928" s="90"/>
    </row>
    <row r="5929" spans="7:8">
      <c r="G5929" s="87"/>
      <c r="H5929" s="90"/>
    </row>
    <row r="5930" spans="7:8">
      <c r="G5930" s="87"/>
      <c r="H5930" s="90"/>
    </row>
    <row r="5931" spans="7:8">
      <c r="G5931" s="87"/>
      <c r="H5931" s="90"/>
    </row>
    <row r="5932" spans="7:8">
      <c r="G5932" s="87"/>
      <c r="H5932" s="90"/>
    </row>
    <row r="5933" spans="7:8">
      <c r="G5933" s="87"/>
      <c r="H5933" s="90"/>
    </row>
    <row r="5934" spans="7:8">
      <c r="G5934" s="87"/>
      <c r="H5934" s="90"/>
    </row>
    <row r="5935" spans="7:8">
      <c r="G5935" s="87"/>
      <c r="H5935" s="90"/>
    </row>
    <row r="5936" spans="7:8">
      <c r="G5936" s="87"/>
      <c r="H5936" s="90"/>
    </row>
    <row r="5937" spans="7:8">
      <c r="G5937" s="87"/>
      <c r="H5937" s="90"/>
    </row>
    <row r="5938" spans="7:8">
      <c r="G5938" s="87"/>
      <c r="H5938" s="90"/>
    </row>
    <row r="5939" spans="7:8">
      <c r="G5939" s="87"/>
      <c r="H5939" s="90"/>
    </row>
    <row r="5940" spans="7:8">
      <c r="G5940" s="87"/>
      <c r="H5940" s="90"/>
    </row>
    <row r="5941" spans="7:8">
      <c r="G5941" s="87"/>
      <c r="H5941" s="90"/>
    </row>
    <row r="5942" spans="7:8">
      <c r="G5942" s="87"/>
      <c r="H5942" s="90"/>
    </row>
    <row r="5943" spans="7:8">
      <c r="G5943" s="87"/>
      <c r="H5943" s="90"/>
    </row>
    <row r="5944" spans="7:8">
      <c r="G5944" s="87"/>
      <c r="H5944" s="90"/>
    </row>
    <row r="5945" spans="7:8">
      <c r="G5945" s="87"/>
      <c r="H5945" s="90"/>
    </row>
    <row r="5946" spans="7:8">
      <c r="G5946" s="87"/>
      <c r="H5946" s="90"/>
    </row>
    <row r="5947" spans="7:8">
      <c r="G5947" s="87"/>
      <c r="H5947" s="90"/>
    </row>
    <row r="5948" spans="7:8">
      <c r="G5948" s="87"/>
      <c r="H5948" s="90"/>
    </row>
    <row r="5949" spans="7:8">
      <c r="G5949" s="87"/>
      <c r="H5949" s="90"/>
    </row>
    <row r="5950" spans="7:8">
      <c r="G5950" s="87"/>
      <c r="H5950" s="90"/>
    </row>
    <row r="5951" spans="7:8">
      <c r="G5951" s="87"/>
      <c r="H5951" s="90"/>
    </row>
    <row r="5952" spans="7:8">
      <c r="G5952" s="87"/>
      <c r="H5952" s="90"/>
    </row>
    <row r="5953" spans="7:8">
      <c r="G5953" s="87"/>
      <c r="H5953" s="90"/>
    </row>
    <row r="5954" spans="7:8">
      <c r="G5954" s="87"/>
      <c r="H5954" s="90"/>
    </row>
    <row r="5955" spans="7:8">
      <c r="G5955" s="87"/>
      <c r="H5955" s="90"/>
    </row>
    <row r="5956" spans="7:8">
      <c r="G5956" s="87"/>
      <c r="H5956" s="90"/>
    </row>
    <row r="5957" spans="7:8">
      <c r="G5957" s="87"/>
      <c r="H5957" s="90"/>
    </row>
    <row r="5958" spans="7:8">
      <c r="G5958" s="87"/>
      <c r="H5958" s="90"/>
    </row>
    <row r="5959" spans="7:8">
      <c r="G5959" s="87"/>
      <c r="H5959" s="90"/>
    </row>
    <row r="5960" spans="7:8">
      <c r="G5960" s="87"/>
      <c r="H5960" s="90"/>
    </row>
    <row r="5961" spans="7:8">
      <c r="G5961" s="87"/>
      <c r="H5961" s="90"/>
    </row>
    <row r="5962" spans="7:8">
      <c r="G5962" s="87"/>
      <c r="H5962" s="90"/>
    </row>
    <row r="5963" spans="7:8">
      <c r="G5963" s="87"/>
      <c r="H5963" s="90"/>
    </row>
    <row r="5964" spans="7:8">
      <c r="G5964" s="87"/>
      <c r="H5964" s="90"/>
    </row>
    <row r="5965" spans="7:8">
      <c r="G5965" s="87"/>
      <c r="H5965" s="90"/>
    </row>
    <row r="5966" spans="7:8">
      <c r="G5966" s="87"/>
      <c r="H5966" s="90"/>
    </row>
    <row r="5967" spans="7:8">
      <c r="G5967" s="87"/>
      <c r="H5967" s="90"/>
    </row>
    <row r="5968" spans="7:8">
      <c r="G5968" s="87"/>
      <c r="H5968" s="90"/>
    </row>
    <row r="5969" spans="7:8">
      <c r="G5969" s="87"/>
      <c r="H5969" s="90"/>
    </row>
    <row r="5970" spans="7:8">
      <c r="G5970" s="87"/>
      <c r="H5970" s="90"/>
    </row>
    <row r="5971" spans="7:8">
      <c r="G5971" s="87"/>
      <c r="H5971" s="90"/>
    </row>
    <row r="5972" spans="7:8">
      <c r="G5972" s="87"/>
      <c r="H5972" s="90"/>
    </row>
    <row r="5973" spans="7:8">
      <c r="G5973" s="87"/>
      <c r="H5973" s="90"/>
    </row>
    <row r="5974" spans="7:8">
      <c r="G5974" s="87"/>
      <c r="H5974" s="90"/>
    </row>
    <row r="5975" spans="7:8">
      <c r="G5975" s="87"/>
      <c r="H5975" s="90"/>
    </row>
    <row r="5976" spans="7:8">
      <c r="G5976" s="87"/>
      <c r="H5976" s="90"/>
    </row>
    <row r="5977" spans="7:8">
      <c r="G5977" s="87"/>
      <c r="H5977" s="90"/>
    </row>
    <row r="5978" spans="7:8">
      <c r="G5978" s="87"/>
      <c r="H5978" s="90"/>
    </row>
    <row r="5979" spans="7:8">
      <c r="G5979" s="87"/>
      <c r="H5979" s="90"/>
    </row>
    <row r="5980" spans="7:8">
      <c r="G5980" s="87"/>
      <c r="H5980" s="90"/>
    </row>
    <row r="5981" spans="7:8">
      <c r="G5981" s="87"/>
      <c r="H5981" s="90"/>
    </row>
    <row r="5982" spans="7:8">
      <c r="G5982" s="87"/>
      <c r="H5982" s="90"/>
    </row>
    <row r="5983" spans="7:8">
      <c r="G5983" s="87"/>
      <c r="H5983" s="90"/>
    </row>
    <row r="5984" spans="7:8">
      <c r="G5984" s="87"/>
      <c r="H5984" s="90"/>
    </row>
    <row r="5985" spans="7:8">
      <c r="G5985" s="87"/>
      <c r="H5985" s="90"/>
    </row>
    <row r="5986" spans="7:8">
      <c r="G5986" s="87"/>
      <c r="H5986" s="90"/>
    </row>
    <row r="5987" spans="7:8">
      <c r="G5987" s="87"/>
      <c r="H5987" s="90"/>
    </row>
    <row r="5988" spans="7:8">
      <c r="G5988" s="87"/>
      <c r="H5988" s="90"/>
    </row>
    <row r="5989" spans="7:8">
      <c r="G5989" s="87"/>
      <c r="H5989" s="90"/>
    </row>
    <row r="5990" spans="7:8">
      <c r="G5990" s="87"/>
      <c r="H5990" s="90"/>
    </row>
    <row r="5991" spans="7:8">
      <c r="G5991" s="87"/>
      <c r="H5991" s="90"/>
    </row>
    <row r="5992" spans="7:8">
      <c r="G5992" s="87"/>
      <c r="H5992" s="90"/>
    </row>
    <row r="5993" spans="7:8">
      <c r="G5993" s="87"/>
      <c r="H5993" s="90"/>
    </row>
    <row r="5994" spans="7:8">
      <c r="G5994" s="87"/>
      <c r="H5994" s="90"/>
    </row>
    <row r="5995" spans="7:8">
      <c r="G5995" s="87"/>
      <c r="H5995" s="90"/>
    </row>
    <row r="5996" spans="7:8">
      <c r="G5996" s="87"/>
      <c r="H5996" s="90"/>
    </row>
    <row r="5997" spans="7:8">
      <c r="G5997" s="87"/>
      <c r="H5997" s="90"/>
    </row>
    <row r="5998" spans="7:8">
      <c r="G5998" s="87"/>
      <c r="H5998" s="90"/>
    </row>
    <row r="5999" spans="7:8">
      <c r="G5999" s="87"/>
      <c r="H5999" s="90"/>
    </row>
    <row r="6000" spans="7:8">
      <c r="G6000" s="87"/>
      <c r="H6000" s="90"/>
    </row>
    <row r="6001" spans="7:8">
      <c r="G6001" s="87"/>
      <c r="H6001" s="90"/>
    </row>
    <row r="6002" spans="7:8">
      <c r="G6002" s="87"/>
      <c r="H6002" s="90"/>
    </row>
    <row r="6003" spans="7:8">
      <c r="G6003" s="87"/>
      <c r="H6003" s="90"/>
    </row>
    <row r="6004" spans="7:8">
      <c r="G6004" s="87"/>
      <c r="H6004" s="90"/>
    </row>
    <row r="6005" spans="7:8">
      <c r="G6005" s="87"/>
      <c r="H6005" s="90"/>
    </row>
    <row r="6006" spans="7:8">
      <c r="G6006" s="87"/>
      <c r="H6006" s="90"/>
    </row>
    <row r="6007" spans="7:8">
      <c r="G6007" s="87"/>
      <c r="H6007" s="90"/>
    </row>
    <row r="6008" spans="7:8">
      <c r="G6008" s="87"/>
      <c r="H6008" s="90"/>
    </row>
    <row r="6009" spans="7:8">
      <c r="G6009" s="87"/>
      <c r="H6009" s="90"/>
    </row>
    <row r="6010" spans="7:8">
      <c r="G6010" s="87"/>
      <c r="H6010" s="90"/>
    </row>
    <row r="6011" spans="7:8">
      <c r="G6011" s="87"/>
      <c r="H6011" s="90"/>
    </row>
    <row r="6012" spans="7:8">
      <c r="G6012" s="87"/>
      <c r="H6012" s="90"/>
    </row>
    <row r="6013" spans="7:8">
      <c r="G6013" s="87"/>
      <c r="H6013" s="90"/>
    </row>
    <row r="6014" spans="7:8">
      <c r="G6014" s="87"/>
      <c r="H6014" s="90"/>
    </row>
    <row r="6015" spans="7:8">
      <c r="G6015" s="87"/>
      <c r="H6015" s="90"/>
    </row>
    <row r="6016" spans="7:8">
      <c r="G6016" s="87"/>
      <c r="H6016" s="90"/>
    </row>
    <row r="6017" spans="7:8">
      <c r="G6017" s="87"/>
      <c r="H6017" s="90"/>
    </row>
    <row r="6018" spans="7:8">
      <c r="G6018" s="87"/>
      <c r="H6018" s="90"/>
    </row>
    <row r="6019" spans="7:8">
      <c r="G6019" s="87"/>
      <c r="H6019" s="90"/>
    </row>
    <row r="6020" spans="7:8">
      <c r="G6020" s="87"/>
      <c r="H6020" s="90"/>
    </row>
    <row r="6021" spans="7:8">
      <c r="G6021" s="87"/>
      <c r="H6021" s="90"/>
    </row>
    <row r="6022" spans="7:8">
      <c r="G6022" s="87"/>
      <c r="H6022" s="90"/>
    </row>
    <row r="6023" spans="7:8">
      <c r="G6023" s="87"/>
      <c r="H6023" s="90"/>
    </row>
    <row r="6024" spans="7:8">
      <c r="G6024" s="87"/>
      <c r="H6024" s="90"/>
    </row>
    <row r="6025" spans="7:8">
      <c r="G6025" s="87"/>
      <c r="H6025" s="90"/>
    </row>
    <row r="6026" spans="7:8">
      <c r="G6026" s="87"/>
      <c r="H6026" s="90"/>
    </row>
    <row r="6027" spans="7:8">
      <c r="G6027" s="87"/>
      <c r="H6027" s="90"/>
    </row>
    <row r="6028" spans="7:8">
      <c r="G6028" s="87"/>
      <c r="H6028" s="90"/>
    </row>
    <row r="6029" spans="7:8">
      <c r="G6029" s="87"/>
      <c r="H6029" s="90"/>
    </row>
    <row r="6030" spans="7:8">
      <c r="G6030" s="87"/>
      <c r="H6030" s="90"/>
    </row>
    <row r="6031" spans="7:8">
      <c r="G6031" s="87"/>
      <c r="H6031" s="90"/>
    </row>
    <row r="6032" spans="7:8">
      <c r="G6032" s="87"/>
      <c r="H6032" s="90"/>
    </row>
    <row r="6033" spans="7:8">
      <c r="G6033" s="87"/>
      <c r="H6033" s="90"/>
    </row>
    <row r="6034" spans="7:8">
      <c r="G6034" s="87"/>
      <c r="H6034" s="90"/>
    </row>
    <row r="6035" spans="7:8">
      <c r="G6035" s="87"/>
      <c r="H6035" s="90"/>
    </row>
    <row r="6036" spans="7:8">
      <c r="G6036" s="87"/>
      <c r="H6036" s="90"/>
    </row>
    <row r="6037" spans="7:8">
      <c r="G6037" s="87"/>
      <c r="H6037" s="90"/>
    </row>
    <row r="6038" spans="7:8">
      <c r="G6038" s="87"/>
      <c r="H6038" s="90"/>
    </row>
    <row r="6039" spans="7:8">
      <c r="G6039" s="87"/>
      <c r="H6039" s="90"/>
    </row>
    <row r="6040" spans="7:8">
      <c r="G6040" s="87"/>
      <c r="H6040" s="90"/>
    </row>
    <row r="6041" spans="7:8">
      <c r="G6041" s="87"/>
      <c r="H6041" s="90"/>
    </row>
    <row r="6042" spans="7:8">
      <c r="G6042" s="87"/>
      <c r="H6042" s="90"/>
    </row>
    <row r="6043" spans="7:8">
      <c r="G6043" s="87"/>
      <c r="H6043" s="90"/>
    </row>
    <row r="6044" spans="7:8">
      <c r="G6044" s="87"/>
      <c r="H6044" s="90"/>
    </row>
    <row r="6045" spans="7:8">
      <c r="G6045" s="87"/>
      <c r="H6045" s="90"/>
    </row>
    <row r="6046" spans="7:8">
      <c r="G6046" s="87"/>
      <c r="H6046" s="90"/>
    </row>
    <row r="6047" spans="7:8">
      <c r="G6047" s="87"/>
      <c r="H6047" s="90"/>
    </row>
    <row r="6048" spans="7:8">
      <c r="G6048" s="87"/>
      <c r="H6048" s="90"/>
    </row>
    <row r="6049" spans="7:8">
      <c r="G6049" s="87"/>
      <c r="H6049" s="90"/>
    </row>
    <row r="6050" spans="7:8">
      <c r="G6050" s="87"/>
      <c r="H6050" s="90"/>
    </row>
    <row r="6051" spans="7:8">
      <c r="G6051" s="87"/>
      <c r="H6051" s="90"/>
    </row>
    <row r="6052" spans="7:8">
      <c r="G6052" s="87"/>
      <c r="H6052" s="90"/>
    </row>
    <row r="6053" spans="7:8">
      <c r="G6053" s="87"/>
      <c r="H6053" s="90"/>
    </row>
    <row r="6054" spans="7:8">
      <c r="G6054" s="87"/>
      <c r="H6054" s="90"/>
    </row>
    <row r="6055" spans="7:8">
      <c r="G6055" s="87"/>
      <c r="H6055" s="90"/>
    </row>
    <row r="6056" spans="7:8">
      <c r="G6056" s="87"/>
      <c r="H6056" s="90"/>
    </row>
    <row r="6057" spans="7:8">
      <c r="G6057" s="87"/>
      <c r="H6057" s="90"/>
    </row>
    <row r="6058" spans="7:8">
      <c r="G6058" s="87"/>
      <c r="H6058" s="90"/>
    </row>
    <row r="6059" spans="7:8">
      <c r="G6059" s="87"/>
      <c r="H6059" s="90"/>
    </row>
    <row r="6060" spans="7:8">
      <c r="G6060" s="87"/>
      <c r="H6060" s="90"/>
    </row>
    <row r="6061" spans="7:8">
      <c r="G6061" s="87"/>
      <c r="H6061" s="90"/>
    </row>
    <row r="6062" spans="7:8">
      <c r="G6062" s="87"/>
      <c r="H6062" s="90"/>
    </row>
    <row r="6063" spans="7:8">
      <c r="G6063" s="87"/>
      <c r="H6063" s="90"/>
    </row>
    <row r="6064" spans="7:8">
      <c r="G6064" s="87"/>
      <c r="H6064" s="90"/>
    </row>
    <row r="6065" spans="7:8">
      <c r="G6065" s="87"/>
      <c r="H6065" s="90"/>
    </row>
    <row r="6066" spans="7:8">
      <c r="G6066" s="87"/>
      <c r="H6066" s="90"/>
    </row>
    <row r="6067" spans="7:8">
      <c r="G6067" s="87"/>
      <c r="H6067" s="90"/>
    </row>
    <row r="6068" spans="7:8">
      <c r="G6068" s="87"/>
      <c r="H6068" s="90"/>
    </row>
    <row r="6069" spans="7:8">
      <c r="G6069" s="87"/>
      <c r="H6069" s="90"/>
    </row>
    <row r="6070" spans="7:8">
      <c r="G6070" s="87"/>
      <c r="H6070" s="90"/>
    </row>
    <row r="6071" spans="7:8">
      <c r="G6071" s="87"/>
      <c r="H6071" s="90"/>
    </row>
    <row r="6072" spans="7:8">
      <c r="G6072" s="87"/>
      <c r="H6072" s="90"/>
    </row>
    <row r="6073" spans="7:8">
      <c r="G6073" s="87"/>
      <c r="H6073" s="90"/>
    </row>
    <row r="6074" spans="7:8">
      <c r="G6074" s="87"/>
      <c r="H6074" s="90"/>
    </row>
    <row r="6075" spans="7:8">
      <c r="G6075" s="87"/>
      <c r="H6075" s="90"/>
    </row>
    <row r="6076" spans="7:8">
      <c r="G6076" s="87"/>
      <c r="H6076" s="90"/>
    </row>
    <row r="6077" spans="7:8">
      <c r="G6077" s="87"/>
      <c r="H6077" s="90"/>
    </row>
    <row r="6078" spans="7:8">
      <c r="G6078" s="87"/>
      <c r="H6078" s="90"/>
    </row>
    <row r="6079" spans="7:8">
      <c r="G6079" s="87"/>
      <c r="H6079" s="90"/>
    </row>
    <row r="6080" spans="7:8">
      <c r="G6080" s="87"/>
      <c r="H6080" s="90"/>
    </row>
    <row r="6081" spans="7:8">
      <c r="G6081" s="87"/>
      <c r="H6081" s="90"/>
    </row>
    <row r="6082" spans="7:8">
      <c r="G6082" s="87"/>
      <c r="H6082" s="90"/>
    </row>
    <row r="6083" spans="7:8">
      <c r="G6083" s="87"/>
      <c r="H6083" s="90"/>
    </row>
    <row r="6084" spans="7:8">
      <c r="G6084" s="87"/>
      <c r="H6084" s="90"/>
    </row>
    <row r="6085" spans="7:8">
      <c r="G6085" s="87"/>
      <c r="H6085" s="90"/>
    </row>
    <row r="6086" spans="7:8">
      <c r="G6086" s="87"/>
      <c r="H6086" s="90"/>
    </row>
    <row r="6087" spans="7:8">
      <c r="G6087" s="87"/>
      <c r="H6087" s="90"/>
    </row>
    <row r="6088" spans="7:8">
      <c r="G6088" s="87"/>
      <c r="H6088" s="90"/>
    </row>
    <row r="6089" spans="7:8">
      <c r="G6089" s="87"/>
      <c r="H6089" s="90"/>
    </row>
    <row r="6090" spans="7:8">
      <c r="G6090" s="87"/>
      <c r="H6090" s="90"/>
    </row>
    <row r="6091" spans="7:8">
      <c r="G6091" s="87"/>
      <c r="H6091" s="90"/>
    </row>
    <row r="6092" spans="7:8">
      <c r="G6092" s="87"/>
      <c r="H6092" s="90"/>
    </row>
    <row r="6093" spans="7:8">
      <c r="G6093" s="87"/>
      <c r="H6093" s="90"/>
    </row>
    <row r="6094" spans="7:8">
      <c r="G6094" s="87"/>
      <c r="H6094" s="90"/>
    </row>
    <row r="6095" spans="7:8">
      <c r="G6095" s="87"/>
      <c r="H6095" s="90"/>
    </row>
    <row r="6096" spans="7:8">
      <c r="G6096" s="87"/>
      <c r="H6096" s="90"/>
    </row>
    <row r="6097" spans="7:8">
      <c r="G6097" s="87"/>
      <c r="H6097" s="90"/>
    </row>
    <row r="6098" spans="7:8">
      <c r="G6098" s="87"/>
      <c r="H6098" s="90"/>
    </row>
    <row r="6099" spans="7:8">
      <c r="G6099" s="87"/>
      <c r="H6099" s="90"/>
    </row>
    <row r="6100" spans="7:8">
      <c r="G6100" s="87"/>
      <c r="H6100" s="90"/>
    </row>
    <row r="6101" spans="7:8">
      <c r="G6101" s="87"/>
      <c r="H6101" s="90"/>
    </row>
    <row r="6102" spans="7:8">
      <c r="G6102" s="87"/>
      <c r="H6102" s="90"/>
    </row>
    <row r="6103" spans="7:8">
      <c r="G6103" s="87"/>
      <c r="H6103" s="90"/>
    </row>
    <row r="6104" spans="7:8">
      <c r="G6104" s="87"/>
      <c r="H6104" s="90"/>
    </row>
    <row r="6105" spans="7:8">
      <c r="G6105" s="87"/>
      <c r="H6105" s="90"/>
    </row>
    <row r="6106" spans="7:8">
      <c r="G6106" s="87"/>
      <c r="H6106" s="90"/>
    </row>
    <row r="6107" spans="7:8">
      <c r="G6107" s="87"/>
      <c r="H6107" s="90"/>
    </row>
    <row r="6108" spans="7:8">
      <c r="G6108" s="87"/>
      <c r="H6108" s="90"/>
    </row>
    <row r="6109" spans="7:8">
      <c r="G6109" s="87"/>
      <c r="H6109" s="90"/>
    </row>
    <row r="6110" spans="7:8">
      <c r="G6110" s="87"/>
      <c r="H6110" s="90"/>
    </row>
    <row r="6111" spans="7:8">
      <c r="G6111" s="87"/>
      <c r="H6111" s="90"/>
    </row>
    <row r="6112" spans="7:8">
      <c r="G6112" s="87"/>
      <c r="H6112" s="90"/>
    </row>
    <row r="6113" spans="7:8">
      <c r="G6113" s="87"/>
      <c r="H6113" s="90"/>
    </row>
    <row r="6114" spans="7:8">
      <c r="G6114" s="87"/>
      <c r="H6114" s="90"/>
    </row>
    <row r="6115" spans="7:8">
      <c r="G6115" s="87"/>
      <c r="H6115" s="90"/>
    </row>
    <row r="6116" spans="7:8">
      <c r="G6116" s="87"/>
      <c r="H6116" s="90"/>
    </row>
    <row r="6117" spans="7:8">
      <c r="G6117" s="87"/>
      <c r="H6117" s="90"/>
    </row>
    <row r="6118" spans="7:8">
      <c r="G6118" s="87"/>
      <c r="H6118" s="90"/>
    </row>
    <row r="6119" spans="7:8">
      <c r="G6119" s="87"/>
      <c r="H6119" s="90"/>
    </row>
    <row r="6120" spans="7:8">
      <c r="G6120" s="87"/>
      <c r="H6120" s="90"/>
    </row>
    <row r="6121" spans="7:8">
      <c r="G6121" s="87"/>
      <c r="H6121" s="90"/>
    </row>
    <row r="6122" spans="7:8">
      <c r="G6122" s="87"/>
      <c r="H6122" s="90"/>
    </row>
    <row r="6123" spans="7:8">
      <c r="G6123" s="87"/>
      <c r="H6123" s="90"/>
    </row>
    <row r="6124" spans="7:8">
      <c r="G6124" s="87"/>
      <c r="H6124" s="90"/>
    </row>
    <row r="6125" spans="7:8">
      <c r="G6125" s="87"/>
      <c r="H6125" s="90"/>
    </row>
    <row r="6126" spans="7:8">
      <c r="G6126" s="87"/>
      <c r="H6126" s="90"/>
    </row>
    <row r="6127" spans="7:8">
      <c r="G6127" s="87"/>
      <c r="H6127" s="90"/>
    </row>
    <row r="6128" spans="7:8">
      <c r="G6128" s="87"/>
      <c r="H6128" s="90"/>
    </row>
    <row r="6129" spans="7:8">
      <c r="G6129" s="87"/>
      <c r="H6129" s="90"/>
    </row>
    <row r="6130" spans="7:8">
      <c r="G6130" s="87"/>
      <c r="H6130" s="90"/>
    </row>
    <row r="6131" spans="7:8">
      <c r="G6131" s="87"/>
      <c r="H6131" s="90"/>
    </row>
    <row r="6132" spans="7:8">
      <c r="G6132" s="87"/>
      <c r="H6132" s="90"/>
    </row>
    <row r="6133" spans="7:8">
      <c r="G6133" s="87"/>
      <c r="H6133" s="90"/>
    </row>
    <row r="6134" spans="7:8">
      <c r="G6134" s="87"/>
      <c r="H6134" s="90"/>
    </row>
    <row r="6135" spans="7:8">
      <c r="G6135" s="87"/>
      <c r="H6135" s="90"/>
    </row>
    <row r="6136" spans="7:8">
      <c r="G6136" s="87"/>
      <c r="H6136" s="90"/>
    </row>
    <row r="6137" spans="7:8">
      <c r="G6137" s="87"/>
      <c r="H6137" s="90"/>
    </row>
    <row r="6138" spans="7:8">
      <c r="G6138" s="87"/>
      <c r="H6138" s="90"/>
    </row>
    <row r="6139" spans="7:8">
      <c r="G6139" s="87"/>
      <c r="H6139" s="90"/>
    </row>
    <row r="6140" spans="7:8">
      <c r="G6140" s="87"/>
      <c r="H6140" s="90"/>
    </row>
    <row r="6141" spans="7:8">
      <c r="G6141" s="87"/>
      <c r="H6141" s="90"/>
    </row>
    <row r="6142" spans="7:8">
      <c r="G6142" s="87"/>
      <c r="H6142" s="90"/>
    </row>
    <row r="6143" spans="7:8">
      <c r="G6143" s="87"/>
      <c r="H6143" s="90"/>
    </row>
    <row r="6144" spans="7:8">
      <c r="G6144" s="87"/>
      <c r="H6144" s="90"/>
    </row>
    <row r="6145" spans="7:8">
      <c r="G6145" s="87"/>
      <c r="H6145" s="90"/>
    </row>
    <row r="6146" spans="7:8">
      <c r="G6146" s="87"/>
      <c r="H6146" s="90"/>
    </row>
    <row r="6147" spans="7:8">
      <c r="G6147" s="87"/>
      <c r="H6147" s="90"/>
    </row>
    <row r="6148" spans="7:8">
      <c r="G6148" s="87"/>
      <c r="H6148" s="90"/>
    </row>
    <row r="6149" spans="7:8">
      <c r="G6149" s="87"/>
      <c r="H6149" s="90"/>
    </row>
    <row r="6150" spans="7:8">
      <c r="G6150" s="87"/>
      <c r="H6150" s="90"/>
    </row>
    <row r="6151" spans="7:8">
      <c r="G6151" s="87"/>
      <c r="H6151" s="90"/>
    </row>
    <row r="6152" spans="7:8">
      <c r="G6152" s="87"/>
      <c r="H6152" s="90"/>
    </row>
    <row r="6153" spans="7:8">
      <c r="G6153" s="87"/>
      <c r="H6153" s="90"/>
    </row>
    <row r="6154" spans="7:8">
      <c r="G6154" s="87"/>
      <c r="H6154" s="90"/>
    </row>
    <row r="6155" spans="7:8">
      <c r="G6155" s="87"/>
      <c r="H6155" s="90"/>
    </row>
    <row r="6156" spans="7:8">
      <c r="G6156" s="87"/>
      <c r="H6156" s="90"/>
    </row>
    <row r="6157" spans="7:8">
      <c r="G6157" s="87"/>
      <c r="H6157" s="90"/>
    </row>
    <row r="6158" spans="7:8">
      <c r="G6158" s="87"/>
      <c r="H6158" s="90"/>
    </row>
    <row r="6159" spans="7:8">
      <c r="G6159" s="87"/>
      <c r="H6159" s="90"/>
    </row>
    <row r="6160" spans="7:8">
      <c r="G6160" s="87"/>
      <c r="H6160" s="90"/>
    </row>
    <row r="6161" spans="7:8">
      <c r="G6161" s="87"/>
      <c r="H6161" s="90"/>
    </row>
    <row r="6162" spans="7:8">
      <c r="G6162" s="87"/>
      <c r="H6162" s="90"/>
    </row>
    <row r="6163" spans="7:8">
      <c r="G6163" s="87"/>
      <c r="H6163" s="90"/>
    </row>
    <row r="6164" spans="7:8">
      <c r="G6164" s="87"/>
      <c r="H6164" s="90"/>
    </row>
    <row r="6165" spans="7:8">
      <c r="G6165" s="87"/>
      <c r="H6165" s="90"/>
    </row>
    <row r="6166" spans="7:8">
      <c r="G6166" s="87"/>
      <c r="H6166" s="90"/>
    </row>
    <row r="6167" spans="7:8">
      <c r="G6167" s="87"/>
      <c r="H6167" s="90"/>
    </row>
    <row r="6168" spans="7:8">
      <c r="G6168" s="87"/>
      <c r="H6168" s="90"/>
    </row>
    <row r="6169" spans="7:8">
      <c r="G6169" s="87"/>
      <c r="H6169" s="90"/>
    </row>
    <row r="6170" spans="7:8">
      <c r="G6170" s="87"/>
      <c r="H6170" s="90"/>
    </row>
    <row r="6171" spans="7:8">
      <c r="G6171" s="87"/>
      <c r="H6171" s="90"/>
    </row>
    <row r="6172" spans="7:8">
      <c r="G6172" s="87"/>
      <c r="H6172" s="90"/>
    </row>
    <row r="6173" spans="7:8">
      <c r="G6173" s="87"/>
      <c r="H6173" s="90"/>
    </row>
    <row r="6174" spans="7:8">
      <c r="G6174" s="87"/>
      <c r="H6174" s="90"/>
    </row>
    <row r="6175" spans="7:8">
      <c r="G6175" s="87"/>
      <c r="H6175" s="90"/>
    </row>
    <row r="6176" spans="7:8">
      <c r="G6176" s="87"/>
      <c r="H6176" s="90"/>
    </row>
    <row r="6177" spans="7:8">
      <c r="G6177" s="87"/>
      <c r="H6177" s="90"/>
    </row>
    <row r="6178" spans="7:8">
      <c r="G6178" s="87"/>
      <c r="H6178" s="90"/>
    </row>
    <row r="6179" spans="7:8">
      <c r="G6179" s="87"/>
      <c r="H6179" s="90"/>
    </row>
    <row r="6180" spans="7:8">
      <c r="G6180" s="87"/>
      <c r="H6180" s="90"/>
    </row>
    <row r="6181" spans="7:8">
      <c r="G6181" s="87"/>
      <c r="H6181" s="90"/>
    </row>
    <row r="6182" spans="7:8">
      <c r="G6182" s="87"/>
      <c r="H6182" s="90"/>
    </row>
    <row r="6183" spans="7:8">
      <c r="G6183" s="87"/>
      <c r="H6183" s="90"/>
    </row>
    <row r="6184" spans="7:8">
      <c r="G6184" s="87"/>
      <c r="H6184" s="90"/>
    </row>
    <row r="6185" spans="7:8">
      <c r="G6185" s="87"/>
      <c r="H6185" s="90"/>
    </row>
    <row r="6186" spans="7:8">
      <c r="G6186" s="87"/>
      <c r="H6186" s="90"/>
    </row>
    <row r="6187" spans="7:8">
      <c r="G6187" s="87"/>
      <c r="H6187" s="90"/>
    </row>
    <row r="6188" spans="7:8">
      <c r="G6188" s="87"/>
      <c r="H6188" s="90"/>
    </row>
    <row r="6189" spans="7:8">
      <c r="G6189" s="87"/>
      <c r="H6189" s="90"/>
    </row>
    <row r="6190" spans="7:8">
      <c r="G6190" s="87"/>
      <c r="H6190" s="90"/>
    </row>
    <row r="6191" spans="7:8">
      <c r="G6191" s="87"/>
      <c r="H6191" s="90"/>
    </row>
    <row r="6192" spans="7:8">
      <c r="G6192" s="87"/>
      <c r="H6192" s="90"/>
    </row>
    <row r="6193" spans="7:8">
      <c r="G6193" s="87"/>
      <c r="H6193" s="90"/>
    </row>
    <row r="6194" spans="7:8">
      <c r="G6194" s="87"/>
      <c r="H6194" s="90"/>
    </row>
    <row r="6195" spans="7:8">
      <c r="G6195" s="87"/>
      <c r="H6195" s="90"/>
    </row>
    <row r="6196" spans="7:8">
      <c r="G6196" s="87"/>
      <c r="H6196" s="90"/>
    </row>
    <row r="6197" spans="7:8">
      <c r="G6197" s="87"/>
      <c r="H6197" s="90"/>
    </row>
    <row r="6198" spans="7:8">
      <c r="G6198" s="87"/>
      <c r="H6198" s="90"/>
    </row>
    <row r="6199" spans="7:8">
      <c r="G6199" s="87"/>
      <c r="H6199" s="90"/>
    </row>
    <row r="6200" spans="7:8">
      <c r="G6200" s="87"/>
      <c r="H6200" s="90"/>
    </row>
    <row r="6201" spans="7:8">
      <c r="G6201" s="87"/>
      <c r="H6201" s="90"/>
    </row>
    <row r="6202" spans="7:8">
      <c r="G6202" s="87"/>
      <c r="H6202" s="90"/>
    </row>
    <row r="6203" spans="7:8">
      <c r="G6203" s="87"/>
      <c r="H6203" s="90"/>
    </row>
    <row r="6204" spans="7:8">
      <c r="G6204" s="87"/>
      <c r="H6204" s="90"/>
    </row>
    <row r="6205" spans="7:8">
      <c r="G6205" s="87"/>
      <c r="H6205" s="90"/>
    </row>
    <row r="6206" spans="7:8">
      <c r="G6206" s="87"/>
      <c r="H6206" s="90"/>
    </row>
    <row r="6207" spans="7:8">
      <c r="G6207" s="87"/>
      <c r="H6207" s="90"/>
    </row>
    <row r="6208" spans="7:8">
      <c r="G6208" s="87"/>
      <c r="H6208" s="90"/>
    </row>
    <row r="6209" spans="7:8">
      <c r="G6209" s="87"/>
      <c r="H6209" s="90"/>
    </row>
    <row r="6210" spans="7:8">
      <c r="G6210" s="87"/>
      <c r="H6210" s="90"/>
    </row>
    <row r="6211" spans="7:8">
      <c r="G6211" s="87"/>
      <c r="H6211" s="90"/>
    </row>
    <row r="6212" spans="7:8">
      <c r="G6212" s="87"/>
      <c r="H6212" s="90"/>
    </row>
    <row r="6213" spans="7:8">
      <c r="G6213" s="87"/>
      <c r="H6213" s="90"/>
    </row>
    <row r="6214" spans="7:8">
      <c r="G6214" s="87"/>
      <c r="H6214" s="90"/>
    </row>
    <row r="6215" spans="7:8">
      <c r="G6215" s="87"/>
      <c r="H6215" s="90"/>
    </row>
    <row r="6216" spans="7:8">
      <c r="G6216" s="87"/>
      <c r="H6216" s="90"/>
    </row>
    <row r="6217" spans="7:8">
      <c r="G6217" s="87"/>
      <c r="H6217" s="90"/>
    </row>
    <row r="6218" spans="7:8">
      <c r="G6218" s="87"/>
      <c r="H6218" s="90"/>
    </row>
    <row r="6219" spans="7:8">
      <c r="G6219" s="87"/>
      <c r="H6219" s="90"/>
    </row>
    <row r="6220" spans="7:8">
      <c r="G6220" s="87"/>
      <c r="H6220" s="90"/>
    </row>
    <row r="6221" spans="7:8">
      <c r="G6221" s="87"/>
      <c r="H6221" s="90"/>
    </row>
    <row r="6222" spans="7:8">
      <c r="G6222" s="87"/>
      <c r="H6222" s="90"/>
    </row>
    <row r="6223" spans="7:8">
      <c r="G6223" s="87"/>
      <c r="H6223" s="90"/>
    </row>
    <row r="6224" spans="7:8">
      <c r="G6224" s="87"/>
      <c r="H6224" s="90"/>
    </row>
    <row r="6225" spans="7:8">
      <c r="G6225" s="87"/>
      <c r="H6225" s="90"/>
    </row>
    <row r="6226" spans="7:8">
      <c r="G6226" s="87"/>
      <c r="H6226" s="90"/>
    </row>
    <row r="6227" spans="7:8">
      <c r="G6227" s="87"/>
      <c r="H6227" s="90"/>
    </row>
    <row r="6228" spans="7:8">
      <c r="G6228" s="87"/>
      <c r="H6228" s="90"/>
    </row>
    <row r="6229" spans="7:8">
      <c r="G6229" s="87"/>
      <c r="H6229" s="90"/>
    </row>
    <row r="6230" spans="7:8">
      <c r="G6230" s="87"/>
      <c r="H6230" s="90"/>
    </row>
    <row r="6231" spans="7:8">
      <c r="G6231" s="87"/>
      <c r="H6231" s="90"/>
    </row>
    <row r="6232" spans="7:8">
      <c r="G6232" s="87"/>
      <c r="H6232" s="90"/>
    </row>
    <row r="6233" spans="7:8">
      <c r="G6233" s="87"/>
      <c r="H6233" s="90"/>
    </row>
    <row r="6234" spans="7:8">
      <c r="G6234" s="87"/>
      <c r="H6234" s="90"/>
    </row>
    <row r="6235" spans="7:8">
      <c r="G6235" s="87"/>
      <c r="H6235" s="90"/>
    </row>
    <row r="6236" spans="7:8">
      <c r="G6236" s="87"/>
      <c r="H6236" s="90"/>
    </row>
    <row r="6237" spans="7:8">
      <c r="G6237" s="87"/>
      <c r="H6237" s="90"/>
    </row>
    <row r="6238" spans="7:8">
      <c r="G6238" s="87"/>
      <c r="H6238" s="90"/>
    </row>
    <row r="6239" spans="7:8">
      <c r="G6239" s="87"/>
      <c r="H6239" s="90"/>
    </row>
    <row r="6240" spans="7:8">
      <c r="G6240" s="87"/>
      <c r="H6240" s="90"/>
    </row>
    <row r="6241" spans="7:8">
      <c r="G6241" s="87"/>
      <c r="H6241" s="90"/>
    </row>
    <row r="6242" spans="7:8">
      <c r="G6242" s="87"/>
      <c r="H6242" s="90"/>
    </row>
    <row r="6243" spans="7:8">
      <c r="G6243" s="87"/>
      <c r="H6243" s="90"/>
    </row>
    <row r="6244" spans="7:8">
      <c r="G6244" s="87"/>
      <c r="H6244" s="90"/>
    </row>
    <row r="6245" spans="7:8">
      <c r="G6245" s="87"/>
      <c r="H6245" s="90"/>
    </row>
    <row r="6246" spans="7:8">
      <c r="G6246" s="87"/>
      <c r="H6246" s="90"/>
    </row>
    <row r="6247" spans="7:8">
      <c r="G6247" s="87"/>
      <c r="H6247" s="90"/>
    </row>
    <row r="6248" spans="7:8">
      <c r="G6248" s="87"/>
      <c r="H6248" s="90"/>
    </row>
    <row r="6249" spans="7:8">
      <c r="G6249" s="87"/>
      <c r="H6249" s="90"/>
    </row>
    <row r="6250" spans="7:8">
      <c r="G6250" s="87"/>
      <c r="H6250" s="90"/>
    </row>
    <row r="6251" spans="7:8">
      <c r="G6251" s="87"/>
      <c r="H6251" s="90"/>
    </row>
    <row r="6252" spans="7:8">
      <c r="G6252" s="87"/>
      <c r="H6252" s="90"/>
    </row>
    <row r="6253" spans="7:8">
      <c r="G6253" s="87"/>
      <c r="H6253" s="90"/>
    </row>
    <row r="6254" spans="7:8">
      <c r="G6254" s="87"/>
      <c r="H6254" s="90"/>
    </row>
    <row r="6255" spans="7:8">
      <c r="G6255" s="87"/>
      <c r="H6255" s="90"/>
    </row>
    <row r="6256" spans="7:8">
      <c r="G6256" s="87"/>
      <c r="H6256" s="90"/>
    </row>
    <row r="6257" spans="7:8">
      <c r="G6257" s="87"/>
      <c r="H6257" s="90"/>
    </row>
    <row r="6258" spans="7:8">
      <c r="G6258" s="87"/>
      <c r="H6258" s="90"/>
    </row>
    <row r="6259" spans="7:8">
      <c r="G6259" s="87"/>
      <c r="H6259" s="90"/>
    </row>
    <row r="6260" spans="7:8">
      <c r="G6260" s="87"/>
      <c r="H6260" s="90"/>
    </row>
    <row r="6261" spans="7:8">
      <c r="G6261" s="87"/>
      <c r="H6261" s="90"/>
    </row>
    <row r="6262" spans="7:8">
      <c r="G6262" s="87"/>
      <c r="H6262" s="90"/>
    </row>
    <row r="6263" spans="7:8">
      <c r="G6263" s="87"/>
      <c r="H6263" s="90"/>
    </row>
    <row r="6264" spans="7:8">
      <c r="G6264" s="87"/>
      <c r="H6264" s="90"/>
    </row>
    <row r="6265" spans="7:8">
      <c r="G6265" s="87"/>
      <c r="H6265" s="90"/>
    </row>
    <row r="6266" spans="7:8">
      <c r="G6266" s="87"/>
      <c r="H6266" s="90"/>
    </row>
    <row r="6267" spans="7:8">
      <c r="G6267" s="87"/>
      <c r="H6267" s="90"/>
    </row>
    <row r="6268" spans="7:8">
      <c r="G6268" s="87"/>
      <c r="H6268" s="90"/>
    </row>
    <row r="6269" spans="7:8">
      <c r="G6269" s="87"/>
      <c r="H6269" s="90"/>
    </row>
    <row r="6270" spans="7:8">
      <c r="G6270" s="87"/>
      <c r="H6270" s="90"/>
    </row>
    <row r="6271" spans="7:8">
      <c r="G6271" s="87"/>
      <c r="H6271" s="90"/>
    </row>
    <row r="6272" spans="7:8">
      <c r="G6272" s="87"/>
      <c r="H6272" s="90"/>
    </row>
    <row r="6273" spans="7:8">
      <c r="G6273" s="87"/>
      <c r="H6273" s="90"/>
    </row>
    <row r="6274" spans="7:8">
      <c r="G6274" s="87"/>
      <c r="H6274" s="90"/>
    </row>
    <row r="6275" spans="7:8">
      <c r="G6275" s="87"/>
      <c r="H6275" s="90"/>
    </row>
    <row r="6276" spans="7:8">
      <c r="G6276" s="87"/>
      <c r="H6276" s="90"/>
    </row>
    <row r="6277" spans="7:8">
      <c r="G6277" s="87"/>
      <c r="H6277" s="90"/>
    </row>
    <row r="6278" spans="7:8">
      <c r="G6278" s="87"/>
      <c r="H6278" s="90"/>
    </row>
    <row r="6279" spans="7:8">
      <c r="G6279" s="87"/>
      <c r="H6279" s="90"/>
    </row>
    <row r="6280" spans="7:8">
      <c r="G6280" s="87"/>
      <c r="H6280" s="90"/>
    </row>
    <row r="6281" spans="7:8">
      <c r="G6281" s="87"/>
      <c r="H6281" s="90"/>
    </row>
    <row r="6282" spans="7:8">
      <c r="G6282" s="87"/>
      <c r="H6282" s="90"/>
    </row>
    <row r="6283" spans="7:8">
      <c r="G6283" s="87"/>
      <c r="H6283" s="90"/>
    </row>
    <row r="6284" spans="7:8">
      <c r="G6284" s="87"/>
      <c r="H6284" s="90"/>
    </row>
    <row r="6285" spans="7:8">
      <c r="G6285" s="87"/>
      <c r="H6285" s="90"/>
    </row>
    <row r="6286" spans="7:8">
      <c r="G6286" s="87"/>
      <c r="H6286" s="90"/>
    </row>
    <row r="6287" spans="7:8">
      <c r="G6287" s="87"/>
      <c r="H6287" s="90"/>
    </row>
    <row r="6288" spans="7:8">
      <c r="G6288" s="87"/>
      <c r="H6288" s="90"/>
    </row>
    <row r="6289" spans="7:8">
      <c r="G6289" s="87"/>
      <c r="H6289" s="90"/>
    </row>
    <row r="6290" spans="7:8">
      <c r="G6290" s="87"/>
      <c r="H6290" s="90"/>
    </row>
    <row r="6291" spans="7:8">
      <c r="G6291" s="87"/>
      <c r="H6291" s="90"/>
    </row>
    <row r="6292" spans="7:8">
      <c r="G6292" s="87"/>
      <c r="H6292" s="90"/>
    </row>
    <row r="6293" spans="7:8">
      <c r="G6293" s="87"/>
      <c r="H6293" s="90"/>
    </row>
    <row r="6294" spans="7:8">
      <c r="G6294" s="87"/>
      <c r="H6294" s="90"/>
    </row>
    <row r="6295" spans="7:8">
      <c r="G6295" s="87"/>
      <c r="H6295" s="90"/>
    </row>
    <row r="6296" spans="7:8">
      <c r="G6296" s="87"/>
      <c r="H6296" s="90"/>
    </row>
    <row r="6297" spans="7:8">
      <c r="G6297" s="87"/>
      <c r="H6297" s="90"/>
    </row>
    <row r="6298" spans="7:8">
      <c r="G6298" s="87"/>
      <c r="H6298" s="90"/>
    </row>
    <row r="6299" spans="7:8">
      <c r="G6299" s="87"/>
      <c r="H6299" s="90"/>
    </row>
    <row r="6300" spans="7:8">
      <c r="G6300" s="87"/>
      <c r="H6300" s="90"/>
    </row>
    <row r="6301" spans="7:8">
      <c r="G6301" s="87"/>
      <c r="H6301" s="90"/>
    </row>
    <row r="6302" spans="7:8">
      <c r="G6302" s="87"/>
      <c r="H6302" s="90"/>
    </row>
    <row r="6303" spans="7:8">
      <c r="G6303" s="87"/>
      <c r="H6303" s="90"/>
    </row>
    <row r="6304" spans="7:8">
      <c r="G6304" s="87"/>
      <c r="H6304" s="90"/>
    </row>
    <row r="6305" spans="7:8">
      <c r="G6305" s="87"/>
      <c r="H6305" s="90"/>
    </row>
    <row r="6306" spans="7:8">
      <c r="G6306" s="87"/>
      <c r="H6306" s="90"/>
    </row>
    <row r="6307" spans="7:8">
      <c r="G6307" s="87"/>
      <c r="H6307" s="90"/>
    </row>
    <row r="6308" spans="7:8">
      <c r="G6308" s="87"/>
      <c r="H6308" s="90"/>
    </row>
    <row r="6309" spans="7:8">
      <c r="G6309" s="87"/>
      <c r="H6309" s="90"/>
    </row>
    <row r="6310" spans="7:8">
      <c r="G6310" s="87"/>
      <c r="H6310" s="90"/>
    </row>
    <row r="6311" spans="7:8">
      <c r="G6311" s="87"/>
      <c r="H6311" s="90"/>
    </row>
    <row r="6312" spans="7:8">
      <c r="G6312" s="87"/>
      <c r="H6312" s="90"/>
    </row>
    <row r="6313" spans="7:8">
      <c r="G6313" s="87"/>
      <c r="H6313" s="90"/>
    </row>
    <row r="6314" spans="7:8">
      <c r="G6314" s="87"/>
      <c r="H6314" s="90"/>
    </row>
    <row r="6315" spans="7:8">
      <c r="G6315" s="87"/>
      <c r="H6315" s="90"/>
    </row>
    <row r="6316" spans="7:8">
      <c r="G6316" s="87"/>
      <c r="H6316" s="90"/>
    </row>
    <row r="6317" spans="7:8">
      <c r="G6317" s="87"/>
      <c r="H6317" s="90"/>
    </row>
    <row r="6318" spans="7:8">
      <c r="G6318" s="87"/>
      <c r="H6318" s="90"/>
    </row>
    <row r="6319" spans="7:8">
      <c r="G6319" s="87"/>
      <c r="H6319" s="90"/>
    </row>
    <row r="6320" spans="7:8">
      <c r="G6320" s="87"/>
      <c r="H6320" s="90"/>
    </row>
    <row r="6321" spans="7:8">
      <c r="G6321" s="87"/>
      <c r="H6321" s="90"/>
    </row>
    <row r="6322" spans="7:8">
      <c r="G6322" s="87"/>
      <c r="H6322" s="90"/>
    </row>
    <row r="6323" spans="7:8">
      <c r="G6323" s="87"/>
      <c r="H6323" s="90"/>
    </row>
    <row r="6324" spans="7:8">
      <c r="G6324" s="87"/>
      <c r="H6324" s="90"/>
    </row>
    <row r="6325" spans="7:8">
      <c r="G6325" s="87"/>
      <c r="H6325" s="90"/>
    </row>
    <row r="6326" spans="7:8">
      <c r="G6326" s="87"/>
      <c r="H6326" s="90"/>
    </row>
    <row r="6327" spans="7:8">
      <c r="G6327" s="87"/>
      <c r="H6327" s="90"/>
    </row>
    <row r="6328" spans="7:8">
      <c r="G6328" s="87"/>
      <c r="H6328" s="90"/>
    </row>
    <row r="6329" spans="7:8">
      <c r="G6329" s="87"/>
      <c r="H6329" s="90"/>
    </row>
    <row r="6330" spans="7:8">
      <c r="G6330" s="87"/>
      <c r="H6330" s="90"/>
    </row>
    <row r="6331" spans="7:8">
      <c r="G6331" s="87"/>
      <c r="H6331" s="90"/>
    </row>
    <row r="6332" spans="7:8">
      <c r="G6332" s="87"/>
      <c r="H6332" s="90"/>
    </row>
    <row r="6333" spans="7:8">
      <c r="G6333" s="87"/>
      <c r="H6333" s="90"/>
    </row>
    <row r="6334" spans="7:8">
      <c r="G6334" s="87"/>
      <c r="H6334" s="90"/>
    </row>
    <row r="6335" spans="7:8">
      <c r="G6335" s="87"/>
      <c r="H6335" s="90"/>
    </row>
    <row r="6336" spans="7:8">
      <c r="G6336" s="87"/>
      <c r="H6336" s="90"/>
    </row>
    <row r="6337" spans="7:8">
      <c r="G6337" s="87"/>
      <c r="H6337" s="90"/>
    </row>
    <row r="6338" spans="7:8">
      <c r="G6338" s="87"/>
      <c r="H6338" s="90"/>
    </row>
    <row r="6339" spans="7:8">
      <c r="G6339" s="87"/>
      <c r="H6339" s="90"/>
    </row>
    <row r="6340" spans="7:8">
      <c r="G6340" s="87"/>
      <c r="H6340" s="90"/>
    </row>
    <row r="6341" spans="7:8">
      <c r="G6341" s="87"/>
      <c r="H6341" s="90"/>
    </row>
    <row r="6342" spans="7:8">
      <c r="G6342" s="87"/>
      <c r="H6342" s="90"/>
    </row>
    <row r="6343" spans="7:8">
      <c r="G6343" s="87"/>
      <c r="H6343" s="90"/>
    </row>
    <row r="6344" spans="7:8">
      <c r="G6344" s="87"/>
      <c r="H6344" s="90"/>
    </row>
    <row r="6345" spans="7:8">
      <c r="G6345" s="87"/>
      <c r="H6345" s="90"/>
    </row>
    <row r="6346" spans="7:8">
      <c r="G6346" s="87"/>
      <c r="H6346" s="90"/>
    </row>
    <row r="6347" spans="7:8">
      <c r="G6347" s="87"/>
      <c r="H6347" s="90"/>
    </row>
    <row r="6348" spans="7:8">
      <c r="G6348" s="87"/>
      <c r="H6348" s="90"/>
    </row>
    <row r="6349" spans="7:8">
      <c r="G6349" s="87"/>
      <c r="H6349" s="90"/>
    </row>
    <row r="6350" spans="7:8">
      <c r="G6350" s="87"/>
      <c r="H6350" s="90"/>
    </row>
    <row r="6351" spans="7:8">
      <c r="G6351" s="87"/>
      <c r="H6351" s="90"/>
    </row>
    <row r="6352" spans="7:8">
      <c r="G6352" s="87"/>
      <c r="H6352" s="90"/>
    </row>
    <row r="6353" spans="7:8">
      <c r="G6353" s="87"/>
      <c r="H6353" s="90"/>
    </row>
    <row r="6354" spans="7:8">
      <c r="G6354" s="87"/>
      <c r="H6354" s="90"/>
    </row>
    <row r="6355" spans="7:8">
      <c r="G6355" s="87"/>
      <c r="H6355" s="90"/>
    </row>
    <row r="6356" spans="7:8">
      <c r="G6356" s="87"/>
      <c r="H6356" s="90"/>
    </row>
    <row r="6357" spans="7:8">
      <c r="G6357" s="87"/>
      <c r="H6357" s="90"/>
    </row>
    <row r="6358" spans="7:8">
      <c r="G6358" s="87"/>
      <c r="H6358" s="90"/>
    </row>
    <row r="6359" spans="7:8">
      <c r="G6359" s="87"/>
      <c r="H6359" s="90"/>
    </row>
    <row r="6360" spans="7:8">
      <c r="G6360" s="87"/>
      <c r="H6360" s="90"/>
    </row>
    <row r="6361" spans="7:8">
      <c r="G6361" s="87"/>
      <c r="H6361" s="90"/>
    </row>
    <row r="6362" spans="7:8">
      <c r="G6362" s="87"/>
      <c r="H6362" s="90"/>
    </row>
    <row r="6363" spans="7:8">
      <c r="G6363" s="87"/>
      <c r="H6363" s="90"/>
    </row>
    <row r="6364" spans="7:8">
      <c r="G6364" s="87"/>
      <c r="H6364" s="90"/>
    </row>
    <row r="6365" spans="7:8">
      <c r="G6365" s="87"/>
      <c r="H6365" s="90"/>
    </row>
    <row r="6366" spans="7:8">
      <c r="G6366" s="87"/>
      <c r="H6366" s="90"/>
    </row>
    <row r="6367" spans="7:8">
      <c r="G6367" s="87"/>
      <c r="H6367" s="90"/>
    </row>
    <row r="6368" spans="7:8">
      <c r="G6368" s="87"/>
      <c r="H6368" s="90"/>
    </row>
    <row r="6369" spans="7:8">
      <c r="G6369" s="87"/>
      <c r="H6369" s="90"/>
    </row>
    <row r="6370" spans="7:8">
      <c r="G6370" s="87"/>
      <c r="H6370" s="90"/>
    </row>
    <row r="6371" spans="7:8">
      <c r="G6371" s="87"/>
      <c r="H6371" s="90"/>
    </row>
    <row r="6372" spans="7:8">
      <c r="G6372" s="87"/>
      <c r="H6372" s="90"/>
    </row>
    <row r="6373" spans="7:8">
      <c r="G6373" s="87"/>
      <c r="H6373" s="90"/>
    </row>
    <row r="6374" spans="7:8">
      <c r="G6374" s="87"/>
      <c r="H6374" s="90"/>
    </row>
    <row r="6375" spans="7:8">
      <c r="G6375" s="87"/>
      <c r="H6375" s="90"/>
    </row>
    <row r="6376" spans="7:8">
      <c r="G6376" s="87"/>
      <c r="H6376" s="90"/>
    </row>
    <row r="6377" spans="7:8">
      <c r="G6377" s="87"/>
      <c r="H6377" s="90"/>
    </row>
    <row r="6378" spans="7:8">
      <c r="G6378" s="87"/>
      <c r="H6378" s="90"/>
    </row>
    <row r="6379" spans="7:8">
      <c r="G6379" s="87"/>
      <c r="H6379" s="90"/>
    </row>
    <row r="6380" spans="7:8">
      <c r="G6380" s="87"/>
      <c r="H6380" s="90"/>
    </row>
    <row r="6381" spans="7:8">
      <c r="G6381" s="87"/>
      <c r="H6381" s="90"/>
    </row>
    <row r="6382" spans="7:8">
      <c r="G6382" s="87"/>
      <c r="H6382" s="90"/>
    </row>
    <row r="6383" spans="7:8">
      <c r="G6383" s="87"/>
      <c r="H6383" s="90"/>
    </row>
    <row r="6384" spans="7:8">
      <c r="G6384" s="87"/>
      <c r="H6384" s="90"/>
    </row>
    <row r="6385" spans="7:8">
      <c r="G6385" s="87"/>
      <c r="H6385" s="90"/>
    </row>
    <row r="6386" spans="7:8">
      <c r="G6386" s="87"/>
      <c r="H6386" s="90"/>
    </row>
    <row r="6387" spans="7:8">
      <c r="G6387" s="87"/>
      <c r="H6387" s="90"/>
    </row>
    <row r="6388" spans="7:8">
      <c r="G6388" s="87"/>
      <c r="H6388" s="90"/>
    </row>
    <row r="6389" spans="7:8">
      <c r="G6389" s="87"/>
      <c r="H6389" s="90"/>
    </row>
    <row r="6390" spans="7:8">
      <c r="G6390" s="87"/>
      <c r="H6390" s="90"/>
    </row>
    <row r="6391" spans="7:8">
      <c r="G6391" s="87"/>
      <c r="H6391" s="90"/>
    </row>
    <row r="6392" spans="7:8">
      <c r="G6392" s="87"/>
      <c r="H6392" s="90"/>
    </row>
    <row r="6393" spans="7:8">
      <c r="G6393" s="87"/>
      <c r="H6393" s="90"/>
    </row>
    <row r="6394" spans="7:8">
      <c r="G6394" s="87"/>
      <c r="H6394" s="90"/>
    </row>
    <row r="6395" spans="7:8">
      <c r="G6395" s="87"/>
      <c r="H6395" s="90"/>
    </row>
    <row r="6396" spans="7:8">
      <c r="G6396" s="87"/>
      <c r="H6396" s="90"/>
    </row>
    <row r="6397" spans="7:8">
      <c r="G6397" s="87"/>
      <c r="H6397" s="90"/>
    </row>
    <row r="6398" spans="7:8">
      <c r="G6398" s="87"/>
      <c r="H6398" s="90"/>
    </row>
    <row r="6399" spans="7:8">
      <c r="G6399" s="87"/>
      <c r="H6399" s="90"/>
    </row>
    <row r="6400" spans="7:8">
      <c r="G6400" s="87"/>
      <c r="H6400" s="90"/>
    </row>
    <row r="6401" spans="7:8">
      <c r="G6401" s="87"/>
      <c r="H6401" s="90"/>
    </row>
    <row r="6402" spans="7:8">
      <c r="G6402" s="87"/>
      <c r="H6402" s="90"/>
    </row>
    <row r="6403" spans="7:8">
      <c r="G6403" s="87"/>
      <c r="H6403" s="90"/>
    </row>
    <row r="6404" spans="7:8">
      <c r="G6404" s="87"/>
      <c r="H6404" s="90"/>
    </row>
    <row r="6405" spans="7:8">
      <c r="G6405" s="87"/>
      <c r="H6405" s="90"/>
    </row>
    <row r="6406" spans="7:8">
      <c r="G6406" s="87"/>
      <c r="H6406" s="90"/>
    </row>
    <row r="6407" spans="7:8">
      <c r="G6407" s="87"/>
      <c r="H6407" s="90"/>
    </row>
    <row r="6408" spans="7:8">
      <c r="G6408" s="87"/>
      <c r="H6408" s="90"/>
    </row>
    <row r="6409" spans="7:8">
      <c r="G6409" s="87"/>
      <c r="H6409" s="90"/>
    </row>
    <row r="6410" spans="7:8">
      <c r="G6410" s="87"/>
      <c r="H6410" s="90"/>
    </row>
    <row r="6411" spans="7:8">
      <c r="G6411" s="87"/>
      <c r="H6411" s="90"/>
    </row>
    <row r="6412" spans="7:8">
      <c r="G6412" s="87"/>
      <c r="H6412" s="90"/>
    </row>
    <row r="6413" spans="7:8">
      <c r="G6413" s="87"/>
      <c r="H6413" s="90"/>
    </row>
    <row r="6414" spans="7:8">
      <c r="G6414" s="87"/>
      <c r="H6414" s="90"/>
    </row>
    <row r="6415" spans="7:8">
      <c r="G6415" s="87"/>
      <c r="H6415" s="90"/>
    </row>
    <row r="6416" spans="7:8">
      <c r="G6416" s="87"/>
      <c r="H6416" s="90"/>
    </row>
    <row r="6417" spans="7:8">
      <c r="G6417" s="87"/>
      <c r="H6417" s="90"/>
    </row>
    <row r="6418" spans="7:8">
      <c r="G6418" s="87"/>
      <c r="H6418" s="90"/>
    </row>
    <row r="6419" spans="7:8">
      <c r="G6419" s="87"/>
      <c r="H6419" s="90"/>
    </row>
    <row r="6420" spans="7:8">
      <c r="G6420" s="87"/>
      <c r="H6420" s="90"/>
    </row>
    <row r="6421" spans="7:8">
      <c r="G6421" s="87"/>
      <c r="H6421" s="90"/>
    </row>
    <row r="6422" spans="7:8">
      <c r="G6422" s="87"/>
      <c r="H6422" s="90"/>
    </row>
    <row r="6423" spans="7:8">
      <c r="G6423" s="87"/>
      <c r="H6423" s="90"/>
    </row>
    <row r="6424" spans="7:8">
      <c r="G6424" s="87"/>
      <c r="H6424" s="90"/>
    </row>
    <row r="6425" spans="7:8">
      <c r="G6425" s="87"/>
      <c r="H6425" s="90"/>
    </row>
    <row r="6426" spans="7:8">
      <c r="G6426" s="87"/>
      <c r="H6426" s="90"/>
    </row>
    <row r="6427" spans="7:8">
      <c r="G6427" s="87"/>
      <c r="H6427" s="90"/>
    </row>
    <row r="6428" spans="7:8">
      <c r="G6428" s="87"/>
      <c r="H6428" s="90"/>
    </row>
    <row r="6429" spans="7:8">
      <c r="G6429" s="87"/>
      <c r="H6429" s="90"/>
    </row>
    <row r="6430" spans="7:8">
      <c r="G6430" s="87"/>
      <c r="H6430" s="90"/>
    </row>
    <row r="6431" spans="7:8">
      <c r="G6431" s="87"/>
      <c r="H6431" s="90"/>
    </row>
    <row r="6432" spans="7:8">
      <c r="G6432" s="87"/>
      <c r="H6432" s="90"/>
    </row>
    <row r="6433" spans="7:8">
      <c r="G6433" s="87"/>
      <c r="H6433" s="90"/>
    </row>
    <row r="6434" spans="7:8">
      <c r="G6434" s="87"/>
      <c r="H6434" s="90"/>
    </row>
    <row r="6435" spans="7:8">
      <c r="G6435" s="87"/>
      <c r="H6435" s="90"/>
    </row>
    <row r="6436" spans="7:8">
      <c r="G6436" s="87"/>
      <c r="H6436" s="90"/>
    </row>
    <row r="6437" spans="7:8">
      <c r="G6437" s="87"/>
      <c r="H6437" s="90"/>
    </row>
    <row r="6438" spans="7:8">
      <c r="G6438" s="87"/>
      <c r="H6438" s="90"/>
    </row>
    <row r="6439" spans="7:8">
      <c r="G6439" s="87"/>
      <c r="H6439" s="90"/>
    </row>
    <row r="6440" spans="7:8">
      <c r="G6440" s="87"/>
      <c r="H6440" s="90"/>
    </row>
    <row r="6441" spans="7:8">
      <c r="G6441" s="87"/>
      <c r="H6441" s="90"/>
    </row>
    <row r="6442" spans="7:8">
      <c r="G6442" s="87"/>
      <c r="H6442" s="90"/>
    </row>
    <row r="6443" spans="7:8">
      <c r="G6443" s="87"/>
      <c r="H6443" s="90"/>
    </row>
    <row r="6444" spans="7:8">
      <c r="G6444" s="87"/>
      <c r="H6444" s="90"/>
    </row>
    <row r="6445" spans="7:8">
      <c r="G6445" s="87"/>
      <c r="H6445" s="90"/>
    </row>
    <row r="6446" spans="7:8">
      <c r="G6446" s="87"/>
      <c r="H6446" s="90"/>
    </row>
    <row r="6447" spans="7:8">
      <c r="G6447" s="87"/>
      <c r="H6447" s="90"/>
    </row>
    <row r="6448" spans="7:8">
      <c r="G6448" s="87"/>
      <c r="H6448" s="90"/>
    </row>
    <row r="6449" spans="7:8">
      <c r="G6449" s="87"/>
      <c r="H6449" s="90"/>
    </row>
    <row r="6450" spans="7:8">
      <c r="G6450" s="87"/>
      <c r="H6450" s="90"/>
    </row>
    <row r="6451" spans="7:8">
      <c r="G6451" s="87"/>
      <c r="H6451" s="90"/>
    </row>
    <row r="6452" spans="7:8">
      <c r="G6452" s="87"/>
      <c r="H6452" s="90"/>
    </row>
    <row r="6453" spans="7:8">
      <c r="G6453" s="87"/>
      <c r="H6453" s="90"/>
    </row>
    <row r="6454" spans="7:8">
      <c r="G6454" s="87"/>
      <c r="H6454" s="90"/>
    </row>
    <row r="6455" spans="7:8">
      <c r="G6455" s="87"/>
      <c r="H6455" s="90"/>
    </row>
    <row r="6456" spans="7:8">
      <c r="G6456" s="87"/>
      <c r="H6456" s="90"/>
    </row>
    <row r="6457" spans="7:8">
      <c r="G6457" s="87"/>
      <c r="H6457" s="90"/>
    </row>
    <row r="6458" spans="7:8">
      <c r="G6458" s="87"/>
      <c r="H6458" s="90"/>
    </row>
    <row r="6459" spans="7:8">
      <c r="G6459" s="87"/>
      <c r="H6459" s="90"/>
    </row>
    <row r="6460" spans="7:8">
      <c r="G6460" s="87"/>
      <c r="H6460" s="90"/>
    </row>
    <row r="6461" spans="7:8">
      <c r="G6461" s="87"/>
      <c r="H6461" s="90"/>
    </row>
    <row r="6462" spans="7:8">
      <c r="G6462" s="87"/>
      <c r="H6462" s="90"/>
    </row>
    <row r="6463" spans="7:8">
      <c r="G6463" s="87"/>
      <c r="H6463" s="90"/>
    </row>
    <row r="6464" spans="7:8">
      <c r="G6464" s="87"/>
      <c r="H6464" s="90"/>
    </row>
    <row r="6465" spans="7:8">
      <c r="G6465" s="87"/>
      <c r="H6465" s="90"/>
    </row>
    <row r="6466" spans="7:8">
      <c r="G6466" s="87"/>
      <c r="H6466" s="90"/>
    </row>
    <row r="6467" spans="7:8">
      <c r="G6467" s="87"/>
      <c r="H6467" s="90"/>
    </row>
    <row r="6468" spans="7:8">
      <c r="G6468" s="87"/>
      <c r="H6468" s="90"/>
    </row>
    <row r="6469" spans="7:8">
      <c r="G6469" s="87"/>
      <c r="H6469" s="90"/>
    </row>
    <row r="6470" spans="7:8">
      <c r="G6470" s="87"/>
      <c r="H6470" s="90"/>
    </row>
    <row r="6471" spans="7:8">
      <c r="G6471" s="87"/>
      <c r="H6471" s="90"/>
    </row>
    <row r="6472" spans="7:8">
      <c r="G6472" s="87"/>
      <c r="H6472" s="90"/>
    </row>
    <row r="6473" spans="7:8">
      <c r="G6473" s="87"/>
      <c r="H6473" s="90"/>
    </row>
    <row r="6474" spans="7:8">
      <c r="G6474" s="87"/>
      <c r="H6474" s="90"/>
    </row>
    <row r="6475" spans="7:8">
      <c r="G6475" s="87"/>
      <c r="H6475" s="90"/>
    </row>
    <row r="6476" spans="7:8">
      <c r="G6476" s="87"/>
      <c r="H6476" s="90"/>
    </row>
    <row r="6477" spans="7:8">
      <c r="G6477" s="87"/>
      <c r="H6477" s="90"/>
    </row>
    <row r="6478" spans="7:8">
      <c r="G6478" s="87"/>
      <c r="H6478" s="90"/>
    </row>
    <row r="6479" spans="7:8">
      <c r="G6479" s="87"/>
      <c r="H6479" s="90"/>
    </row>
    <row r="6480" spans="7:8">
      <c r="G6480" s="87"/>
      <c r="H6480" s="90"/>
    </row>
    <row r="6481" spans="7:8">
      <c r="G6481" s="87"/>
      <c r="H6481" s="90"/>
    </row>
    <row r="6482" spans="7:8">
      <c r="G6482" s="87"/>
      <c r="H6482" s="90"/>
    </row>
    <row r="6483" spans="7:8">
      <c r="G6483" s="87"/>
      <c r="H6483" s="90"/>
    </row>
    <row r="6484" spans="7:8">
      <c r="G6484" s="87"/>
      <c r="H6484" s="90"/>
    </row>
    <row r="6485" spans="7:8">
      <c r="G6485" s="87"/>
      <c r="H6485" s="90"/>
    </row>
    <row r="6486" spans="7:8">
      <c r="G6486" s="87"/>
      <c r="H6486" s="90"/>
    </row>
    <row r="6487" spans="7:8">
      <c r="G6487" s="87"/>
      <c r="H6487" s="90"/>
    </row>
    <row r="6488" spans="7:8">
      <c r="G6488" s="87"/>
      <c r="H6488" s="90"/>
    </row>
    <row r="6489" spans="7:8">
      <c r="G6489" s="87"/>
      <c r="H6489" s="90"/>
    </row>
    <row r="6490" spans="7:8">
      <c r="G6490" s="87"/>
      <c r="H6490" s="90"/>
    </row>
    <row r="6491" spans="7:8">
      <c r="G6491" s="87"/>
      <c r="H6491" s="90"/>
    </row>
    <row r="6492" spans="7:8">
      <c r="G6492" s="87"/>
      <c r="H6492" s="90"/>
    </row>
    <row r="6493" spans="7:8">
      <c r="G6493" s="87"/>
      <c r="H6493" s="90"/>
    </row>
    <row r="6494" spans="7:8">
      <c r="G6494" s="87"/>
      <c r="H6494" s="90"/>
    </row>
    <row r="6495" spans="7:8">
      <c r="G6495" s="87"/>
      <c r="H6495" s="90"/>
    </row>
    <row r="6496" spans="7:8">
      <c r="G6496" s="87"/>
      <c r="H6496" s="90"/>
    </row>
    <row r="6497" spans="7:8">
      <c r="G6497" s="87"/>
      <c r="H6497" s="90"/>
    </row>
    <row r="6498" spans="7:8">
      <c r="G6498" s="87"/>
      <c r="H6498" s="90"/>
    </row>
    <row r="6499" spans="7:8">
      <c r="G6499" s="87"/>
      <c r="H6499" s="90"/>
    </row>
    <row r="6500" spans="7:8">
      <c r="G6500" s="87"/>
      <c r="H6500" s="90"/>
    </row>
    <row r="6501" spans="7:8">
      <c r="G6501" s="87"/>
      <c r="H6501" s="90"/>
    </row>
    <row r="6502" spans="7:8">
      <c r="G6502" s="87"/>
      <c r="H6502" s="90"/>
    </row>
    <row r="6503" spans="7:8">
      <c r="G6503" s="87"/>
      <c r="H6503" s="90"/>
    </row>
    <row r="6504" spans="7:8">
      <c r="G6504" s="87"/>
      <c r="H6504" s="90"/>
    </row>
    <row r="6505" spans="7:8">
      <c r="G6505" s="87"/>
      <c r="H6505" s="90"/>
    </row>
    <row r="6506" spans="7:8">
      <c r="G6506" s="87"/>
      <c r="H6506" s="90"/>
    </row>
    <row r="6507" spans="7:8">
      <c r="G6507" s="87"/>
      <c r="H6507" s="90"/>
    </row>
    <row r="6508" spans="7:8">
      <c r="G6508" s="87"/>
      <c r="H6508" s="90"/>
    </row>
    <row r="6509" spans="7:8">
      <c r="G6509" s="87"/>
      <c r="H6509" s="90"/>
    </row>
    <row r="6510" spans="7:8">
      <c r="G6510" s="87"/>
      <c r="H6510" s="90"/>
    </row>
    <row r="6511" spans="7:8">
      <c r="G6511" s="87"/>
      <c r="H6511" s="90"/>
    </row>
    <row r="6512" spans="7:8">
      <c r="G6512" s="87"/>
      <c r="H6512" s="90"/>
    </row>
    <row r="6513" spans="7:8">
      <c r="G6513" s="87"/>
      <c r="H6513" s="90"/>
    </row>
    <row r="6514" spans="7:8">
      <c r="G6514" s="87"/>
      <c r="H6514" s="90"/>
    </row>
    <row r="6515" spans="7:8">
      <c r="G6515" s="87"/>
      <c r="H6515" s="90"/>
    </row>
    <row r="6516" spans="7:8">
      <c r="G6516" s="87"/>
      <c r="H6516" s="90"/>
    </row>
    <row r="6517" spans="7:8">
      <c r="G6517" s="87"/>
      <c r="H6517" s="90"/>
    </row>
    <row r="6518" spans="7:8">
      <c r="G6518" s="87"/>
      <c r="H6518" s="90"/>
    </row>
    <row r="6519" spans="7:8">
      <c r="G6519" s="87"/>
      <c r="H6519" s="90"/>
    </row>
    <row r="6520" spans="7:8">
      <c r="G6520" s="87"/>
      <c r="H6520" s="90"/>
    </row>
    <row r="6521" spans="7:8">
      <c r="G6521" s="87"/>
      <c r="H6521" s="90"/>
    </row>
    <row r="6522" spans="7:8">
      <c r="G6522" s="87"/>
      <c r="H6522" s="90"/>
    </row>
    <row r="6523" spans="7:8">
      <c r="G6523" s="87"/>
      <c r="H6523" s="90"/>
    </row>
    <row r="6524" spans="7:8">
      <c r="G6524" s="87"/>
      <c r="H6524" s="90"/>
    </row>
    <row r="6525" spans="7:8">
      <c r="G6525" s="87"/>
      <c r="H6525" s="90"/>
    </row>
    <row r="6526" spans="7:8">
      <c r="G6526" s="87"/>
      <c r="H6526" s="90"/>
    </row>
    <row r="6527" spans="7:8">
      <c r="G6527" s="87"/>
      <c r="H6527" s="90"/>
    </row>
    <row r="6528" spans="7:8">
      <c r="G6528" s="87"/>
      <c r="H6528" s="90"/>
    </row>
    <row r="6529" spans="7:8">
      <c r="G6529" s="87"/>
      <c r="H6529" s="90"/>
    </row>
    <row r="6530" spans="7:8">
      <c r="G6530" s="87"/>
      <c r="H6530" s="90"/>
    </row>
    <row r="6531" spans="7:8">
      <c r="G6531" s="87"/>
      <c r="H6531" s="90"/>
    </row>
    <row r="6532" spans="7:8">
      <c r="G6532" s="87"/>
      <c r="H6532" s="90"/>
    </row>
    <row r="6533" spans="7:8">
      <c r="G6533" s="87"/>
      <c r="H6533" s="90"/>
    </row>
    <row r="6534" spans="7:8">
      <c r="G6534" s="87"/>
      <c r="H6534" s="90"/>
    </row>
    <row r="6535" spans="7:8">
      <c r="G6535" s="87"/>
      <c r="H6535" s="90"/>
    </row>
    <row r="6536" spans="7:8">
      <c r="G6536" s="87"/>
      <c r="H6536" s="90"/>
    </row>
    <row r="6537" spans="7:8">
      <c r="G6537" s="87"/>
      <c r="H6537" s="90"/>
    </row>
    <row r="6538" spans="7:8">
      <c r="G6538" s="87"/>
      <c r="H6538" s="90"/>
    </row>
    <row r="6539" spans="7:8">
      <c r="G6539" s="87"/>
      <c r="H6539" s="90"/>
    </row>
    <row r="6540" spans="7:8">
      <c r="G6540" s="87"/>
      <c r="H6540" s="90"/>
    </row>
    <row r="6541" spans="7:8">
      <c r="G6541" s="87"/>
      <c r="H6541" s="90"/>
    </row>
    <row r="6542" spans="7:8">
      <c r="G6542" s="87"/>
      <c r="H6542" s="90"/>
    </row>
    <row r="6543" spans="7:8">
      <c r="G6543" s="87"/>
      <c r="H6543" s="90"/>
    </row>
    <row r="6544" spans="7:8">
      <c r="G6544" s="87"/>
      <c r="H6544" s="90"/>
    </row>
    <row r="6545" spans="7:8">
      <c r="G6545" s="87"/>
      <c r="H6545" s="90"/>
    </row>
    <row r="6546" spans="7:8">
      <c r="G6546" s="87"/>
      <c r="H6546" s="90"/>
    </row>
    <row r="6547" spans="7:8">
      <c r="G6547" s="87"/>
      <c r="H6547" s="90"/>
    </row>
    <row r="6548" spans="7:8">
      <c r="G6548" s="87"/>
      <c r="H6548" s="90"/>
    </row>
    <row r="6549" spans="7:8">
      <c r="G6549" s="87"/>
      <c r="H6549" s="90"/>
    </row>
    <row r="6550" spans="7:8">
      <c r="G6550" s="87"/>
      <c r="H6550" s="90"/>
    </row>
    <row r="6551" spans="7:8">
      <c r="G6551" s="87"/>
      <c r="H6551" s="90"/>
    </row>
    <row r="6552" spans="7:8">
      <c r="G6552" s="87"/>
      <c r="H6552" s="90"/>
    </row>
    <row r="6553" spans="7:8">
      <c r="G6553" s="87"/>
      <c r="H6553" s="90"/>
    </row>
    <row r="6554" spans="7:8">
      <c r="G6554" s="87"/>
      <c r="H6554" s="90"/>
    </row>
    <row r="6555" spans="7:8">
      <c r="G6555" s="87"/>
      <c r="H6555" s="90"/>
    </row>
    <row r="6556" spans="7:8">
      <c r="G6556" s="87"/>
      <c r="H6556" s="90"/>
    </row>
    <row r="6557" spans="7:8">
      <c r="G6557" s="87"/>
      <c r="H6557" s="90"/>
    </row>
    <row r="6558" spans="7:8">
      <c r="G6558" s="87"/>
      <c r="H6558" s="90"/>
    </row>
    <row r="6559" spans="7:8">
      <c r="G6559" s="87"/>
      <c r="H6559" s="90"/>
    </row>
    <row r="6560" spans="7:8">
      <c r="G6560" s="87"/>
      <c r="H6560" s="90"/>
    </row>
    <row r="6561" spans="7:8">
      <c r="G6561" s="87"/>
      <c r="H6561" s="90"/>
    </row>
    <row r="6562" spans="7:8">
      <c r="G6562" s="87"/>
      <c r="H6562" s="90"/>
    </row>
    <row r="6563" spans="7:8">
      <c r="G6563" s="87"/>
      <c r="H6563" s="90"/>
    </row>
    <row r="6564" spans="7:8">
      <c r="G6564" s="87"/>
      <c r="H6564" s="90"/>
    </row>
    <row r="6565" spans="7:8">
      <c r="G6565" s="87"/>
      <c r="H6565" s="90"/>
    </row>
    <row r="6566" spans="7:8">
      <c r="G6566" s="87"/>
      <c r="H6566" s="90"/>
    </row>
    <row r="6567" spans="7:8">
      <c r="G6567" s="87"/>
      <c r="H6567" s="90"/>
    </row>
    <row r="6568" spans="7:8">
      <c r="G6568" s="87"/>
      <c r="H6568" s="90"/>
    </row>
    <row r="6569" spans="7:8">
      <c r="G6569" s="87"/>
      <c r="H6569" s="90"/>
    </row>
    <row r="6570" spans="7:8">
      <c r="G6570" s="87"/>
      <c r="H6570" s="90"/>
    </row>
    <row r="6571" spans="7:8">
      <c r="G6571" s="87"/>
      <c r="H6571" s="90"/>
    </row>
    <row r="6572" spans="7:8">
      <c r="G6572" s="87"/>
      <c r="H6572" s="90"/>
    </row>
    <row r="6573" spans="7:8">
      <c r="G6573" s="87"/>
      <c r="H6573" s="90"/>
    </row>
    <row r="6574" spans="7:8">
      <c r="G6574" s="87"/>
      <c r="H6574" s="90"/>
    </row>
    <row r="6575" spans="7:8">
      <c r="G6575" s="87"/>
      <c r="H6575" s="90"/>
    </row>
    <row r="6576" spans="7:8">
      <c r="G6576" s="87"/>
      <c r="H6576" s="90"/>
    </row>
    <row r="6577" spans="7:8">
      <c r="G6577" s="87"/>
      <c r="H6577" s="90"/>
    </row>
    <row r="6578" spans="7:8">
      <c r="G6578" s="87"/>
      <c r="H6578" s="90"/>
    </row>
    <row r="6579" spans="7:8">
      <c r="G6579" s="87"/>
      <c r="H6579" s="90"/>
    </row>
    <row r="6580" spans="7:8">
      <c r="G6580" s="87"/>
      <c r="H6580" s="90"/>
    </row>
    <row r="6581" spans="7:8">
      <c r="G6581" s="87"/>
      <c r="H6581" s="90"/>
    </row>
    <row r="6582" spans="7:8">
      <c r="G6582" s="87"/>
      <c r="H6582" s="90"/>
    </row>
    <row r="6583" spans="7:8">
      <c r="G6583" s="87"/>
      <c r="H6583" s="90"/>
    </row>
    <row r="6584" spans="7:8">
      <c r="G6584" s="87"/>
      <c r="H6584" s="90"/>
    </row>
    <row r="6585" spans="7:8">
      <c r="G6585" s="87"/>
      <c r="H6585" s="90"/>
    </row>
    <row r="6586" spans="7:8">
      <c r="G6586" s="87"/>
      <c r="H6586" s="90"/>
    </row>
    <row r="6587" spans="7:8">
      <c r="G6587" s="87"/>
      <c r="H6587" s="90"/>
    </row>
    <row r="6588" spans="7:8">
      <c r="G6588" s="87"/>
      <c r="H6588" s="90"/>
    </row>
    <row r="6589" spans="7:8">
      <c r="G6589" s="87"/>
      <c r="H6589" s="90"/>
    </row>
    <row r="6590" spans="7:8">
      <c r="G6590" s="87"/>
      <c r="H6590" s="90"/>
    </row>
    <row r="6591" spans="7:8">
      <c r="G6591" s="87"/>
      <c r="H6591" s="90"/>
    </row>
    <row r="6592" spans="7:8">
      <c r="G6592" s="87"/>
      <c r="H6592" s="90"/>
    </row>
    <row r="6593" spans="7:8">
      <c r="G6593" s="87"/>
      <c r="H6593" s="90"/>
    </row>
    <row r="6594" spans="7:8">
      <c r="G6594" s="87"/>
      <c r="H6594" s="90"/>
    </row>
    <row r="6595" spans="7:8">
      <c r="G6595" s="87"/>
      <c r="H6595" s="90"/>
    </row>
    <row r="6596" spans="7:8">
      <c r="G6596" s="87"/>
      <c r="H6596" s="90"/>
    </row>
    <row r="6597" spans="7:8">
      <c r="G6597" s="87"/>
      <c r="H6597" s="90"/>
    </row>
    <row r="6598" spans="7:8">
      <c r="G6598" s="87"/>
      <c r="H6598" s="90"/>
    </row>
    <row r="6599" spans="7:8">
      <c r="G6599" s="87"/>
      <c r="H6599" s="90"/>
    </row>
    <row r="6600" spans="7:8">
      <c r="G6600" s="87"/>
      <c r="H6600" s="90"/>
    </row>
    <row r="6601" spans="7:8">
      <c r="G6601" s="87"/>
      <c r="H6601" s="90"/>
    </row>
    <row r="6602" spans="7:8">
      <c r="G6602" s="87"/>
      <c r="H6602" s="90"/>
    </row>
    <row r="6603" spans="7:8">
      <c r="G6603" s="87"/>
      <c r="H6603" s="90"/>
    </row>
    <row r="6604" spans="7:8">
      <c r="G6604" s="87"/>
      <c r="H6604" s="90"/>
    </row>
    <row r="6605" spans="7:8">
      <c r="G6605" s="87"/>
      <c r="H6605" s="90"/>
    </row>
    <row r="6606" spans="7:8">
      <c r="G6606" s="87"/>
      <c r="H6606" s="90"/>
    </row>
    <row r="6607" spans="7:8">
      <c r="G6607" s="87"/>
      <c r="H6607" s="90"/>
    </row>
    <row r="6608" spans="7:8">
      <c r="G6608" s="87"/>
      <c r="H6608" s="90"/>
    </row>
    <row r="6609" spans="7:8">
      <c r="G6609" s="87"/>
      <c r="H6609" s="90"/>
    </row>
    <row r="6610" spans="7:8">
      <c r="G6610" s="87"/>
      <c r="H6610" s="90"/>
    </row>
    <row r="6611" spans="7:8">
      <c r="G6611" s="87"/>
      <c r="H6611" s="90"/>
    </row>
    <row r="6612" spans="7:8">
      <c r="G6612" s="87"/>
      <c r="H6612" s="90"/>
    </row>
    <row r="6613" spans="7:8">
      <c r="G6613" s="87"/>
      <c r="H6613" s="90"/>
    </row>
    <row r="6614" spans="7:8">
      <c r="G6614" s="87"/>
      <c r="H6614" s="90"/>
    </row>
    <row r="6615" spans="7:8">
      <c r="G6615" s="87"/>
      <c r="H6615" s="90"/>
    </row>
    <row r="6616" spans="7:8">
      <c r="G6616" s="87"/>
      <c r="H6616" s="90"/>
    </row>
    <row r="6617" spans="7:8">
      <c r="G6617" s="87"/>
      <c r="H6617" s="90"/>
    </row>
    <row r="6618" spans="7:8">
      <c r="G6618" s="87"/>
      <c r="H6618" s="90"/>
    </row>
    <row r="6619" spans="7:8">
      <c r="G6619" s="87"/>
      <c r="H6619" s="90"/>
    </row>
    <row r="6620" spans="7:8">
      <c r="G6620" s="87"/>
      <c r="H6620" s="90"/>
    </row>
    <row r="6621" spans="7:8">
      <c r="G6621" s="87"/>
      <c r="H6621" s="90"/>
    </row>
    <row r="6622" spans="7:8">
      <c r="G6622" s="87"/>
      <c r="H6622" s="90"/>
    </row>
    <row r="6623" spans="7:8">
      <c r="G6623" s="87"/>
      <c r="H6623" s="90"/>
    </row>
    <row r="6624" spans="7:8">
      <c r="G6624" s="87"/>
      <c r="H6624" s="90"/>
    </row>
    <row r="6625" spans="7:8">
      <c r="G6625" s="87"/>
      <c r="H6625" s="90"/>
    </row>
    <row r="6626" spans="7:8">
      <c r="G6626" s="87"/>
      <c r="H6626" s="90"/>
    </row>
    <row r="6627" spans="7:8">
      <c r="G6627" s="87"/>
      <c r="H6627" s="90"/>
    </row>
    <row r="6628" spans="7:8">
      <c r="G6628" s="87"/>
      <c r="H6628" s="90"/>
    </row>
    <row r="6629" spans="7:8">
      <c r="G6629" s="87"/>
      <c r="H6629" s="90"/>
    </row>
    <row r="6630" spans="7:8">
      <c r="G6630" s="87"/>
      <c r="H6630" s="90"/>
    </row>
    <row r="6631" spans="7:8">
      <c r="G6631" s="87"/>
      <c r="H6631" s="90"/>
    </row>
    <row r="6632" spans="7:8">
      <c r="G6632" s="87"/>
      <c r="H6632" s="90"/>
    </row>
    <row r="6633" spans="7:8">
      <c r="G6633" s="87"/>
      <c r="H6633" s="90"/>
    </row>
    <row r="6634" spans="7:8">
      <c r="G6634" s="87"/>
      <c r="H6634" s="90"/>
    </row>
    <row r="6635" spans="7:8">
      <c r="G6635" s="87"/>
      <c r="H6635" s="90"/>
    </row>
    <row r="6636" spans="7:8">
      <c r="G6636" s="87"/>
      <c r="H6636" s="90"/>
    </row>
    <row r="6637" spans="7:8">
      <c r="G6637" s="87"/>
      <c r="H6637" s="90"/>
    </row>
    <row r="6638" spans="7:8">
      <c r="G6638" s="87"/>
      <c r="H6638" s="90"/>
    </row>
    <row r="6639" spans="7:8">
      <c r="G6639" s="87"/>
      <c r="H6639" s="90"/>
    </row>
    <row r="6640" spans="7:8">
      <c r="G6640" s="87"/>
      <c r="H6640" s="90"/>
    </row>
    <row r="6641" spans="7:8">
      <c r="G6641" s="87"/>
      <c r="H6641" s="90"/>
    </row>
    <row r="6642" spans="7:8">
      <c r="G6642" s="87"/>
      <c r="H6642" s="90"/>
    </row>
    <row r="6643" spans="7:8">
      <c r="G6643" s="87"/>
      <c r="H6643" s="90"/>
    </row>
    <row r="6644" spans="7:8">
      <c r="G6644" s="87"/>
      <c r="H6644" s="90"/>
    </row>
    <row r="6645" spans="7:8">
      <c r="G6645" s="87"/>
      <c r="H6645" s="90"/>
    </row>
    <row r="6646" spans="7:8">
      <c r="G6646" s="87"/>
      <c r="H6646" s="90"/>
    </row>
    <row r="6647" spans="7:8">
      <c r="G6647" s="87"/>
      <c r="H6647" s="90"/>
    </row>
    <row r="6648" spans="7:8">
      <c r="G6648" s="87"/>
      <c r="H6648" s="90"/>
    </row>
    <row r="6649" spans="7:8">
      <c r="G6649" s="87"/>
      <c r="H6649" s="90"/>
    </row>
    <row r="6650" spans="7:8">
      <c r="G6650" s="87"/>
      <c r="H6650" s="90"/>
    </row>
    <row r="6651" spans="7:8">
      <c r="G6651" s="87"/>
      <c r="H6651" s="90"/>
    </row>
    <row r="6652" spans="7:8">
      <c r="G6652" s="87"/>
      <c r="H6652" s="90"/>
    </row>
    <row r="6653" spans="7:8">
      <c r="G6653" s="87"/>
      <c r="H6653" s="90"/>
    </row>
    <row r="6654" spans="7:8">
      <c r="G6654" s="87"/>
      <c r="H6654" s="90"/>
    </row>
    <row r="6655" spans="7:8">
      <c r="G6655" s="87"/>
      <c r="H6655" s="90"/>
    </row>
    <row r="6656" spans="7:8">
      <c r="G6656" s="87"/>
      <c r="H6656" s="90"/>
    </row>
    <row r="6657" spans="7:8">
      <c r="G6657" s="87"/>
      <c r="H6657" s="90"/>
    </row>
    <row r="6658" spans="7:8">
      <c r="G6658" s="87"/>
      <c r="H6658" s="90"/>
    </row>
    <row r="6659" spans="7:8">
      <c r="G6659" s="87"/>
      <c r="H6659" s="90"/>
    </row>
    <row r="6660" spans="7:8">
      <c r="G6660" s="87"/>
      <c r="H6660" s="90"/>
    </row>
    <row r="6661" spans="7:8">
      <c r="G6661" s="87"/>
      <c r="H6661" s="90"/>
    </row>
    <row r="6662" spans="7:8">
      <c r="G6662" s="87"/>
      <c r="H6662" s="90"/>
    </row>
    <row r="6663" spans="7:8">
      <c r="G6663" s="87"/>
      <c r="H6663" s="90"/>
    </row>
    <row r="6664" spans="7:8">
      <c r="G6664" s="87"/>
      <c r="H6664" s="90"/>
    </row>
    <row r="6665" spans="7:8">
      <c r="G6665" s="87"/>
      <c r="H6665" s="90"/>
    </row>
    <row r="6666" spans="7:8">
      <c r="G6666" s="87"/>
      <c r="H6666" s="90"/>
    </row>
    <row r="6667" spans="7:8">
      <c r="G6667" s="87"/>
      <c r="H6667" s="90"/>
    </row>
    <row r="6668" spans="7:8">
      <c r="G6668" s="87"/>
      <c r="H6668" s="90"/>
    </row>
    <row r="6669" spans="7:8">
      <c r="G6669" s="87"/>
      <c r="H6669" s="90"/>
    </row>
    <row r="6670" spans="7:8">
      <c r="G6670" s="87"/>
      <c r="H6670" s="90"/>
    </row>
    <row r="6671" spans="7:8">
      <c r="G6671" s="87"/>
      <c r="H6671" s="90"/>
    </row>
    <row r="6672" spans="7:8">
      <c r="G6672" s="87"/>
      <c r="H6672" s="90"/>
    </row>
    <row r="6673" spans="7:8">
      <c r="G6673" s="87"/>
      <c r="H6673" s="90"/>
    </row>
    <row r="6674" spans="7:8">
      <c r="G6674" s="87"/>
      <c r="H6674" s="90"/>
    </row>
    <row r="6675" spans="7:8">
      <c r="G6675" s="87"/>
      <c r="H6675" s="90"/>
    </row>
    <row r="6676" spans="7:8">
      <c r="G6676" s="87"/>
      <c r="H6676" s="90"/>
    </row>
    <row r="6677" spans="7:8">
      <c r="G6677" s="87"/>
      <c r="H6677" s="90"/>
    </row>
    <row r="6678" spans="7:8">
      <c r="G6678" s="87"/>
      <c r="H6678" s="90"/>
    </row>
    <row r="6679" spans="7:8">
      <c r="G6679" s="87"/>
      <c r="H6679" s="90"/>
    </row>
    <row r="6680" spans="7:8">
      <c r="G6680" s="87"/>
      <c r="H6680" s="90"/>
    </row>
    <row r="6681" spans="7:8">
      <c r="G6681" s="87"/>
      <c r="H6681" s="90"/>
    </row>
    <row r="6682" spans="7:8">
      <c r="G6682" s="87"/>
      <c r="H6682" s="90"/>
    </row>
    <row r="6683" spans="7:8">
      <c r="G6683" s="87"/>
      <c r="H6683" s="90"/>
    </row>
    <row r="6684" spans="7:8">
      <c r="G6684" s="87"/>
      <c r="H6684" s="90"/>
    </row>
    <row r="6685" spans="7:8">
      <c r="G6685" s="87"/>
      <c r="H6685" s="90"/>
    </row>
    <row r="6686" spans="7:8">
      <c r="G6686" s="87"/>
      <c r="H6686" s="90"/>
    </row>
    <row r="6687" spans="7:8">
      <c r="G6687" s="87"/>
      <c r="H6687" s="90"/>
    </row>
    <row r="6688" spans="7:8">
      <c r="G6688" s="87"/>
      <c r="H6688" s="90"/>
    </row>
    <row r="6689" spans="7:8">
      <c r="G6689" s="87"/>
      <c r="H6689" s="90"/>
    </row>
    <row r="6690" spans="7:8">
      <c r="G6690" s="87"/>
      <c r="H6690" s="90"/>
    </row>
    <row r="6691" spans="7:8">
      <c r="G6691" s="87"/>
      <c r="H6691" s="90"/>
    </row>
    <row r="6692" spans="7:8">
      <c r="G6692" s="87"/>
      <c r="H6692" s="90"/>
    </row>
    <row r="6693" spans="7:8">
      <c r="G6693" s="87"/>
      <c r="H6693" s="90"/>
    </row>
    <row r="6694" spans="7:8">
      <c r="G6694" s="87"/>
      <c r="H6694" s="90"/>
    </row>
    <row r="6695" spans="7:8">
      <c r="G6695" s="87"/>
      <c r="H6695" s="90"/>
    </row>
    <row r="6696" spans="7:8">
      <c r="G6696" s="87"/>
      <c r="H6696" s="90"/>
    </row>
    <row r="6697" spans="7:8">
      <c r="G6697" s="87"/>
      <c r="H6697" s="90"/>
    </row>
    <row r="6698" spans="7:8">
      <c r="G6698" s="87"/>
      <c r="H6698" s="90"/>
    </row>
    <row r="6699" spans="7:8">
      <c r="G6699" s="87"/>
      <c r="H6699" s="90"/>
    </row>
    <row r="6700" spans="7:8">
      <c r="G6700" s="87"/>
      <c r="H6700" s="90"/>
    </row>
    <row r="6701" spans="7:8">
      <c r="G6701" s="87"/>
      <c r="H6701" s="90"/>
    </row>
    <row r="6702" spans="7:8">
      <c r="G6702" s="87"/>
      <c r="H6702" s="90"/>
    </row>
    <row r="6703" spans="7:8">
      <c r="G6703" s="87"/>
      <c r="H6703" s="90"/>
    </row>
    <row r="6704" spans="7:8">
      <c r="G6704" s="87"/>
      <c r="H6704" s="90"/>
    </row>
    <row r="6705" spans="7:8">
      <c r="G6705" s="87"/>
      <c r="H6705" s="90"/>
    </row>
    <row r="6706" spans="7:8">
      <c r="G6706" s="87"/>
      <c r="H6706" s="90"/>
    </row>
    <row r="6707" spans="7:8">
      <c r="G6707" s="87"/>
      <c r="H6707" s="90"/>
    </row>
    <row r="6708" spans="7:8">
      <c r="G6708" s="87"/>
      <c r="H6708" s="90"/>
    </row>
    <row r="6709" spans="7:8">
      <c r="G6709" s="87"/>
      <c r="H6709" s="90"/>
    </row>
    <row r="6710" spans="7:8">
      <c r="G6710" s="87"/>
      <c r="H6710" s="90"/>
    </row>
    <row r="6711" spans="7:8">
      <c r="G6711" s="87"/>
      <c r="H6711" s="90"/>
    </row>
    <row r="6712" spans="7:8">
      <c r="G6712" s="87"/>
      <c r="H6712" s="90"/>
    </row>
    <row r="6713" spans="7:8">
      <c r="G6713" s="87"/>
      <c r="H6713" s="90"/>
    </row>
    <row r="6714" spans="7:8">
      <c r="G6714" s="87"/>
      <c r="H6714" s="90"/>
    </row>
    <row r="6715" spans="7:8">
      <c r="G6715" s="87"/>
      <c r="H6715" s="90"/>
    </row>
    <row r="6716" spans="7:8">
      <c r="G6716" s="87"/>
      <c r="H6716" s="90"/>
    </row>
    <row r="6717" spans="7:8">
      <c r="G6717" s="87"/>
      <c r="H6717" s="90"/>
    </row>
    <row r="6718" spans="7:8">
      <c r="G6718" s="87"/>
      <c r="H6718" s="90"/>
    </row>
    <row r="6719" spans="7:8">
      <c r="G6719" s="87"/>
      <c r="H6719" s="90"/>
    </row>
    <row r="6720" spans="7:8">
      <c r="G6720" s="87"/>
      <c r="H6720" s="90"/>
    </row>
    <row r="6721" spans="7:8">
      <c r="G6721" s="87"/>
      <c r="H6721" s="90"/>
    </row>
    <row r="6722" spans="7:8">
      <c r="G6722" s="87"/>
      <c r="H6722" s="90"/>
    </row>
    <row r="6723" spans="7:8">
      <c r="G6723" s="87"/>
      <c r="H6723" s="90"/>
    </row>
    <row r="6724" spans="7:8">
      <c r="G6724" s="87"/>
      <c r="H6724" s="90"/>
    </row>
    <row r="6725" spans="7:8">
      <c r="G6725" s="87"/>
      <c r="H6725" s="90"/>
    </row>
    <row r="6726" spans="7:8">
      <c r="G6726" s="87"/>
      <c r="H6726" s="90"/>
    </row>
    <row r="6727" spans="7:8">
      <c r="G6727" s="87"/>
      <c r="H6727" s="90"/>
    </row>
    <row r="6728" spans="7:8">
      <c r="G6728" s="87"/>
      <c r="H6728" s="90"/>
    </row>
    <row r="6729" spans="7:8">
      <c r="G6729" s="87"/>
      <c r="H6729" s="90"/>
    </row>
    <row r="6730" spans="7:8">
      <c r="G6730" s="87"/>
      <c r="H6730" s="90"/>
    </row>
    <row r="6731" spans="7:8">
      <c r="G6731" s="87"/>
      <c r="H6731" s="90"/>
    </row>
    <row r="6732" spans="7:8">
      <c r="G6732" s="87"/>
      <c r="H6732" s="90"/>
    </row>
    <row r="6733" spans="7:8">
      <c r="G6733" s="87"/>
      <c r="H6733" s="90"/>
    </row>
    <row r="6734" spans="7:8">
      <c r="G6734" s="87"/>
      <c r="H6734" s="90"/>
    </row>
    <row r="6735" spans="7:8">
      <c r="G6735" s="87"/>
      <c r="H6735" s="90"/>
    </row>
    <row r="6736" spans="7:8">
      <c r="G6736" s="87"/>
      <c r="H6736" s="90"/>
    </row>
    <row r="6737" spans="7:8">
      <c r="G6737" s="87"/>
      <c r="H6737" s="90"/>
    </row>
    <row r="6738" spans="7:8">
      <c r="G6738" s="87"/>
      <c r="H6738" s="90"/>
    </row>
    <row r="6739" spans="7:8">
      <c r="G6739" s="87"/>
      <c r="H6739" s="90"/>
    </row>
    <row r="6740" spans="7:8">
      <c r="G6740" s="87"/>
      <c r="H6740" s="90"/>
    </row>
    <row r="6741" spans="7:8">
      <c r="G6741" s="87"/>
      <c r="H6741" s="90"/>
    </row>
    <row r="6742" spans="7:8">
      <c r="G6742" s="87"/>
      <c r="H6742" s="90"/>
    </row>
    <row r="6743" spans="7:8">
      <c r="G6743" s="87"/>
      <c r="H6743" s="90"/>
    </row>
    <row r="6744" spans="7:8">
      <c r="G6744" s="87"/>
      <c r="H6744" s="90"/>
    </row>
    <row r="6745" spans="7:8">
      <c r="G6745" s="87"/>
      <c r="H6745" s="90"/>
    </row>
    <row r="6746" spans="7:8">
      <c r="G6746" s="87"/>
      <c r="H6746" s="90"/>
    </row>
    <row r="6747" spans="7:8">
      <c r="G6747" s="87"/>
      <c r="H6747" s="90"/>
    </row>
    <row r="6748" spans="7:8">
      <c r="G6748" s="87"/>
      <c r="H6748" s="90"/>
    </row>
    <row r="6749" spans="7:8">
      <c r="G6749" s="87"/>
      <c r="H6749" s="90"/>
    </row>
    <row r="6750" spans="7:8">
      <c r="G6750" s="87"/>
      <c r="H6750" s="90"/>
    </row>
    <row r="6751" spans="7:8">
      <c r="G6751" s="87"/>
      <c r="H6751" s="90"/>
    </row>
    <row r="6752" spans="7:8">
      <c r="G6752" s="87"/>
      <c r="H6752" s="90"/>
    </row>
    <row r="6753" spans="7:8">
      <c r="G6753" s="87"/>
      <c r="H6753" s="90"/>
    </row>
    <row r="6754" spans="7:8">
      <c r="G6754" s="87"/>
      <c r="H6754" s="90"/>
    </row>
    <row r="6755" spans="7:8">
      <c r="G6755" s="87"/>
      <c r="H6755" s="90"/>
    </row>
    <row r="6756" spans="7:8">
      <c r="G6756" s="87"/>
      <c r="H6756" s="90"/>
    </row>
    <row r="6757" spans="7:8">
      <c r="G6757" s="87"/>
      <c r="H6757" s="90"/>
    </row>
    <row r="6758" spans="7:8">
      <c r="G6758" s="87"/>
      <c r="H6758" s="90"/>
    </row>
    <row r="6759" spans="7:8">
      <c r="G6759" s="87"/>
      <c r="H6759" s="90"/>
    </row>
    <row r="6760" spans="7:8">
      <c r="G6760" s="87"/>
      <c r="H6760" s="90"/>
    </row>
    <row r="6761" spans="7:8">
      <c r="G6761" s="87"/>
      <c r="H6761" s="90"/>
    </row>
    <row r="6762" spans="7:8">
      <c r="G6762" s="87"/>
      <c r="H6762" s="90"/>
    </row>
    <row r="6763" spans="7:8">
      <c r="G6763" s="87"/>
      <c r="H6763" s="90"/>
    </row>
    <row r="6764" spans="7:8">
      <c r="G6764" s="87"/>
      <c r="H6764" s="90"/>
    </row>
    <row r="6765" spans="7:8">
      <c r="G6765" s="87"/>
      <c r="H6765" s="90"/>
    </row>
    <row r="6766" spans="7:8">
      <c r="G6766" s="87"/>
      <c r="H6766" s="90"/>
    </row>
    <row r="6767" spans="7:8">
      <c r="G6767" s="87"/>
      <c r="H6767" s="90"/>
    </row>
    <row r="6768" spans="7:8">
      <c r="G6768" s="87"/>
      <c r="H6768" s="90"/>
    </row>
    <row r="6769" spans="7:8">
      <c r="G6769" s="87"/>
      <c r="H6769" s="90"/>
    </row>
    <row r="6770" spans="7:8">
      <c r="G6770" s="87"/>
      <c r="H6770" s="90"/>
    </row>
    <row r="6771" spans="7:8">
      <c r="G6771" s="87"/>
      <c r="H6771" s="90"/>
    </row>
    <row r="6772" spans="7:8">
      <c r="G6772" s="87"/>
      <c r="H6772" s="90"/>
    </row>
    <row r="6773" spans="7:8">
      <c r="G6773" s="87"/>
      <c r="H6773" s="90"/>
    </row>
    <row r="6774" spans="7:8">
      <c r="G6774" s="87"/>
      <c r="H6774" s="90"/>
    </row>
    <row r="6775" spans="7:8">
      <c r="G6775" s="87"/>
      <c r="H6775" s="90"/>
    </row>
    <row r="6776" spans="7:8">
      <c r="G6776" s="87"/>
      <c r="H6776" s="90"/>
    </row>
    <row r="6777" spans="7:8">
      <c r="G6777" s="87"/>
      <c r="H6777" s="90"/>
    </row>
    <row r="6778" spans="7:8">
      <c r="G6778" s="87"/>
      <c r="H6778" s="90"/>
    </row>
    <row r="6779" spans="7:8">
      <c r="G6779" s="87"/>
      <c r="H6779" s="90"/>
    </row>
    <row r="6780" spans="7:8">
      <c r="G6780" s="87"/>
      <c r="H6780" s="90"/>
    </row>
    <row r="6781" spans="7:8">
      <c r="G6781" s="87"/>
      <c r="H6781" s="90"/>
    </row>
    <row r="6782" spans="7:8">
      <c r="G6782" s="87"/>
      <c r="H6782" s="90"/>
    </row>
    <row r="6783" spans="7:8">
      <c r="G6783" s="87"/>
      <c r="H6783" s="90"/>
    </row>
    <row r="6784" spans="7:8">
      <c r="G6784" s="87"/>
      <c r="H6784" s="90"/>
    </row>
    <row r="6785" spans="7:8">
      <c r="G6785" s="87"/>
      <c r="H6785" s="90"/>
    </row>
    <row r="6786" spans="7:8">
      <c r="G6786" s="87"/>
      <c r="H6786" s="90"/>
    </row>
    <row r="6787" spans="7:8">
      <c r="G6787" s="87"/>
      <c r="H6787" s="90"/>
    </row>
    <row r="6788" spans="7:8">
      <c r="G6788" s="87"/>
      <c r="H6788" s="90"/>
    </row>
    <row r="6789" spans="7:8">
      <c r="G6789" s="87"/>
      <c r="H6789" s="90"/>
    </row>
    <row r="6790" spans="7:8">
      <c r="G6790" s="87"/>
      <c r="H6790" s="90"/>
    </row>
    <row r="6791" spans="7:8">
      <c r="G6791" s="87"/>
      <c r="H6791" s="90"/>
    </row>
    <row r="6792" spans="7:8">
      <c r="G6792" s="87"/>
      <c r="H6792" s="90"/>
    </row>
    <row r="6793" spans="7:8">
      <c r="G6793" s="87"/>
      <c r="H6793" s="90"/>
    </row>
    <row r="6794" spans="7:8">
      <c r="G6794" s="87"/>
      <c r="H6794" s="90"/>
    </row>
    <row r="6795" spans="7:8">
      <c r="G6795" s="87"/>
      <c r="H6795" s="90"/>
    </row>
    <row r="6796" spans="7:8">
      <c r="G6796" s="87"/>
      <c r="H6796" s="90"/>
    </row>
    <row r="6797" spans="7:8">
      <c r="G6797" s="87"/>
      <c r="H6797" s="90"/>
    </row>
    <row r="6798" spans="7:8">
      <c r="G6798" s="87"/>
      <c r="H6798" s="90"/>
    </row>
    <row r="6799" spans="7:8">
      <c r="G6799" s="87"/>
      <c r="H6799" s="90"/>
    </row>
    <row r="6800" spans="7:8">
      <c r="G6800" s="87"/>
      <c r="H6800" s="90"/>
    </row>
    <row r="6801" spans="7:8">
      <c r="G6801" s="87"/>
      <c r="H6801" s="90"/>
    </row>
    <row r="6802" spans="7:8">
      <c r="G6802" s="87"/>
      <c r="H6802" s="90"/>
    </row>
    <row r="6803" spans="7:8">
      <c r="G6803" s="87"/>
      <c r="H6803" s="90"/>
    </row>
    <row r="6804" spans="7:8">
      <c r="G6804" s="87"/>
      <c r="H6804" s="90"/>
    </row>
    <row r="6805" spans="7:8">
      <c r="G6805" s="87"/>
      <c r="H6805" s="90"/>
    </row>
    <row r="6806" spans="7:8">
      <c r="G6806" s="87"/>
      <c r="H6806" s="90"/>
    </row>
    <row r="6807" spans="7:8">
      <c r="G6807" s="87"/>
      <c r="H6807" s="90"/>
    </row>
    <row r="6808" spans="7:8">
      <c r="G6808" s="87"/>
      <c r="H6808" s="90"/>
    </row>
    <row r="6809" spans="7:8">
      <c r="G6809" s="87"/>
      <c r="H6809" s="90"/>
    </row>
    <row r="6810" spans="7:8">
      <c r="G6810" s="87"/>
      <c r="H6810" s="90"/>
    </row>
    <row r="6811" spans="7:8">
      <c r="G6811" s="87"/>
      <c r="H6811" s="90"/>
    </row>
    <row r="6812" spans="7:8">
      <c r="G6812" s="87"/>
      <c r="H6812" s="90"/>
    </row>
    <row r="6813" spans="7:8">
      <c r="G6813" s="87"/>
      <c r="H6813" s="90"/>
    </row>
    <row r="6814" spans="7:8">
      <c r="G6814" s="87"/>
      <c r="H6814" s="90"/>
    </row>
    <row r="6815" spans="7:8">
      <c r="G6815" s="87"/>
      <c r="H6815" s="90"/>
    </row>
    <row r="6816" spans="7:8">
      <c r="G6816" s="87"/>
      <c r="H6816" s="90"/>
    </row>
    <row r="6817" spans="7:8">
      <c r="G6817" s="87"/>
      <c r="H6817" s="90"/>
    </row>
    <row r="6818" spans="7:8">
      <c r="G6818" s="87"/>
      <c r="H6818" s="90"/>
    </row>
    <row r="6819" spans="7:8">
      <c r="G6819" s="87"/>
      <c r="H6819" s="90"/>
    </row>
    <row r="6820" spans="7:8">
      <c r="G6820" s="87"/>
      <c r="H6820" s="90"/>
    </row>
    <row r="6821" spans="7:8">
      <c r="G6821" s="87"/>
      <c r="H6821" s="90"/>
    </row>
    <row r="6822" spans="7:8">
      <c r="G6822" s="87"/>
      <c r="H6822" s="90"/>
    </row>
    <row r="6823" spans="7:8">
      <c r="G6823" s="87"/>
      <c r="H6823" s="90"/>
    </row>
    <row r="6824" spans="7:8">
      <c r="G6824" s="87"/>
      <c r="H6824" s="90"/>
    </row>
    <row r="6825" spans="7:8">
      <c r="G6825" s="87"/>
      <c r="H6825" s="90"/>
    </row>
    <row r="6826" spans="7:8">
      <c r="G6826" s="87"/>
      <c r="H6826" s="90"/>
    </row>
    <row r="6827" spans="7:8">
      <c r="G6827" s="87"/>
      <c r="H6827" s="90"/>
    </row>
    <row r="6828" spans="7:8">
      <c r="G6828" s="87"/>
      <c r="H6828" s="90"/>
    </row>
    <row r="6829" spans="7:8">
      <c r="G6829" s="87"/>
      <c r="H6829" s="90"/>
    </row>
    <row r="6830" spans="7:8">
      <c r="G6830" s="87"/>
      <c r="H6830" s="90"/>
    </row>
    <row r="6831" spans="7:8">
      <c r="G6831" s="87"/>
      <c r="H6831" s="90"/>
    </row>
    <row r="6832" spans="7:8">
      <c r="G6832" s="87"/>
      <c r="H6832" s="90"/>
    </row>
    <row r="6833" spans="7:8">
      <c r="G6833" s="87"/>
      <c r="H6833" s="90"/>
    </row>
    <row r="6834" spans="7:8">
      <c r="G6834" s="87"/>
      <c r="H6834" s="90"/>
    </row>
    <row r="6835" spans="7:8">
      <c r="G6835" s="87"/>
      <c r="H6835" s="90"/>
    </row>
    <row r="6836" spans="7:8">
      <c r="G6836" s="87"/>
      <c r="H6836" s="90"/>
    </row>
    <row r="6837" spans="7:8">
      <c r="G6837" s="87"/>
      <c r="H6837" s="90"/>
    </row>
    <row r="6838" spans="7:8">
      <c r="G6838" s="87"/>
      <c r="H6838" s="90"/>
    </row>
    <row r="6839" spans="7:8">
      <c r="G6839" s="87"/>
      <c r="H6839" s="90"/>
    </row>
    <row r="6840" spans="7:8">
      <c r="G6840" s="87"/>
      <c r="H6840" s="90"/>
    </row>
    <row r="6841" spans="7:8">
      <c r="G6841" s="87"/>
      <c r="H6841" s="90"/>
    </row>
    <row r="6842" spans="7:8">
      <c r="G6842" s="87"/>
      <c r="H6842" s="90"/>
    </row>
    <row r="6843" spans="7:8">
      <c r="G6843" s="87"/>
      <c r="H6843" s="90"/>
    </row>
    <row r="6844" spans="7:8">
      <c r="G6844" s="87"/>
      <c r="H6844" s="90"/>
    </row>
    <row r="6845" spans="7:8">
      <c r="G6845" s="87"/>
      <c r="H6845" s="90"/>
    </row>
    <row r="6846" spans="7:8">
      <c r="G6846" s="87"/>
      <c r="H6846" s="90"/>
    </row>
    <row r="6847" spans="7:8">
      <c r="G6847" s="87"/>
      <c r="H6847" s="90"/>
    </row>
    <row r="6848" spans="7:8">
      <c r="G6848" s="87"/>
      <c r="H6848" s="90"/>
    </row>
    <row r="6849" spans="7:8">
      <c r="G6849" s="87"/>
      <c r="H6849" s="90"/>
    </row>
    <row r="6850" spans="7:8">
      <c r="G6850" s="87"/>
      <c r="H6850" s="90"/>
    </row>
    <row r="6851" spans="7:8">
      <c r="G6851" s="87"/>
      <c r="H6851" s="90"/>
    </row>
    <row r="6852" spans="7:8">
      <c r="G6852" s="87"/>
      <c r="H6852" s="90"/>
    </row>
    <row r="6853" spans="7:8">
      <c r="G6853" s="87"/>
      <c r="H6853" s="90"/>
    </row>
    <row r="6854" spans="7:8">
      <c r="G6854" s="87"/>
      <c r="H6854" s="90"/>
    </row>
    <row r="6855" spans="7:8">
      <c r="G6855" s="87"/>
      <c r="H6855" s="90"/>
    </row>
    <row r="6856" spans="7:8">
      <c r="G6856" s="87"/>
      <c r="H6856" s="90"/>
    </row>
    <row r="6857" spans="7:8">
      <c r="G6857" s="87"/>
      <c r="H6857" s="90"/>
    </row>
    <row r="6858" spans="7:8">
      <c r="G6858" s="87"/>
      <c r="H6858" s="90"/>
    </row>
    <row r="6859" spans="7:8">
      <c r="G6859" s="87"/>
      <c r="H6859" s="90"/>
    </row>
    <row r="6860" spans="7:8">
      <c r="G6860" s="87"/>
      <c r="H6860" s="90"/>
    </row>
    <row r="6861" spans="7:8">
      <c r="G6861" s="87"/>
      <c r="H6861" s="90"/>
    </row>
    <row r="6862" spans="7:8">
      <c r="G6862" s="87"/>
      <c r="H6862" s="90"/>
    </row>
    <row r="6863" spans="7:8">
      <c r="G6863" s="87"/>
      <c r="H6863" s="90"/>
    </row>
    <row r="6864" spans="7:8">
      <c r="G6864" s="87"/>
      <c r="H6864" s="90"/>
    </row>
    <row r="6865" spans="7:8">
      <c r="G6865" s="87"/>
      <c r="H6865" s="90"/>
    </row>
    <row r="6866" spans="7:8">
      <c r="G6866" s="87"/>
      <c r="H6866" s="90"/>
    </row>
    <row r="6867" spans="7:8">
      <c r="G6867" s="87"/>
      <c r="H6867" s="90"/>
    </row>
    <row r="6868" spans="7:8">
      <c r="G6868" s="87"/>
      <c r="H6868" s="90"/>
    </row>
    <row r="6869" spans="7:8">
      <c r="G6869" s="87"/>
      <c r="H6869" s="90"/>
    </row>
    <row r="6870" spans="7:8">
      <c r="G6870" s="87"/>
      <c r="H6870" s="90"/>
    </row>
    <row r="6871" spans="7:8">
      <c r="G6871" s="87"/>
      <c r="H6871" s="90"/>
    </row>
    <row r="6872" spans="7:8">
      <c r="G6872" s="87"/>
      <c r="H6872" s="90"/>
    </row>
    <row r="6873" spans="7:8">
      <c r="G6873" s="87"/>
      <c r="H6873" s="90"/>
    </row>
    <row r="6874" spans="7:8">
      <c r="G6874" s="87"/>
      <c r="H6874" s="90"/>
    </row>
    <row r="6875" spans="7:8">
      <c r="G6875" s="87"/>
      <c r="H6875" s="90"/>
    </row>
    <row r="6876" spans="7:8">
      <c r="G6876" s="87"/>
      <c r="H6876" s="90"/>
    </row>
    <row r="6877" spans="7:8">
      <c r="G6877" s="87"/>
      <c r="H6877" s="90"/>
    </row>
    <row r="6878" spans="7:8">
      <c r="G6878" s="87"/>
      <c r="H6878" s="90"/>
    </row>
    <row r="6879" spans="7:8">
      <c r="G6879" s="87"/>
      <c r="H6879" s="90"/>
    </row>
    <row r="6880" spans="7:8">
      <c r="G6880" s="87"/>
      <c r="H6880" s="90"/>
    </row>
    <row r="6881" spans="7:8">
      <c r="G6881" s="87"/>
      <c r="H6881" s="90"/>
    </row>
    <row r="6882" spans="7:8">
      <c r="G6882" s="87"/>
      <c r="H6882" s="90"/>
    </row>
    <row r="6883" spans="7:8">
      <c r="G6883" s="87"/>
      <c r="H6883" s="90"/>
    </row>
    <row r="6884" spans="7:8">
      <c r="G6884" s="87"/>
      <c r="H6884" s="90"/>
    </row>
    <row r="6885" spans="7:8">
      <c r="G6885" s="87"/>
      <c r="H6885" s="90"/>
    </row>
    <row r="6886" spans="7:8">
      <c r="G6886" s="87"/>
      <c r="H6886" s="90"/>
    </row>
    <row r="6887" spans="7:8">
      <c r="G6887" s="87"/>
      <c r="H6887" s="90"/>
    </row>
    <row r="6888" spans="7:8">
      <c r="G6888" s="87"/>
      <c r="H6888" s="90"/>
    </row>
    <row r="6889" spans="7:8">
      <c r="G6889" s="87"/>
      <c r="H6889" s="90"/>
    </row>
    <row r="6890" spans="7:8">
      <c r="G6890" s="87"/>
      <c r="H6890" s="90"/>
    </row>
    <row r="6891" spans="7:8">
      <c r="G6891" s="87"/>
      <c r="H6891" s="90"/>
    </row>
    <row r="6892" spans="7:8">
      <c r="G6892" s="87"/>
      <c r="H6892" s="90"/>
    </row>
    <row r="6893" spans="7:8">
      <c r="G6893" s="87"/>
      <c r="H6893" s="90"/>
    </row>
    <row r="6894" spans="7:8">
      <c r="G6894" s="87"/>
      <c r="H6894" s="90"/>
    </row>
    <row r="6895" spans="7:8">
      <c r="G6895" s="87"/>
      <c r="H6895" s="90"/>
    </row>
    <row r="6896" spans="7:8">
      <c r="G6896" s="87"/>
      <c r="H6896" s="90"/>
    </row>
    <row r="6897" spans="7:8">
      <c r="G6897" s="87"/>
      <c r="H6897" s="90"/>
    </row>
    <row r="6898" spans="7:8">
      <c r="G6898" s="87"/>
      <c r="H6898" s="90"/>
    </row>
    <row r="6899" spans="7:8">
      <c r="G6899" s="87"/>
      <c r="H6899" s="90"/>
    </row>
    <row r="6900" spans="7:8">
      <c r="G6900" s="87"/>
      <c r="H6900" s="90"/>
    </row>
    <row r="6901" spans="7:8">
      <c r="G6901" s="87"/>
      <c r="H6901" s="90"/>
    </row>
    <row r="6902" spans="7:8">
      <c r="G6902" s="87"/>
      <c r="H6902" s="90"/>
    </row>
    <row r="6903" spans="7:8">
      <c r="G6903" s="87"/>
      <c r="H6903" s="90"/>
    </row>
    <row r="6904" spans="7:8">
      <c r="G6904" s="87"/>
      <c r="H6904" s="90"/>
    </row>
    <row r="6905" spans="7:8">
      <c r="G6905" s="87"/>
      <c r="H6905" s="90"/>
    </row>
    <row r="6906" spans="7:8">
      <c r="G6906" s="87"/>
      <c r="H6906" s="90"/>
    </row>
    <row r="6907" spans="7:8">
      <c r="G6907" s="87"/>
      <c r="H6907" s="90"/>
    </row>
    <row r="6908" spans="7:8">
      <c r="G6908" s="87"/>
      <c r="H6908" s="90"/>
    </row>
    <row r="6909" spans="7:8">
      <c r="G6909" s="87"/>
      <c r="H6909" s="90"/>
    </row>
    <row r="6910" spans="7:8">
      <c r="G6910" s="87"/>
      <c r="H6910" s="90"/>
    </row>
    <row r="6911" spans="7:8">
      <c r="G6911" s="87"/>
      <c r="H6911" s="90"/>
    </row>
    <row r="6912" spans="7:8">
      <c r="G6912" s="87"/>
      <c r="H6912" s="90"/>
    </row>
    <row r="6913" spans="7:8">
      <c r="G6913" s="87"/>
      <c r="H6913" s="90"/>
    </row>
    <row r="6914" spans="7:8">
      <c r="G6914" s="87"/>
      <c r="H6914" s="90"/>
    </row>
    <row r="6915" spans="7:8">
      <c r="G6915" s="87"/>
      <c r="H6915" s="90"/>
    </row>
    <row r="6916" spans="7:8">
      <c r="G6916" s="87"/>
      <c r="H6916" s="90"/>
    </row>
    <row r="6917" spans="7:8">
      <c r="G6917" s="87"/>
      <c r="H6917" s="90"/>
    </row>
    <row r="6918" spans="7:8">
      <c r="G6918" s="87"/>
      <c r="H6918" s="90"/>
    </row>
    <row r="6919" spans="7:8">
      <c r="G6919" s="87"/>
      <c r="H6919" s="90"/>
    </row>
    <row r="6920" spans="7:8">
      <c r="G6920" s="87"/>
      <c r="H6920" s="90"/>
    </row>
    <row r="6921" spans="7:8">
      <c r="G6921" s="87"/>
      <c r="H6921" s="90"/>
    </row>
    <row r="6922" spans="7:8">
      <c r="G6922" s="87"/>
      <c r="H6922" s="90"/>
    </row>
    <row r="6923" spans="7:8">
      <c r="G6923" s="87"/>
      <c r="H6923" s="90"/>
    </row>
    <row r="6924" spans="7:8">
      <c r="G6924" s="87"/>
      <c r="H6924" s="90"/>
    </row>
    <row r="6925" spans="7:8">
      <c r="G6925" s="87"/>
      <c r="H6925" s="90"/>
    </row>
    <row r="6926" spans="7:8">
      <c r="G6926" s="87"/>
      <c r="H6926" s="90"/>
    </row>
    <row r="6927" spans="7:8">
      <c r="G6927" s="87"/>
      <c r="H6927" s="90"/>
    </row>
    <row r="6928" spans="7:8">
      <c r="G6928" s="87"/>
      <c r="H6928" s="90"/>
    </row>
    <row r="6929" spans="7:8">
      <c r="G6929" s="87"/>
      <c r="H6929" s="90"/>
    </row>
    <row r="6930" spans="7:8">
      <c r="G6930" s="87"/>
      <c r="H6930" s="90"/>
    </row>
    <row r="6931" spans="7:8">
      <c r="G6931" s="87"/>
      <c r="H6931" s="90"/>
    </row>
    <row r="6932" spans="7:8">
      <c r="G6932" s="87"/>
      <c r="H6932" s="90"/>
    </row>
    <row r="6933" spans="7:8">
      <c r="G6933" s="87"/>
      <c r="H6933" s="90"/>
    </row>
    <row r="6934" spans="7:8">
      <c r="G6934" s="87"/>
      <c r="H6934" s="90"/>
    </row>
    <row r="6935" spans="7:8">
      <c r="G6935" s="87"/>
      <c r="H6935" s="90"/>
    </row>
    <row r="6936" spans="7:8">
      <c r="G6936" s="87"/>
      <c r="H6936" s="90"/>
    </row>
    <row r="6937" spans="7:8">
      <c r="G6937" s="87"/>
      <c r="H6937" s="90"/>
    </row>
    <row r="6938" spans="7:8">
      <c r="G6938" s="87"/>
      <c r="H6938" s="90"/>
    </row>
    <row r="6939" spans="7:8">
      <c r="G6939" s="87"/>
      <c r="H6939" s="90"/>
    </row>
    <row r="6940" spans="7:8">
      <c r="G6940" s="87"/>
      <c r="H6940" s="90"/>
    </row>
    <row r="6941" spans="7:8">
      <c r="G6941" s="87"/>
      <c r="H6941" s="90"/>
    </row>
    <row r="6942" spans="7:8">
      <c r="G6942" s="87"/>
      <c r="H6942" s="90"/>
    </row>
    <row r="6943" spans="7:8">
      <c r="G6943" s="87"/>
      <c r="H6943" s="90"/>
    </row>
    <row r="6944" spans="7:8">
      <c r="G6944" s="87"/>
      <c r="H6944" s="90"/>
    </row>
    <row r="6945" spans="7:8">
      <c r="G6945" s="87"/>
      <c r="H6945" s="90"/>
    </row>
    <row r="6946" spans="7:8">
      <c r="G6946" s="87"/>
      <c r="H6946" s="90"/>
    </row>
    <row r="6947" spans="7:8">
      <c r="G6947" s="87"/>
      <c r="H6947" s="90"/>
    </row>
    <row r="6948" spans="7:8">
      <c r="G6948" s="87"/>
      <c r="H6948" s="90"/>
    </row>
    <row r="6949" spans="7:8">
      <c r="G6949" s="87"/>
      <c r="H6949" s="90"/>
    </row>
    <row r="6950" spans="7:8">
      <c r="G6950" s="87"/>
      <c r="H6950" s="90"/>
    </row>
    <row r="6951" spans="7:8">
      <c r="G6951" s="87"/>
      <c r="H6951" s="90"/>
    </row>
    <row r="6952" spans="7:8">
      <c r="G6952" s="87"/>
      <c r="H6952" s="90"/>
    </row>
    <row r="6953" spans="7:8">
      <c r="G6953" s="87"/>
      <c r="H6953" s="90"/>
    </row>
    <row r="6954" spans="7:8">
      <c r="G6954" s="87"/>
      <c r="H6954" s="90"/>
    </row>
    <row r="6955" spans="7:8">
      <c r="G6955" s="87"/>
      <c r="H6955" s="90"/>
    </row>
    <row r="6956" spans="7:8">
      <c r="G6956" s="87"/>
      <c r="H6956" s="90"/>
    </row>
    <row r="6957" spans="7:8">
      <c r="G6957" s="87"/>
      <c r="H6957" s="90"/>
    </row>
    <row r="6958" spans="7:8">
      <c r="G6958" s="87"/>
      <c r="H6958" s="90"/>
    </row>
    <row r="6959" spans="7:8">
      <c r="G6959" s="87"/>
      <c r="H6959" s="90"/>
    </row>
    <row r="6960" spans="7:8">
      <c r="G6960" s="87"/>
      <c r="H6960" s="90"/>
    </row>
    <row r="6961" spans="7:8">
      <c r="G6961" s="87"/>
      <c r="H6961" s="90"/>
    </row>
    <row r="6962" spans="7:8">
      <c r="G6962" s="87"/>
      <c r="H6962" s="90"/>
    </row>
    <row r="6963" spans="7:8">
      <c r="G6963" s="87"/>
      <c r="H6963" s="90"/>
    </row>
    <row r="6964" spans="7:8">
      <c r="G6964" s="87"/>
      <c r="H6964" s="90"/>
    </row>
    <row r="6965" spans="7:8">
      <c r="G6965" s="87"/>
      <c r="H6965" s="90"/>
    </row>
    <row r="6966" spans="7:8">
      <c r="G6966" s="87"/>
      <c r="H6966" s="90"/>
    </row>
    <row r="6967" spans="7:8">
      <c r="G6967" s="87"/>
      <c r="H6967" s="90"/>
    </row>
    <row r="6968" spans="7:8">
      <c r="G6968" s="87"/>
      <c r="H6968" s="90"/>
    </row>
    <row r="6969" spans="7:8">
      <c r="G6969" s="87"/>
      <c r="H6969" s="90"/>
    </row>
    <row r="6970" spans="7:8">
      <c r="G6970" s="87"/>
      <c r="H6970" s="90"/>
    </row>
    <row r="6971" spans="7:8">
      <c r="G6971" s="87"/>
      <c r="H6971" s="90"/>
    </row>
    <row r="6972" spans="7:8">
      <c r="G6972" s="87"/>
      <c r="H6972" s="90"/>
    </row>
    <row r="6973" spans="7:8">
      <c r="G6973" s="87"/>
      <c r="H6973" s="90"/>
    </row>
    <row r="6974" spans="7:8">
      <c r="G6974" s="87"/>
      <c r="H6974" s="90"/>
    </row>
    <row r="6975" spans="7:8">
      <c r="G6975" s="87"/>
      <c r="H6975" s="90"/>
    </row>
    <row r="6976" spans="7:8">
      <c r="G6976" s="87"/>
      <c r="H6976" s="90"/>
    </row>
    <row r="6977" spans="7:8">
      <c r="G6977" s="87"/>
      <c r="H6977" s="90"/>
    </row>
    <row r="6978" spans="7:8">
      <c r="G6978" s="87"/>
      <c r="H6978" s="90"/>
    </row>
    <row r="6979" spans="7:8">
      <c r="G6979" s="87"/>
      <c r="H6979" s="90"/>
    </row>
    <row r="6980" spans="7:8">
      <c r="G6980" s="87"/>
      <c r="H6980" s="90"/>
    </row>
    <row r="6981" spans="7:8">
      <c r="G6981" s="87"/>
      <c r="H6981" s="90"/>
    </row>
    <row r="6982" spans="7:8">
      <c r="G6982" s="87"/>
      <c r="H6982" s="90"/>
    </row>
    <row r="6983" spans="7:8">
      <c r="G6983" s="87"/>
      <c r="H6983" s="90"/>
    </row>
    <row r="6984" spans="7:8">
      <c r="G6984" s="87"/>
      <c r="H6984" s="90"/>
    </row>
    <row r="6985" spans="7:8">
      <c r="G6985" s="87"/>
      <c r="H6985" s="90"/>
    </row>
    <row r="6986" spans="7:8">
      <c r="G6986" s="87"/>
      <c r="H6986" s="90"/>
    </row>
    <row r="6987" spans="7:8">
      <c r="G6987" s="87"/>
      <c r="H6987" s="90"/>
    </row>
    <row r="6988" spans="7:8">
      <c r="G6988" s="87"/>
      <c r="H6988" s="90"/>
    </row>
    <row r="6989" spans="7:8">
      <c r="G6989" s="87"/>
      <c r="H6989" s="90"/>
    </row>
    <row r="6990" spans="7:8">
      <c r="G6990" s="87"/>
      <c r="H6990" s="90"/>
    </row>
    <row r="6991" spans="7:8">
      <c r="G6991" s="87"/>
      <c r="H6991" s="90"/>
    </row>
    <row r="6992" spans="7:8">
      <c r="G6992" s="87"/>
      <c r="H6992" s="90"/>
    </row>
    <row r="6993" spans="7:8">
      <c r="G6993" s="87"/>
      <c r="H6993" s="90"/>
    </row>
    <row r="6994" spans="7:8">
      <c r="G6994" s="87"/>
      <c r="H6994" s="90"/>
    </row>
    <row r="6995" spans="7:8">
      <c r="G6995" s="87"/>
      <c r="H6995" s="90"/>
    </row>
    <row r="6996" spans="7:8">
      <c r="G6996" s="87"/>
      <c r="H6996" s="90"/>
    </row>
    <row r="6997" spans="7:8">
      <c r="G6997" s="87"/>
      <c r="H6997" s="90"/>
    </row>
    <row r="6998" spans="7:8">
      <c r="G6998" s="87"/>
      <c r="H6998" s="90"/>
    </row>
    <row r="6999" spans="7:8">
      <c r="G6999" s="87"/>
      <c r="H6999" s="90"/>
    </row>
    <row r="7000" spans="7:8">
      <c r="G7000" s="87"/>
      <c r="H7000" s="90"/>
    </row>
    <row r="7001" spans="7:8">
      <c r="G7001" s="87"/>
      <c r="H7001" s="90"/>
    </row>
    <row r="7002" spans="7:8">
      <c r="G7002" s="87"/>
      <c r="H7002" s="90"/>
    </row>
    <row r="7003" spans="7:8">
      <c r="G7003" s="87"/>
      <c r="H7003" s="90"/>
    </row>
    <row r="7004" spans="7:8">
      <c r="G7004" s="87"/>
      <c r="H7004" s="90"/>
    </row>
    <row r="7005" spans="7:8">
      <c r="G7005" s="87"/>
      <c r="H7005" s="90"/>
    </row>
    <row r="7006" spans="7:8">
      <c r="G7006" s="87"/>
      <c r="H7006" s="90"/>
    </row>
    <row r="7007" spans="7:8">
      <c r="G7007" s="87"/>
      <c r="H7007" s="90"/>
    </row>
    <row r="7008" spans="7:8">
      <c r="G7008" s="87"/>
      <c r="H7008" s="90"/>
    </row>
    <row r="7009" spans="7:8">
      <c r="G7009" s="87"/>
      <c r="H7009" s="90"/>
    </row>
    <row r="7010" spans="7:8">
      <c r="G7010" s="87"/>
      <c r="H7010" s="90"/>
    </row>
    <row r="7011" spans="7:8">
      <c r="G7011" s="87"/>
      <c r="H7011" s="90"/>
    </row>
    <row r="7012" spans="7:8">
      <c r="G7012" s="87"/>
      <c r="H7012" s="90"/>
    </row>
    <row r="7013" spans="7:8">
      <c r="G7013" s="87"/>
      <c r="H7013" s="90"/>
    </row>
    <row r="7014" spans="7:8">
      <c r="G7014" s="87"/>
      <c r="H7014" s="90"/>
    </row>
    <row r="7015" spans="7:8">
      <c r="G7015" s="87"/>
      <c r="H7015" s="90"/>
    </row>
    <row r="7016" spans="7:8">
      <c r="G7016" s="87"/>
      <c r="H7016" s="90"/>
    </row>
    <row r="7017" spans="7:8">
      <c r="G7017" s="87"/>
      <c r="H7017" s="90"/>
    </row>
    <row r="7018" spans="7:8">
      <c r="G7018" s="87"/>
      <c r="H7018" s="90"/>
    </row>
    <row r="7019" spans="7:8">
      <c r="G7019" s="87"/>
      <c r="H7019" s="90"/>
    </row>
    <row r="7020" spans="7:8">
      <c r="G7020" s="87"/>
      <c r="H7020" s="90"/>
    </row>
    <row r="7021" spans="7:8">
      <c r="G7021" s="87"/>
      <c r="H7021" s="90"/>
    </row>
    <row r="7022" spans="7:8">
      <c r="G7022" s="87"/>
      <c r="H7022" s="90"/>
    </row>
    <row r="7023" spans="7:8">
      <c r="G7023" s="87"/>
      <c r="H7023" s="90"/>
    </row>
    <row r="7024" spans="7:8">
      <c r="G7024" s="87"/>
      <c r="H7024" s="90"/>
    </row>
    <row r="7025" spans="7:8">
      <c r="G7025" s="87"/>
      <c r="H7025" s="90"/>
    </row>
    <row r="7026" spans="7:8">
      <c r="G7026" s="87"/>
      <c r="H7026" s="90"/>
    </row>
    <row r="7027" spans="7:8">
      <c r="G7027" s="87"/>
      <c r="H7027" s="90"/>
    </row>
    <row r="7028" spans="7:8">
      <c r="G7028" s="87"/>
      <c r="H7028" s="90"/>
    </row>
    <row r="7029" spans="7:8">
      <c r="G7029" s="87"/>
      <c r="H7029" s="90"/>
    </row>
    <row r="7030" spans="7:8">
      <c r="G7030" s="87"/>
      <c r="H7030" s="90"/>
    </row>
    <row r="7031" spans="7:8">
      <c r="G7031" s="87"/>
      <c r="H7031" s="90"/>
    </row>
    <row r="7032" spans="7:8">
      <c r="G7032" s="87"/>
      <c r="H7032" s="90"/>
    </row>
    <row r="7033" spans="7:8">
      <c r="G7033" s="87"/>
      <c r="H7033" s="90"/>
    </row>
    <row r="7034" spans="7:8">
      <c r="G7034" s="87"/>
      <c r="H7034" s="90"/>
    </row>
    <row r="7035" spans="7:8">
      <c r="G7035" s="87"/>
      <c r="H7035" s="90"/>
    </row>
    <row r="7036" spans="7:8">
      <c r="G7036" s="87"/>
      <c r="H7036" s="90"/>
    </row>
    <row r="7037" spans="7:8">
      <c r="G7037" s="87"/>
      <c r="H7037" s="90"/>
    </row>
    <row r="7038" spans="7:8">
      <c r="G7038" s="87"/>
      <c r="H7038" s="90"/>
    </row>
    <row r="7039" spans="7:8">
      <c r="G7039" s="87"/>
      <c r="H7039" s="90"/>
    </row>
    <row r="7040" spans="7:8">
      <c r="G7040" s="87"/>
      <c r="H7040" s="90"/>
    </row>
    <row r="7041" spans="7:8">
      <c r="G7041" s="87"/>
      <c r="H7041" s="90"/>
    </row>
    <row r="7042" spans="7:8">
      <c r="G7042" s="87"/>
      <c r="H7042" s="90"/>
    </row>
    <row r="7043" spans="7:8">
      <c r="G7043" s="87"/>
      <c r="H7043" s="90"/>
    </row>
    <row r="7044" spans="7:8">
      <c r="G7044" s="87"/>
      <c r="H7044" s="90"/>
    </row>
    <row r="7045" spans="7:8">
      <c r="G7045" s="87"/>
      <c r="H7045" s="90"/>
    </row>
    <row r="7046" spans="7:8">
      <c r="G7046" s="87"/>
      <c r="H7046" s="90"/>
    </row>
    <row r="7047" spans="7:8">
      <c r="G7047" s="87"/>
      <c r="H7047" s="90"/>
    </row>
    <row r="7048" spans="7:8">
      <c r="G7048" s="87"/>
      <c r="H7048" s="90"/>
    </row>
    <row r="7049" spans="7:8">
      <c r="G7049" s="87"/>
      <c r="H7049" s="90"/>
    </row>
    <row r="7050" spans="7:8">
      <c r="G7050" s="87"/>
      <c r="H7050" s="90"/>
    </row>
    <row r="7051" spans="7:8">
      <c r="G7051" s="87"/>
      <c r="H7051" s="90"/>
    </row>
    <row r="7052" spans="7:8">
      <c r="G7052" s="87"/>
      <c r="H7052" s="90"/>
    </row>
    <row r="7053" spans="7:8">
      <c r="G7053" s="87"/>
      <c r="H7053" s="90"/>
    </row>
    <row r="7054" spans="7:8">
      <c r="G7054" s="87"/>
      <c r="H7054" s="90"/>
    </row>
    <row r="7055" spans="7:8">
      <c r="G7055" s="87"/>
      <c r="H7055" s="90"/>
    </row>
    <row r="7056" spans="7:8">
      <c r="G7056" s="87"/>
      <c r="H7056" s="90"/>
    </row>
    <row r="7057" spans="7:8">
      <c r="G7057" s="87"/>
      <c r="H7057" s="90"/>
    </row>
    <row r="7058" spans="7:8">
      <c r="G7058" s="87"/>
      <c r="H7058" s="90"/>
    </row>
    <row r="7059" spans="7:8">
      <c r="G7059" s="87"/>
      <c r="H7059" s="90"/>
    </row>
    <row r="7060" spans="7:8">
      <c r="G7060" s="87"/>
      <c r="H7060" s="90"/>
    </row>
    <row r="7061" spans="7:8">
      <c r="G7061" s="87"/>
      <c r="H7061" s="90"/>
    </row>
    <row r="7062" spans="7:8">
      <c r="G7062" s="87"/>
      <c r="H7062" s="90"/>
    </row>
    <row r="7063" spans="7:8">
      <c r="G7063" s="87"/>
      <c r="H7063" s="90"/>
    </row>
    <row r="7064" spans="7:8">
      <c r="G7064" s="87"/>
      <c r="H7064" s="90"/>
    </row>
    <row r="7065" spans="7:8">
      <c r="G7065" s="87"/>
      <c r="H7065" s="90"/>
    </row>
    <row r="7066" spans="7:8">
      <c r="G7066" s="87"/>
      <c r="H7066" s="90"/>
    </row>
    <row r="7067" spans="7:8">
      <c r="G7067" s="87"/>
      <c r="H7067" s="90"/>
    </row>
    <row r="7068" spans="7:8">
      <c r="G7068" s="87"/>
      <c r="H7068" s="90"/>
    </row>
    <row r="7069" spans="7:8">
      <c r="G7069" s="87"/>
      <c r="H7069" s="90"/>
    </row>
    <row r="7070" spans="7:8">
      <c r="G7070" s="87"/>
      <c r="H7070" s="90"/>
    </row>
    <row r="7071" spans="7:8">
      <c r="G7071" s="87"/>
      <c r="H7071" s="90"/>
    </row>
    <row r="7072" spans="7:8">
      <c r="G7072" s="87"/>
      <c r="H7072" s="90"/>
    </row>
    <row r="7073" spans="7:8">
      <c r="G7073" s="87"/>
      <c r="H7073" s="90"/>
    </row>
    <row r="7074" spans="7:8">
      <c r="G7074" s="87"/>
      <c r="H7074" s="90"/>
    </row>
    <row r="7075" spans="7:8">
      <c r="G7075" s="87"/>
      <c r="H7075" s="90"/>
    </row>
    <row r="7076" spans="7:8">
      <c r="G7076" s="87"/>
      <c r="H7076" s="90"/>
    </row>
    <row r="7077" spans="7:8">
      <c r="G7077" s="87"/>
      <c r="H7077" s="90"/>
    </row>
    <row r="7078" spans="7:8">
      <c r="G7078" s="87"/>
      <c r="H7078" s="90"/>
    </row>
    <row r="7079" spans="7:8">
      <c r="G7079" s="87"/>
      <c r="H7079" s="90"/>
    </row>
    <row r="7080" spans="7:8">
      <c r="G7080" s="87"/>
      <c r="H7080" s="90"/>
    </row>
    <row r="7081" spans="7:8">
      <c r="G7081" s="87"/>
      <c r="H7081" s="90"/>
    </row>
    <row r="7082" spans="7:8">
      <c r="G7082" s="87"/>
      <c r="H7082" s="90"/>
    </row>
    <row r="7083" spans="7:8">
      <c r="G7083" s="87"/>
      <c r="H7083" s="90"/>
    </row>
    <row r="7084" spans="7:8">
      <c r="G7084" s="87"/>
      <c r="H7084" s="90"/>
    </row>
    <row r="7085" spans="7:8">
      <c r="G7085" s="87"/>
      <c r="H7085" s="90"/>
    </row>
    <row r="7086" spans="7:8">
      <c r="G7086" s="87"/>
      <c r="H7086" s="90"/>
    </row>
    <row r="7087" spans="7:8">
      <c r="G7087" s="87"/>
      <c r="H7087" s="90"/>
    </row>
    <row r="7088" spans="7:8">
      <c r="G7088" s="87"/>
      <c r="H7088" s="90"/>
    </row>
    <row r="7089" spans="7:8">
      <c r="G7089" s="87"/>
      <c r="H7089" s="90"/>
    </row>
    <row r="7090" spans="7:8">
      <c r="G7090" s="87"/>
      <c r="H7090" s="90"/>
    </row>
    <row r="7091" spans="7:8">
      <c r="G7091" s="87"/>
      <c r="H7091" s="90"/>
    </row>
    <row r="7092" spans="7:8">
      <c r="G7092" s="87"/>
      <c r="H7092" s="90"/>
    </row>
    <row r="7093" spans="7:8">
      <c r="G7093" s="87"/>
      <c r="H7093" s="90"/>
    </row>
    <row r="7094" spans="7:8">
      <c r="G7094" s="87"/>
      <c r="H7094" s="90"/>
    </row>
    <row r="7095" spans="7:8">
      <c r="G7095" s="87"/>
      <c r="H7095" s="90"/>
    </row>
    <row r="7096" spans="7:8">
      <c r="G7096" s="87"/>
      <c r="H7096" s="90"/>
    </row>
    <row r="7097" spans="7:8">
      <c r="G7097" s="87"/>
      <c r="H7097" s="90"/>
    </row>
    <row r="7098" spans="7:8">
      <c r="G7098" s="87"/>
      <c r="H7098" s="90"/>
    </row>
    <row r="7099" spans="7:8">
      <c r="G7099" s="87"/>
      <c r="H7099" s="90"/>
    </row>
    <row r="7100" spans="7:8">
      <c r="G7100" s="87"/>
      <c r="H7100" s="90"/>
    </row>
    <row r="7101" spans="7:8">
      <c r="G7101" s="87"/>
      <c r="H7101" s="90"/>
    </row>
    <row r="7102" spans="7:8">
      <c r="G7102" s="87"/>
      <c r="H7102" s="90"/>
    </row>
    <row r="7103" spans="7:8">
      <c r="G7103" s="87"/>
      <c r="H7103" s="90"/>
    </row>
    <row r="7104" spans="7:8">
      <c r="G7104" s="87"/>
      <c r="H7104" s="90"/>
    </row>
    <row r="7105" spans="7:8">
      <c r="G7105" s="87"/>
      <c r="H7105" s="90"/>
    </row>
    <row r="7106" spans="7:8">
      <c r="G7106" s="87"/>
      <c r="H7106" s="90"/>
    </row>
    <row r="7107" spans="7:8">
      <c r="G7107" s="87"/>
      <c r="H7107" s="90"/>
    </row>
    <row r="7108" spans="7:8">
      <c r="G7108" s="87"/>
      <c r="H7108" s="90"/>
    </row>
    <row r="7109" spans="7:8">
      <c r="G7109" s="87"/>
      <c r="H7109" s="90"/>
    </row>
    <row r="7110" spans="7:8">
      <c r="G7110" s="87"/>
      <c r="H7110" s="90"/>
    </row>
    <row r="7111" spans="7:8">
      <c r="G7111" s="87"/>
      <c r="H7111" s="90"/>
    </row>
    <row r="7112" spans="7:8">
      <c r="G7112" s="87"/>
      <c r="H7112" s="90"/>
    </row>
    <row r="7113" spans="7:8">
      <c r="G7113" s="87"/>
      <c r="H7113" s="90"/>
    </row>
    <row r="7114" spans="7:8">
      <c r="G7114" s="87"/>
      <c r="H7114" s="90"/>
    </row>
    <row r="7115" spans="7:8">
      <c r="G7115" s="87"/>
      <c r="H7115" s="90"/>
    </row>
    <row r="7116" spans="7:8">
      <c r="G7116" s="87"/>
      <c r="H7116" s="90"/>
    </row>
    <row r="7117" spans="7:8">
      <c r="G7117" s="87"/>
      <c r="H7117" s="90"/>
    </row>
    <row r="7118" spans="7:8">
      <c r="G7118" s="87"/>
      <c r="H7118" s="90"/>
    </row>
    <row r="7119" spans="7:8">
      <c r="G7119" s="87"/>
      <c r="H7119" s="90"/>
    </row>
    <row r="7120" spans="7:8">
      <c r="G7120" s="87"/>
      <c r="H7120" s="90"/>
    </row>
    <row r="7121" spans="7:8">
      <c r="G7121" s="87"/>
      <c r="H7121" s="90"/>
    </row>
    <row r="7122" spans="7:8">
      <c r="G7122" s="87"/>
      <c r="H7122" s="90"/>
    </row>
    <row r="7123" spans="7:8">
      <c r="G7123" s="87"/>
      <c r="H7123" s="90"/>
    </row>
    <row r="7124" spans="7:8">
      <c r="G7124" s="87"/>
      <c r="H7124" s="90"/>
    </row>
    <row r="7125" spans="7:8">
      <c r="G7125" s="87"/>
      <c r="H7125" s="90"/>
    </row>
    <row r="7126" spans="7:8">
      <c r="G7126" s="87"/>
      <c r="H7126" s="90"/>
    </row>
    <row r="7127" spans="7:8">
      <c r="G7127" s="87"/>
      <c r="H7127" s="90"/>
    </row>
    <row r="7128" spans="7:8">
      <c r="G7128" s="87"/>
      <c r="H7128" s="90"/>
    </row>
    <row r="7129" spans="7:8">
      <c r="G7129" s="87"/>
      <c r="H7129" s="90"/>
    </row>
    <row r="7130" spans="7:8">
      <c r="G7130" s="87"/>
      <c r="H7130" s="90"/>
    </row>
    <row r="7131" spans="7:8">
      <c r="G7131" s="87"/>
      <c r="H7131" s="90"/>
    </row>
    <row r="7132" spans="7:8">
      <c r="G7132" s="87"/>
      <c r="H7132" s="90"/>
    </row>
    <row r="7133" spans="7:8">
      <c r="G7133" s="87"/>
      <c r="H7133" s="90"/>
    </row>
    <row r="7134" spans="7:8">
      <c r="G7134" s="87"/>
      <c r="H7134" s="90"/>
    </row>
    <row r="7135" spans="7:8">
      <c r="G7135" s="87"/>
      <c r="H7135" s="90"/>
    </row>
    <row r="7136" spans="7:8">
      <c r="G7136" s="87"/>
      <c r="H7136" s="90"/>
    </row>
    <row r="7137" spans="7:8">
      <c r="G7137" s="87"/>
      <c r="H7137" s="90"/>
    </row>
    <row r="7138" spans="7:8">
      <c r="G7138" s="87"/>
      <c r="H7138" s="90"/>
    </row>
    <row r="7139" spans="7:8">
      <c r="G7139" s="87"/>
      <c r="H7139" s="90"/>
    </row>
    <row r="7140" spans="7:8">
      <c r="G7140" s="87"/>
      <c r="H7140" s="90"/>
    </row>
    <row r="7141" spans="7:8">
      <c r="G7141" s="87"/>
      <c r="H7141" s="90"/>
    </row>
    <row r="7142" spans="7:8">
      <c r="G7142" s="87"/>
      <c r="H7142" s="90"/>
    </row>
    <row r="7143" spans="7:8">
      <c r="G7143" s="87"/>
      <c r="H7143" s="90"/>
    </row>
    <row r="7144" spans="7:8">
      <c r="G7144" s="87"/>
      <c r="H7144" s="90"/>
    </row>
    <row r="7145" spans="7:8">
      <c r="G7145" s="87"/>
      <c r="H7145" s="90"/>
    </row>
    <row r="7146" spans="7:8">
      <c r="G7146" s="87"/>
      <c r="H7146" s="90"/>
    </row>
    <row r="7147" spans="7:8">
      <c r="G7147" s="87"/>
      <c r="H7147" s="90"/>
    </row>
    <row r="7148" spans="7:8">
      <c r="G7148" s="87"/>
      <c r="H7148" s="90"/>
    </row>
    <row r="7149" spans="7:8">
      <c r="G7149" s="87"/>
      <c r="H7149" s="90"/>
    </row>
    <row r="7150" spans="7:8">
      <c r="G7150" s="87"/>
      <c r="H7150" s="90"/>
    </row>
    <row r="7151" spans="7:8">
      <c r="G7151" s="87"/>
      <c r="H7151" s="90"/>
    </row>
    <row r="7152" spans="7:8">
      <c r="G7152" s="87"/>
      <c r="H7152" s="90"/>
    </row>
    <row r="7153" spans="7:8">
      <c r="G7153" s="87"/>
      <c r="H7153" s="90"/>
    </row>
    <row r="7154" spans="7:8">
      <c r="G7154" s="87"/>
      <c r="H7154" s="90"/>
    </row>
    <row r="7155" spans="7:8">
      <c r="G7155" s="87"/>
      <c r="H7155" s="90"/>
    </row>
    <row r="7156" spans="7:8">
      <c r="G7156" s="87"/>
      <c r="H7156" s="90"/>
    </row>
    <row r="7157" spans="7:8">
      <c r="G7157" s="87"/>
      <c r="H7157" s="90"/>
    </row>
    <row r="7158" spans="7:8">
      <c r="G7158" s="87"/>
      <c r="H7158" s="90"/>
    </row>
    <row r="7159" spans="7:8">
      <c r="G7159" s="87"/>
      <c r="H7159" s="90"/>
    </row>
    <row r="7160" spans="7:8">
      <c r="G7160" s="87"/>
      <c r="H7160" s="90"/>
    </row>
    <row r="7161" spans="7:8">
      <c r="G7161" s="87"/>
      <c r="H7161" s="90"/>
    </row>
    <row r="7162" spans="7:8">
      <c r="G7162" s="87"/>
      <c r="H7162" s="90"/>
    </row>
    <row r="7163" spans="7:8">
      <c r="G7163" s="87"/>
      <c r="H7163" s="90"/>
    </row>
    <row r="7164" spans="7:8">
      <c r="G7164" s="87"/>
      <c r="H7164" s="90"/>
    </row>
    <row r="7165" spans="7:8">
      <c r="G7165" s="87"/>
      <c r="H7165" s="90"/>
    </row>
    <row r="7166" spans="7:8">
      <c r="G7166" s="87"/>
      <c r="H7166" s="90"/>
    </row>
    <row r="7167" spans="7:8">
      <c r="G7167" s="87"/>
      <c r="H7167" s="90"/>
    </row>
    <row r="7168" spans="7:8">
      <c r="G7168" s="87"/>
      <c r="H7168" s="90"/>
    </row>
    <row r="7169" spans="7:8">
      <c r="G7169" s="87"/>
      <c r="H7169" s="90"/>
    </row>
    <row r="7170" spans="7:8">
      <c r="G7170" s="87"/>
      <c r="H7170" s="90"/>
    </row>
    <row r="7171" spans="7:8">
      <c r="G7171" s="87"/>
      <c r="H7171" s="90"/>
    </row>
    <row r="7172" spans="7:8">
      <c r="G7172" s="87"/>
      <c r="H7172" s="90"/>
    </row>
    <row r="7173" spans="7:8">
      <c r="G7173" s="87"/>
      <c r="H7173" s="90"/>
    </row>
    <row r="7174" spans="7:8">
      <c r="G7174" s="87"/>
      <c r="H7174" s="90"/>
    </row>
    <row r="7175" spans="7:8">
      <c r="G7175" s="87"/>
      <c r="H7175" s="90"/>
    </row>
    <row r="7176" spans="7:8">
      <c r="G7176" s="87"/>
      <c r="H7176" s="90"/>
    </row>
    <row r="7177" spans="7:8">
      <c r="G7177" s="87"/>
      <c r="H7177" s="90"/>
    </row>
    <row r="7178" spans="7:8">
      <c r="G7178" s="87"/>
      <c r="H7178" s="90"/>
    </row>
    <row r="7179" spans="7:8">
      <c r="G7179" s="87"/>
      <c r="H7179" s="90"/>
    </row>
    <row r="7180" spans="7:8">
      <c r="G7180" s="87"/>
      <c r="H7180" s="90"/>
    </row>
    <row r="7181" spans="7:8">
      <c r="G7181" s="87"/>
      <c r="H7181" s="90"/>
    </row>
    <row r="7182" spans="7:8">
      <c r="G7182" s="87"/>
      <c r="H7182" s="90"/>
    </row>
    <row r="7183" spans="7:8">
      <c r="G7183" s="87"/>
      <c r="H7183" s="90"/>
    </row>
    <row r="7184" spans="7:8">
      <c r="G7184" s="87"/>
      <c r="H7184" s="90"/>
    </row>
    <row r="7185" spans="7:8">
      <c r="G7185" s="87"/>
      <c r="H7185" s="90"/>
    </row>
    <row r="7186" spans="7:8">
      <c r="G7186" s="87"/>
      <c r="H7186" s="90"/>
    </row>
    <row r="7187" spans="7:8">
      <c r="G7187" s="87"/>
      <c r="H7187" s="90"/>
    </row>
    <row r="7188" spans="7:8">
      <c r="G7188" s="87"/>
      <c r="H7188" s="90"/>
    </row>
    <row r="7189" spans="7:8">
      <c r="G7189" s="87"/>
      <c r="H7189" s="90"/>
    </row>
    <row r="7190" spans="7:8">
      <c r="G7190" s="87"/>
      <c r="H7190" s="90"/>
    </row>
    <row r="7191" spans="7:8">
      <c r="G7191" s="87"/>
      <c r="H7191" s="90"/>
    </row>
    <row r="7192" spans="7:8">
      <c r="G7192" s="87"/>
      <c r="H7192" s="90"/>
    </row>
    <row r="7193" spans="7:8">
      <c r="G7193" s="87"/>
      <c r="H7193" s="90"/>
    </row>
    <row r="7194" spans="7:8">
      <c r="G7194" s="87"/>
      <c r="H7194" s="90"/>
    </row>
    <row r="7195" spans="7:8">
      <c r="G7195" s="87"/>
      <c r="H7195" s="90"/>
    </row>
    <row r="7196" spans="7:8">
      <c r="G7196" s="87"/>
      <c r="H7196" s="90"/>
    </row>
    <row r="7197" spans="7:8">
      <c r="G7197" s="87"/>
      <c r="H7197" s="90"/>
    </row>
    <row r="7198" spans="7:8">
      <c r="G7198" s="87"/>
      <c r="H7198" s="90"/>
    </row>
    <row r="7199" spans="7:8">
      <c r="G7199" s="87"/>
      <c r="H7199" s="90"/>
    </row>
    <row r="7200" spans="7:8">
      <c r="G7200" s="87"/>
      <c r="H7200" s="90"/>
    </row>
    <row r="7201" spans="7:8">
      <c r="G7201" s="87"/>
      <c r="H7201" s="90"/>
    </row>
    <row r="7202" spans="7:8">
      <c r="G7202" s="87"/>
      <c r="H7202" s="90"/>
    </row>
    <row r="7203" spans="7:8">
      <c r="G7203" s="87"/>
      <c r="H7203" s="90"/>
    </row>
    <row r="7204" spans="7:8">
      <c r="G7204" s="87"/>
      <c r="H7204" s="90"/>
    </row>
    <row r="7205" spans="7:8">
      <c r="G7205" s="87"/>
      <c r="H7205" s="90"/>
    </row>
    <row r="7206" spans="7:8">
      <c r="G7206" s="87"/>
      <c r="H7206" s="90"/>
    </row>
    <row r="7207" spans="7:8">
      <c r="G7207" s="87"/>
      <c r="H7207" s="90"/>
    </row>
    <row r="7208" spans="7:8">
      <c r="G7208" s="87"/>
      <c r="H7208" s="90"/>
    </row>
    <row r="7209" spans="7:8">
      <c r="G7209" s="87"/>
      <c r="H7209" s="90"/>
    </row>
    <row r="7210" spans="7:8">
      <c r="G7210" s="87"/>
      <c r="H7210" s="90"/>
    </row>
    <row r="7211" spans="7:8">
      <c r="G7211" s="87"/>
      <c r="H7211" s="90"/>
    </row>
    <row r="7212" spans="7:8">
      <c r="G7212" s="87"/>
      <c r="H7212" s="90"/>
    </row>
    <row r="7213" spans="7:8">
      <c r="G7213" s="87"/>
      <c r="H7213" s="90"/>
    </row>
    <row r="7214" spans="7:8">
      <c r="G7214" s="87"/>
      <c r="H7214" s="90"/>
    </row>
    <row r="7215" spans="7:8">
      <c r="G7215" s="87"/>
      <c r="H7215" s="90"/>
    </row>
    <row r="7216" spans="7:8">
      <c r="G7216" s="87"/>
      <c r="H7216" s="90"/>
    </row>
    <row r="7217" spans="7:8">
      <c r="G7217" s="87"/>
      <c r="H7217" s="90"/>
    </row>
    <row r="7218" spans="7:8">
      <c r="G7218" s="87"/>
      <c r="H7218" s="90"/>
    </row>
    <row r="7219" spans="7:8">
      <c r="G7219" s="87"/>
      <c r="H7219" s="90"/>
    </row>
    <row r="7220" spans="7:8">
      <c r="G7220" s="87"/>
      <c r="H7220" s="90"/>
    </row>
    <row r="7221" spans="7:8">
      <c r="G7221" s="87"/>
      <c r="H7221" s="90"/>
    </row>
    <row r="7222" spans="7:8">
      <c r="G7222" s="87"/>
      <c r="H7222" s="90"/>
    </row>
    <row r="7223" spans="7:8">
      <c r="G7223" s="87"/>
      <c r="H7223" s="90"/>
    </row>
    <row r="7224" spans="7:8">
      <c r="G7224" s="87"/>
      <c r="H7224" s="90"/>
    </row>
    <row r="7225" spans="7:8">
      <c r="G7225" s="87"/>
      <c r="H7225" s="90"/>
    </row>
    <row r="7226" spans="7:8">
      <c r="G7226" s="87"/>
      <c r="H7226" s="90"/>
    </row>
    <row r="7227" spans="7:8">
      <c r="G7227" s="87"/>
      <c r="H7227" s="90"/>
    </row>
    <row r="7228" spans="7:8">
      <c r="G7228" s="87"/>
      <c r="H7228" s="90"/>
    </row>
    <row r="7229" spans="7:8">
      <c r="G7229" s="87"/>
      <c r="H7229" s="90"/>
    </row>
    <row r="7230" spans="7:8">
      <c r="G7230" s="87"/>
      <c r="H7230" s="90"/>
    </row>
    <row r="7231" spans="7:8">
      <c r="G7231" s="87"/>
      <c r="H7231" s="90"/>
    </row>
    <row r="7232" spans="7:8">
      <c r="G7232" s="87"/>
      <c r="H7232" s="90"/>
    </row>
    <row r="7233" spans="7:8">
      <c r="G7233" s="87"/>
      <c r="H7233" s="90"/>
    </row>
    <row r="7234" spans="7:8">
      <c r="G7234" s="87"/>
      <c r="H7234" s="90"/>
    </row>
    <row r="7235" spans="7:8">
      <c r="G7235" s="87"/>
      <c r="H7235" s="90"/>
    </row>
    <row r="7236" spans="7:8">
      <c r="G7236" s="87"/>
      <c r="H7236" s="90"/>
    </row>
    <row r="7237" spans="7:8">
      <c r="G7237" s="87"/>
      <c r="H7237" s="90"/>
    </row>
    <row r="7238" spans="7:8">
      <c r="G7238" s="87"/>
      <c r="H7238" s="90"/>
    </row>
    <row r="7239" spans="7:8">
      <c r="G7239" s="87"/>
      <c r="H7239" s="90"/>
    </row>
    <row r="7240" spans="7:8">
      <c r="G7240" s="87"/>
      <c r="H7240" s="90"/>
    </row>
    <row r="7241" spans="7:8">
      <c r="G7241" s="87"/>
      <c r="H7241" s="90"/>
    </row>
    <row r="7242" spans="7:8">
      <c r="G7242" s="87"/>
      <c r="H7242" s="90"/>
    </row>
    <row r="7243" spans="7:8">
      <c r="G7243" s="87"/>
      <c r="H7243" s="90"/>
    </row>
    <row r="7244" spans="7:8">
      <c r="G7244" s="87"/>
      <c r="H7244" s="90"/>
    </row>
    <row r="7245" spans="7:8">
      <c r="G7245" s="87"/>
      <c r="H7245" s="90"/>
    </row>
    <row r="7246" spans="7:8">
      <c r="G7246" s="87"/>
      <c r="H7246" s="90"/>
    </row>
    <row r="7247" spans="7:8">
      <c r="G7247" s="87"/>
      <c r="H7247" s="90"/>
    </row>
    <row r="7248" spans="7:8">
      <c r="G7248" s="87"/>
      <c r="H7248" s="90"/>
    </row>
    <row r="7249" spans="7:8">
      <c r="G7249" s="87"/>
      <c r="H7249" s="90"/>
    </row>
    <row r="7250" spans="7:8">
      <c r="G7250" s="87"/>
      <c r="H7250" s="90"/>
    </row>
    <row r="7251" spans="7:8">
      <c r="G7251" s="87"/>
      <c r="H7251" s="90"/>
    </row>
    <row r="7252" spans="7:8">
      <c r="G7252" s="87"/>
      <c r="H7252" s="90"/>
    </row>
    <row r="7253" spans="7:8">
      <c r="G7253" s="87"/>
      <c r="H7253" s="90"/>
    </row>
    <row r="7254" spans="7:8">
      <c r="G7254" s="87"/>
      <c r="H7254" s="90"/>
    </row>
    <row r="7255" spans="7:8">
      <c r="G7255" s="87"/>
      <c r="H7255" s="90"/>
    </row>
    <row r="7256" spans="7:8">
      <c r="G7256" s="87"/>
      <c r="H7256" s="90"/>
    </row>
    <row r="7257" spans="7:8">
      <c r="G7257" s="87"/>
      <c r="H7257" s="90"/>
    </row>
    <row r="7258" spans="7:8">
      <c r="G7258" s="87"/>
      <c r="H7258" s="90"/>
    </row>
    <row r="7259" spans="7:8">
      <c r="G7259" s="87"/>
      <c r="H7259" s="90"/>
    </row>
    <row r="7260" spans="7:8">
      <c r="G7260" s="87"/>
      <c r="H7260" s="90"/>
    </row>
    <row r="7261" spans="7:8">
      <c r="G7261" s="87"/>
      <c r="H7261" s="90"/>
    </row>
    <row r="7262" spans="7:8">
      <c r="G7262" s="87"/>
      <c r="H7262" s="90"/>
    </row>
    <row r="7263" spans="7:8">
      <c r="G7263" s="87"/>
      <c r="H7263" s="90"/>
    </row>
    <row r="7264" spans="7:8">
      <c r="G7264" s="87"/>
      <c r="H7264" s="90"/>
    </row>
    <row r="7265" spans="7:8">
      <c r="G7265" s="87"/>
      <c r="H7265" s="90"/>
    </row>
    <row r="7266" spans="7:8">
      <c r="G7266" s="87"/>
      <c r="H7266" s="90"/>
    </row>
    <row r="7267" spans="7:8">
      <c r="G7267" s="87"/>
      <c r="H7267" s="90"/>
    </row>
    <row r="7268" spans="7:8">
      <c r="G7268" s="87"/>
      <c r="H7268" s="90"/>
    </row>
    <row r="7269" spans="7:8">
      <c r="G7269" s="87"/>
      <c r="H7269" s="90"/>
    </row>
    <row r="7270" spans="7:8">
      <c r="G7270" s="87"/>
      <c r="H7270" s="90"/>
    </row>
    <row r="7271" spans="7:8">
      <c r="G7271" s="87"/>
      <c r="H7271" s="90"/>
    </row>
    <row r="7272" spans="7:8">
      <c r="G7272" s="87"/>
      <c r="H7272" s="90"/>
    </row>
    <row r="7273" spans="7:8">
      <c r="G7273" s="87"/>
      <c r="H7273" s="90"/>
    </row>
    <row r="7274" spans="7:8">
      <c r="G7274" s="87"/>
      <c r="H7274" s="90"/>
    </row>
    <row r="7275" spans="7:8">
      <c r="G7275" s="87"/>
      <c r="H7275" s="90"/>
    </row>
    <row r="7276" spans="7:8">
      <c r="G7276" s="87"/>
      <c r="H7276" s="90"/>
    </row>
    <row r="7277" spans="7:8">
      <c r="G7277" s="87"/>
      <c r="H7277" s="90"/>
    </row>
    <row r="7278" spans="7:8">
      <c r="G7278" s="87"/>
      <c r="H7278" s="90"/>
    </row>
    <row r="7279" spans="7:8">
      <c r="G7279" s="87"/>
      <c r="H7279" s="90"/>
    </row>
    <row r="7280" spans="7:8">
      <c r="G7280" s="87"/>
      <c r="H7280" s="90"/>
    </row>
    <row r="7281" spans="7:8">
      <c r="G7281" s="87"/>
      <c r="H7281" s="90"/>
    </row>
    <row r="7282" spans="7:8">
      <c r="G7282" s="87"/>
      <c r="H7282" s="90"/>
    </row>
    <row r="7283" spans="7:8">
      <c r="G7283" s="87"/>
      <c r="H7283" s="90"/>
    </row>
    <row r="7284" spans="7:8">
      <c r="G7284" s="87"/>
      <c r="H7284" s="90"/>
    </row>
    <row r="7285" spans="7:8">
      <c r="G7285" s="87"/>
      <c r="H7285" s="90"/>
    </row>
    <row r="7286" spans="7:8">
      <c r="G7286" s="87"/>
      <c r="H7286" s="90"/>
    </row>
    <row r="7287" spans="7:8">
      <c r="G7287" s="87"/>
      <c r="H7287" s="90"/>
    </row>
    <row r="7288" spans="7:8">
      <c r="G7288" s="87"/>
      <c r="H7288" s="90"/>
    </row>
    <row r="7289" spans="7:8">
      <c r="G7289" s="87"/>
      <c r="H7289" s="90"/>
    </row>
    <row r="7290" spans="7:8">
      <c r="G7290" s="87"/>
      <c r="H7290" s="90"/>
    </row>
    <row r="7291" spans="7:8">
      <c r="G7291" s="87"/>
      <c r="H7291" s="90"/>
    </row>
    <row r="7292" spans="7:8">
      <c r="G7292" s="87"/>
      <c r="H7292" s="90"/>
    </row>
    <row r="7293" spans="7:8">
      <c r="G7293" s="87"/>
      <c r="H7293" s="90"/>
    </row>
    <row r="7294" spans="7:8">
      <c r="G7294" s="87"/>
      <c r="H7294" s="90"/>
    </row>
    <row r="7295" spans="7:8">
      <c r="G7295" s="87"/>
      <c r="H7295" s="90"/>
    </row>
    <row r="7296" spans="7:8">
      <c r="G7296" s="87"/>
      <c r="H7296" s="90"/>
    </row>
    <row r="7297" spans="7:8">
      <c r="G7297" s="87"/>
      <c r="H7297" s="90"/>
    </row>
    <row r="7298" spans="7:8">
      <c r="G7298" s="87"/>
      <c r="H7298" s="90"/>
    </row>
    <row r="7299" spans="7:8">
      <c r="G7299" s="87"/>
      <c r="H7299" s="90"/>
    </row>
    <row r="7300" spans="7:8">
      <c r="G7300" s="87"/>
      <c r="H7300" s="90"/>
    </row>
    <row r="7301" spans="7:8">
      <c r="G7301" s="87"/>
      <c r="H7301" s="90"/>
    </row>
    <row r="7302" spans="7:8">
      <c r="G7302" s="87"/>
      <c r="H7302" s="90"/>
    </row>
    <row r="7303" spans="7:8">
      <c r="G7303" s="87"/>
      <c r="H7303" s="90"/>
    </row>
    <row r="7304" spans="7:8">
      <c r="G7304" s="87"/>
      <c r="H7304" s="90"/>
    </row>
    <row r="7305" spans="7:8">
      <c r="G7305" s="87"/>
      <c r="H7305" s="90"/>
    </row>
    <row r="7306" spans="7:8">
      <c r="G7306" s="87"/>
      <c r="H7306" s="90"/>
    </row>
    <row r="7307" spans="7:8">
      <c r="G7307" s="87"/>
      <c r="H7307" s="90"/>
    </row>
    <row r="7308" spans="7:8">
      <c r="G7308" s="87"/>
      <c r="H7308" s="90"/>
    </row>
    <row r="7309" spans="7:8">
      <c r="G7309" s="87"/>
      <c r="H7309" s="90"/>
    </row>
    <row r="7310" spans="7:8">
      <c r="G7310" s="87"/>
      <c r="H7310" s="90"/>
    </row>
    <row r="7311" spans="7:8">
      <c r="G7311" s="87"/>
      <c r="H7311" s="90"/>
    </row>
    <row r="7312" spans="7:8">
      <c r="G7312" s="87"/>
      <c r="H7312" s="90"/>
    </row>
    <row r="7313" spans="7:8">
      <c r="G7313" s="87"/>
      <c r="H7313" s="90"/>
    </row>
    <row r="7314" spans="7:8">
      <c r="G7314" s="87"/>
      <c r="H7314" s="90"/>
    </row>
    <row r="7315" spans="7:8">
      <c r="G7315" s="87"/>
      <c r="H7315" s="90"/>
    </row>
    <row r="7316" spans="7:8">
      <c r="G7316" s="87"/>
      <c r="H7316" s="90"/>
    </row>
    <row r="7317" spans="7:8">
      <c r="G7317" s="87"/>
      <c r="H7317" s="90"/>
    </row>
    <row r="7318" spans="7:8">
      <c r="G7318" s="87"/>
      <c r="H7318" s="90"/>
    </row>
    <row r="7319" spans="7:8">
      <c r="G7319" s="87"/>
      <c r="H7319" s="90"/>
    </row>
    <row r="7320" spans="7:8">
      <c r="G7320" s="87"/>
      <c r="H7320" s="90"/>
    </row>
    <row r="7321" spans="7:8">
      <c r="G7321" s="87"/>
      <c r="H7321" s="90"/>
    </row>
    <row r="7322" spans="7:8">
      <c r="G7322" s="87"/>
      <c r="H7322" s="90"/>
    </row>
    <row r="7323" spans="7:8">
      <c r="G7323" s="87"/>
      <c r="H7323" s="90"/>
    </row>
    <row r="7324" spans="7:8">
      <c r="G7324" s="87"/>
      <c r="H7324" s="90"/>
    </row>
    <row r="7325" spans="7:8">
      <c r="G7325" s="87"/>
      <c r="H7325" s="90"/>
    </row>
    <row r="7326" spans="7:8">
      <c r="G7326" s="87"/>
      <c r="H7326" s="90"/>
    </row>
    <row r="7327" spans="7:8">
      <c r="G7327" s="87"/>
      <c r="H7327" s="90"/>
    </row>
    <row r="7328" spans="7:8">
      <c r="G7328" s="87"/>
      <c r="H7328" s="90"/>
    </row>
    <row r="7329" spans="7:8">
      <c r="G7329" s="87"/>
      <c r="H7329" s="90"/>
    </row>
    <row r="7330" spans="7:8">
      <c r="G7330" s="87"/>
      <c r="H7330" s="90"/>
    </row>
    <row r="7331" spans="7:8">
      <c r="G7331" s="87"/>
      <c r="H7331" s="90"/>
    </row>
    <row r="7332" spans="7:8">
      <c r="G7332" s="87"/>
      <c r="H7332" s="90"/>
    </row>
    <row r="7333" spans="7:8">
      <c r="G7333" s="87"/>
      <c r="H7333" s="90"/>
    </row>
    <row r="7334" spans="7:8">
      <c r="G7334" s="87"/>
      <c r="H7334" s="90"/>
    </row>
    <row r="7335" spans="7:8">
      <c r="G7335" s="87"/>
      <c r="H7335" s="90"/>
    </row>
    <row r="7336" spans="7:8">
      <c r="G7336" s="87"/>
      <c r="H7336" s="90"/>
    </row>
    <row r="7337" spans="7:8">
      <c r="G7337" s="87"/>
      <c r="H7337" s="90"/>
    </row>
    <row r="7338" spans="7:8">
      <c r="G7338" s="87"/>
      <c r="H7338" s="90"/>
    </row>
    <row r="7339" spans="7:8">
      <c r="G7339" s="87"/>
      <c r="H7339" s="90"/>
    </row>
    <row r="7340" spans="7:8">
      <c r="G7340" s="87"/>
      <c r="H7340" s="90"/>
    </row>
    <row r="7341" spans="7:8">
      <c r="G7341" s="87"/>
      <c r="H7341" s="90"/>
    </row>
    <row r="7342" spans="7:8">
      <c r="G7342" s="87"/>
      <c r="H7342" s="90"/>
    </row>
    <row r="7343" spans="7:8">
      <c r="G7343" s="87"/>
      <c r="H7343" s="90"/>
    </row>
    <row r="7344" spans="7:8">
      <c r="G7344" s="87"/>
      <c r="H7344" s="90"/>
    </row>
    <row r="7345" spans="7:8">
      <c r="G7345" s="87"/>
      <c r="H7345" s="90"/>
    </row>
    <row r="7346" spans="7:8">
      <c r="G7346" s="87"/>
      <c r="H7346" s="90"/>
    </row>
    <row r="7347" spans="7:8">
      <c r="G7347" s="87"/>
      <c r="H7347" s="90"/>
    </row>
    <row r="7348" spans="7:8">
      <c r="G7348" s="87"/>
      <c r="H7348" s="90"/>
    </row>
    <row r="7349" spans="7:8">
      <c r="G7349" s="87"/>
      <c r="H7349" s="90"/>
    </row>
    <row r="7350" spans="7:8">
      <c r="G7350" s="87"/>
      <c r="H7350" s="90"/>
    </row>
    <row r="7351" spans="7:8">
      <c r="G7351" s="87"/>
      <c r="H7351" s="90"/>
    </row>
    <row r="7352" spans="7:8">
      <c r="G7352" s="87"/>
      <c r="H7352" s="90"/>
    </row>
    <row r="7353" spans="7:8">
      <c r="G7353" s="87"/>
      <c r="H7353" s="90"/>
    </row>
    <row r="7354" spans="7:8">
      <c r="G7354" s="87"/>
      <c r="H7354" s="90"/>
    </row>
    <row r="7355" spans="7:8">
      <c r="G7355" s="87"/>
      <c r="H7355" s="90"/>
    </row>
    <row r="7356" spans="7:8">
      <c r="G7356" s="87"/>
      <c r="H7356" s="90"/>
    </row>
    <row r="7357" spans="7:8">
      <c r="G7357" s="87"/>
      <c r="H7357" s="90"/>
    </row>
    <row r="7358" spans="7:8">
      <c r="G7358" s="87"/>
      <c r="H7358" s="90"/>
    </row>
    <row r="7359" spans="7:8">
      <c r="G7359" s="87"/>
      <c r="H7359" s="90"/>
    </row>
    <row r="7360" spans="7:8">
      <c r="G7360" s="87"/>
      <c r="H7360" s="90"/>
    </row>
    <row r="7361" spans="7:8">
      <c r="G7361" s="87"/>
      <c r="H7361" s="90"/>
    </row>
    <row r="7362" spans="7:8">
      <c r="G7362" s="87"/>
      <c r="H7362" s="90"/>
    </row>
    <row r="7363" spans="7:8">
      <c r="G7363" s="87"/>
      <c r="H7363" s="90"/>
    </row>
    <row r="7364" spans="7:8">
      <c r="G7364" s="87"/>
      <c r="H7364" s="90"/>
    </row>
    <row r="7365" spans="7:8">
      <c r="G7365" s="87"/>
      <c r="H7365" s="90"/>
    </row>
    <row r="7366" spans="7:8">
      <c r="G7366" s="87"/>
      <c r="H7366" s="90"/>
    </row>
    <row r="7367" spans="7:8">
      <c r="G7367" s="87"/>
      <c r="H7367" s="90"/>
    </row>
    <row r="7368" spans="7:8">
      <c r="G7368" s="87"/>
      <c r="H7368" s="90"/>
    </row>
    <row r="7369" spans="7:8">
      <c r="G7369" s="87"/>
      <c r="H7369" s="90"/>
    </row>
    <row r="7370" spans="7:8">
      <c r="G7370" s="87"/>
      <c r="H7370" s="90"/>
    </row>
    <row r="7371" spans="7:8">
      <c r="G7371" s="87"/>
      <c r="H7371" s="90"/>
    </row>
    <row r="7372" spans="7:8">
      <c r="G7372" s="87"/>
      <c r="H7372" s="90"/>
    </row>
    <row r="7373" spans="7:8">
      <c r="G7373" s="87"/>
      <c r="H7373" s="90"/>
    </row>
    <row r="7374" spans="7:8">
      <c r="G7374" s="87"/>
      <c r="H7374" s="90"/>
    </row>
    <row r="7375" spans="7:8">
      <c r="G7375" s="87"/>
      <c r="H7375" s="90"/>
    </row>
    <row r="7376" spans="7:8">
      <c r="G7376" s="87"/>
      <c r="H7376" s="90"/>
    </row>
    <row r="7377" spans="7:8">
      <c r="G7377" s="87"/>
      <c r="H7377" s="90"/>
    </row>
    <row r="7378" spans="7:8">
      <c r="G7378" s="87"/>
      <c r="H7378" s="90"/>
    </row>
    <row r="7379" spans="7:8">
      <c r="G7379" s="87"/>
      <c r="H7379" s="90"/>
    </row>
    <row r="7380" spans="7:8">
      <c r="G7380" s="87"/>
      <c r="H7380" s="90"/>
    </row>
    <row r="7381" spans="7:8">
      <c r="G7381" s="87"/>
      <c r="H7381" s="90"/>
    </row>
    <row r="7382" spans="7:8">
      <c r="G7382" s="87"/>
      <c r="H7382" s="90"/>
    </row>
    <row r="7383" spans="7:8">
      <c r="G7383" s="87"/>
      <c r="H7383" s="90"/>
    </row>
    <row r="7384" spans="7:8">
      <c r="G7384" s="87"/>
      <c r="H7384" s="90"/>
    </row>
    <row r="7385" spans="7:8">
      <c r="G7385" s="87"/>
      <c r="H7385" s="90"/>
    </row>
    <row r="7386" spans="7:8">
      <c r="G7386" s="87"/>
      <c r="H7386" s="90"/>
    </row>
    <row r="7387" spans="7:8">
      <c r="G7387" s="87"/>
      <c r="H7387" s="90"/>
    </row>
    <row r="7388" spans="7:8">
      <c r="G7388" s="87"/>
      <c r="H7388" s="90"/>
    </row>
    <row r="7389" spans="7:8">
      <c r="G7389" s="87"/>
      <c r="H7389" s="90"/>
    </row>
    <row r="7390" spans="7:8">
      <c r="G7390" s="87"/>
      <c r="H7390" s="90"/>
    </row>
    <row r="7391" spans="7:8">
      <c r="G7391" s="87"/>
      <c r="H7391" s="90"/>
    </row>
    <row r="7392" spans="7:8">
      <c r="G7392" s="87"/>
      <c r="H7392" s="90"/>
    </row>
    <row r="7393" spans="7:8">
      <c r="G7393" s="87"/>
      <c r="H7393" s="90"/>
    </row>
    <row r="7394" spans="7:8">
      <c r="G7394" s="87"/>
      <c r="H7394" s="90"/>
    </row>
    <row r="7395" spans="7:8">
      <c r="G7395" s="87"/>
      <c r="H7395" s="90"/>
    </row>
    <row r="7396" spans="7:8">
      <c r="G7396" s="87"/>
      <c r="H7396" s="90"/>
    </row>
    <row r="7397" spans="7:8">
      <c r="G7397" s="87"/>
      <c r="H7397" s="90"/>
    </row>
    <row r="7398" spans="7:8">
      <c r="G7398" s="87"/>
      <c r="H7398" s="90"/>
    </row>
    <row r="7399" spans="7:8">
      <c r="G7399" s="87"/>
      <c r="H7399" s="90"/>
    </row>
    <row r="7400" spans="7:8">
      <c r="G7400" s="87"/>
      <c r="H7400" s="90"/>
    </row>
    <row r="7401" spans="7:8">
      <c r="G7401" s="87"/>
      <c r="H7401" s="90"/>
    </row>
    <row r="7402" spans="7:8">
      <c r="G7402" s="87"/>
      <c r="H7402" s="90"/>
    </row>
    <row r="7403" spans="7:8">
      <c r="G7403" s="87"/>
      <c r="H7403" s="90"/>
    </row>
    <row r="7404" spans="7:8">
      <c r="G7404" s="87"/>
      <c r="H7404" s="90"/>
    </row>
    <row r="7405" spans="7:8">
      <c r="G7405" s="87"/>
      <c r="H7405" s="90"/>
    </row>
    <row r="7406" spans="7:8">
      <c r="G7406" s="87"/>
      <c r="H7406" s="90"/>
    </row>
    <row r="7407" spans="7:8">
      <c r="G7407" s="87"/>
      <c r="H7407" s="90"/>
    </row>
    <row r="7408" spans="7:8">
      <c r="G7408" s="87"/>
      <c r="H7408" s="90"/>
    </row>
    <row r="7409" spans="7:8">
      <c r="G7409" s="87"/>
      <c r="H7409" s="90"/>
    </row>
    <row r="7410" spans="7:8">
      <c r="G7410" s="87"/>
      <c r="H7410" s="90"/>
    </row>
    <row r="7411" spans="7:8">
      <c r="G7411" s="87"/>
      <c r="H7411" s="90"/>
    </row>
    <row r="7412" spans="7:8">
      <c r="G7412" s="87"/>
      <c r="H7412" s="90"/>
    </row>
    <row r="7413" spans="7:8">
      <c r="G7413" s="87"/>
      <c r="H7413" s="90"/>
    </row>
    <row r="7414" spans="7:8">
      <c r="G7414" s="87"/>
      <c r="H7414" s="90"/>
    </row>
    <row r="7415" spans="7:8">
      <c r="G7415" s="87"/>
      <c r="H7415" s="90"/>
    </row>
    <row r="7416" spans="7:8">
      <c r="G7416" s="87"/>
      <c r="H7416" s="90"/>
    </row>
    <row r="7417" spans="7:8">
      <c r="G7417" s="87"/>
      <c r="H7417" s="90"/>
    </row>
    <row r="7418" spans="7:8">
      <c r="G7418" s="87"/>
      <c r="H7418" s="90"/>
    </row>
    <row r="7419" spans="7:8">
      <c r="G7419" s="87"/>
      <c r="H7419" s="90"/>
    </row>
    <row r="7420" spans="7:8">
      <c r="G7420" s="87"/>
      <c r="H7420" s="90"/>
    </row>
    <row r="7421" spans="7:8">
      <c r="G7421" s="87"/>
      <c r="H7421" s="90"/>
    </row>
    <row r="7422" spans="7:8">
      <c r="G7422" s="87"/>
      <c r="H7422" s="90"/>
    </row>
    <row r="7423" spans="7:8">
      <c r="G7423" s="87"/>
      <c r="H7423" s="90"/>
    </row>
    <row r="7424" spans="7:8">
      <c r="G7424" s="87"/>
      <c r="H7424" s="90"/>
    </row>
    <row r="7425" spans="7:8">
      <c r="G7425" s="87"/>
      <c r="H7425" s="90"/>
    </row>
    <row r="7426" spans="7:8">
      <c r="G7426" s="87"/>
      <c r="H7426" s="90"/>
    </row>
    <row r="7427" spans="7:8">
      <c r="G7427" s="87"/>
      <c r="H7427" s="90"/>
    </row>
    <row r="7428" spans="7:8">
      <c r="G7428" s="87"/>
      <c r="H7428" s="90"/>
    </row>
    <row r="7429" spans="7:8">
      <c r="G7429" s="87"/>
      <c r="H7429" s="90"/>
    </row>
    <row r="7430" spans="7:8">
      <c r="G7430" s="87"/>
      <c r="H7430" s="90"/>
    </row>
    <row r="7431" spans="7:8">
      <c r="G7431" s="87"/>
      <c r="H7431" s="90"/>
    </row>
    <row r="7432" spans="7:8">
      <c r="G7432" s="87"/>
      <c r="H7432" s="90"/>
    </row>
    <row r="7433" spans="7:8">
      <c r="G7433" s="87"/>
      <c r="H7433" s="90"/>
    </row>
    <row r="7434" spans="7:8">
      <c r="G7434" s="87"/>
      <c r="H7434" s="90"/>
    </row>
    <row r="7435" spans="7:8">
      <c r="G7435" s="87"/>
      <c r="H7435" s="90"/>
    </row>
    <row r="7436" spans="7:8">
      <c r="G7436" s="87"/>
      <c r="H7436" s="90"/>
    </row>
    <row r="7437" spans="7:8">
      <c r="G7437" s="87"/>
      <c r="H7437" s="90"/>
    </row>
    <row r="7438" spans="7:8">
      <c r="G7438" s="87"/>
      <c r="H7438" s="90"/>
    </row>
    <row r="7439" spans="7:8">
      <c r="G7439" s="87"/>
      <c r="H7439" s="90"/>
    </row>
    <row r="7440" spans="7:8">
      <c r="G7440" s="87"/>
      <c r="H7440" s="90"/>
    </row>
    <row r="7441" spans="7:8">
      <c r="G7441" s="87"/>
      <c r="H7441" s="90"/>
    </row>
    <row r="7442" spans="7:8">
      <c r="G7442" s="87"/>
      <c r="H7442" s="90"/>
    </row>
    <row r="7443" spans="7:8">
      <c r="G7443" s="87"/>
      <c r="H7443" s="90"/>
    </row>
    <row r="7444" spans="7:8">
      <c r="G7444" s="87"/>
      <c r="H7444" s="90"/>
    </row>
    <row r="7445" spans="7:8">
      <c r="G7445" s="87"/>
      <c r="H7445" s="90"/>
    </row>
    <row r="7446" spans="7:8">
      <c r="G7446" s="87"/>
      <c r="H7446" s="90"/>
    </row>
    <row r="7447" spans="7:8">
      <c r="G7447" s="87"/>
      <c r="H7447" s="90"/>
    </row>
    <row r="7448" spans="7:8">
      <c r="G7448" s="87"/>
      <c r="H7448" s="90"/>
    </row>
    <row r="7449" spans="7:8">
      <c r="G7449" s="87"/>
      <c r="H7449" s="90"/>
    </row>
    <row r="7450" spans="7:8">
      <c r="G7450" s="87"/>
      <c r="H7450" s="90"/>
    </row>
    <row r="7451" spans="7:8">
      <c r="G7451" s="87"/>
      <c r="H7451" s="90"/>
    </row>
    <row r="7452" spans="7:8">
      <c r="G7452" s="87"/>
      <c r="H7452" s="90"/>
    </row>
    <row r="7453" spans="7:8">
      <c r="G7453" s="87"/>
      <c r="H7453" s="90"/>
    </row>
    <row r="7454" spans="7:8">
      <c r="G7454" s="87"/>
      <c r="H7454" s="90"/>
    </row>
    <row r="7455" spans="7:8">
      <c r="G7455" s="87"/>
      <c r="H7455" s="90"/>
    </row>
    <row r="7456" spans="7:8">
      <c r="G7456" s="87"/>
      <c r="H7456" s="90"/>
    </row>
    <row r="7457" spans="7:8">
      <c r="G7457" s="87"/>
      <c r="H7457" s="90"/>
    </row>
    <row r="7458" spans="7:8">
      <c r="G7458" s="87"/>
      <c r="H7458" s="90"/>
    </row>
    <row r="7459" spans="7:8">
      <c r="G7459" s="87"/>
      <c r="H7459" s="90"/>
    </row>
    <row r="7460" spans="7:8">
      <c r="G7460" s="87"/>
      <c r="H7460" s="90"/>
    </row>
    <row r="7461" spans="7:8">
      <c r="G7461" s="87"/>
      <c r="H7461" s="90"/>
    </row>
    <row r="7462" spans="7:8">
      <c r="G7462" s="87"/>
      <c r="H7462" s="90"/>
    </row>
    <row r="7463" spans="7:8">
      <c r="G7463" s="87"/>
      <c r="H7463" s="90"/>
    </row>
    <row r="7464" spans="7:8">
      <c r="G7464" s="87"/>
      <c r="H7464" s="90"/>
    </row>
    <row r="7465" spans="7:8">
      <c r="G7465" s="87"/>
      <c r="H7465" s="90"/>
    </row>
    <row r="7466" spans="7:8">
      <c r="G7466" s="87"/>
      <c r="H7466" s="90"/>
    </row>
    <row r="7467" spans="7:8">
      <c r="G7467" s="87"/>
      <c r="H7467" s="90"/>
    </row>
    <row r="7468" spans="7:8">
      <c r="G7468" s="87"/>
      <c r="H7468" s="90"/>
    </row>
    <row r="7469" spans="7:8">
      <c r="G7469" s="87"/>
      <c r="H7469" s="90"/>
    </row>
    <row r="7470" spans="7:8">
      <c r="G7470" s="87"/>
      <c r="H7470" s="90"/>
    </row>
    <row r="7471" spans="7:8">
      <c r="G7471" s="87"/>
      <c r="H7471" s="90"/>
    </row>
    <row r="7472" spans="7:8">
      <c r="G7472" s="87"/>
      <c r="H7472" s="90"/>
    </row>
    <row r="7473" spans="7:8">
      <c r="G7473" s="87"/>
      <c r="H7473" s="90"/>
    </row>
    <row r="7474" spans="7:8">
      <c r="G7474" s="87"/>
      <c r="H7474" s="90"/>
    </row>
    <row r="7475" spans="7:8">
      <c r="G7475" s="87"/>
      <c r="H7475" s="90"/>
    </row>
    <row r="7476" spans="7:8">
      <c r="G7476" s="87"/>
      <c r="H7476" s="90"/>
    </row>
    <row r="7477" spans="7:8">
      <c r="G7477" s="87"/>
      <c r="H7477" s="90"/>
    </row>
    <row r="7478" spans="7:8">
      <c r="G7478" s="87"/>
      <c r="H7478" s="90"/>
    </row>
    <row r="7479" spans="7:8">
      <c r="G7479" s="87"/>
      <c r="H7479" s="90"/>
    </row>
    <row r="7480" spans="7:8">
      <c r="G7480" s="87"/>
      <c r="H7480" s="90"/>
    </row>
    <row r="7481" spans="7:8">
      <c r="G7481" s="87"/>
      <c r="H7481" s="90"/>
    </row>
    <row r="7482" spans="7:8">
      <c r="G7482" s="87"/>
      <c r="H7482" s="90"/>
    </row>
    <row r="7483" spans="7:8">
      <c r="G7483" s="87"/>
      <c r="H7483" s="90"/>
    </row>
    <row r="7484" spans="7:8">
      <c r="G7484" s="87"/>
      <c r="H7484" s="90"/>
    </row>
    <row r="7485" spans="7:8">
      <c r="G7485" s="87"/>
      <c r="H7485" s="90"/>
    </row>
    <row r="7486" spans="7:8">
      <c r="G7486" s="87"/>
      <c r="H7486" s="90"/>
    </row>
    <row r="7487" spans="7:8">
      <c r="G7487" s="87"/>
      <c r="H7487" s="90"/>
    </row>
    <row r="7488" spans="7:8">
      <c r="G7488" s="87"/>
      <c r="H7488" s="90"/>
    </row>
    <row r="7489" spans="7:8">
      <c r="G7489" s="87"/>
      <c r="H7489" s="90"/>
    </row>
    <row r="7490" spans="7:8">
      <c r="G7490" s="87"/>
      <c r="H7490" s="90"/>
    </row>
    <row r="7491" spans="7:8">
      <c r="G7491" s="87"/>
      <c r="H7491" s="90"/>
    </row>
    <row r="7492" spans="7:8">
      <c r="G7492" s="87"/>
      <c r="H7492" s="90"/>
    </row>
    <row r="7493" spans="7:8">
      <c r="G7493" s="87"/>
      <c r="H7493" s="90"/>
    </row>
    <row r="7494" spans="7:8">
      <c r="G7494" s="87"/>
      <c r="H7494" s="90"/>
    </row>
    <row r="7495" spans="7:8">
      <c r="G7495" s="87"/>
      <c r="H7495" s="90"/>
    </row>
    <row r="7496" spans="7:8">
      <c r="G7496" s="87"/>
      <c r="H7496" s="90"/>
    </row>
    <row r="7497" spans="7:8">
      <c r="G7497" s="87"/>
      <c r="H7497" s="90"/>
    </row>
    <row r="7498" spans="7:8">
      <c r="G7498" s="87"/>
      <c r="H7498" s="90"/>
    </row>
    <row r="7499" spans="7:8">
      <c r="G7499" s="87"/>
      <c r="H7499" s="90"/>
    </row>
    <row r="7500" spans="7:8">
      <c r="G7500" s="87"/>
      <c r="H7500" s="90"/>
    </row>
    <row r="7501" spans="7:8">
      <c r="G7501" s="87"/>
      <c r="H7501" s="90"/>
    </row>
    <row r="7502" spans="7:8">
      <c r="G7502" s="87"/>
      <c r="H7502" s="90"/>
    </row>
    <row r="7503" spans="7:8">
      <c r="G7503" s="87"/>
      <c r="H7503" s="90"/>
    </row>
    <row r="7504" spans="7:8">
      <c r="G7504" s="87"/>
      <c r="H7504" s="90"/>
    </row>
    <row r="7505" spans="7:8">
      <c r="G7505" s="87"/>
      <c r="H7505" s="90"/>
    </row>
    <row r="7506" spans="7:8">
      <c r="G7506" s="87"/>
      <c r="H7506" s="90"/>
    </row>
    <row r="7507" spans="7:8">
      <c r="G7507" s="87"/>
      <c r="H7507" s="90"/>
    </row>
    <row r="7508" spans="7:8">
      <c r="G7508" s="87"/>
      <c r="H7508" s="90"/>
    </row>
    <row r="7509" spans="7:8">
      <c r="G7509" s="87"/>
      <c r="H7509" s="90"/>
    </row>
    <row r="7510" spans="7:8">
      <c r="G7510" s="87"/>
      <c r="H7510" s="90"/>
    </row>
    <row r="7511" spans="7:8">
      <c r="G7511" s="87"/>
      <c r="H7511" s="90"/>
    </row>
    <row r="7512" spans="7:8">
      <c r="G7512" s="87"/>
      <c r="H7512" s="90"/>
    </row>
    <row r="7513" spans="7:8">
      <c r="G7513" s="87"/>
      <c r="H7513" s="90"/>
    </row>
    <row r="7514" spans="7:8">
      <c r="G7514" s="87"/>
      <c r="H7514" s="90"/>
    </row>
    <row r="7515" spans="7:8">
      <c r="G7515" s="87"/>
      <c r="H7515" s="90"/>
    </row>
    <row r="7516" spans="7:8">
      <c r="G7516" s="87"/>
      <c r="H7516" s="90"/>
    </row>
    <row r="7517" spans="7:8">
      <c r="G7517" s="87"/>
      <c r="H7517" s="90"/>
    </row>
    <row r="7518" spans="7:8">
      <c r="G7518" s="87"/>
      <c r="H7518" s="90"/>
    </row>
    <row r="7519" spans="7:8">
      <c r="G7519" s="87"/>
      <c r="H7519" s="90"/>
    </row>
    <row r="7520" spans="7:8">
      <c r="G7520" s="87"/>
      <c r="H7520" s="90"/>
    </row>
    <row r="7521" spans="7:8">
      <c r="G7521" s="87"/>
      <c r="H7521" s="90"/>
    </row>
    <row r="7522" spans="7:8">
      <c r="G7522" s="87"/>
      <c r="H7522" s="90"/>
    </row>
    <row r="7523" spans="7:8">
      <c r="G7523" s="87"/>
      <c r="H7523" s="90"/>
    </row>
    <row r="7524" spans="7:8">
      <c r="G7524" s="87"/>
      <c r="H7524" s="90"/>
    </row>
    <row r="7525" spans="7:8">
      <c r="G7525" s="87"/>
      <c r="H7525" s="90"/>
    </row>
    <row r="7526" spans="7:8">
      <c r="G7526" s="87"/>
      <c r="H7526" s="90"/>
    </row>
    <row r="7527" spans="7:8">
      <c r="G7527" s="87"/>
      <c r="H7527" s="90"/>
    </row>
    <row r="7528" spans="7:8">
      <c r="G7528" s="87"/>
      <c r="H7528" s="90"/>
    </row>
    <row r="7529" spans="7:8">
      <c r="G7529" s="87"/>
      <c r="H7529" s="90"/>
    </row>
    <row r="7530" spans="7:8">
      <c r="G7530" s="87"/>
      <c r="H7530" s="90"/>
    </row>
    <row r="7531" spans="7:8">
      <c r="G7531" s="87"/>
      <c r="H7531" s="90"/>
    </row>
    <row r="7532" spans="7:8">
      <c r="G7532" s="87"/>
      <c r="H7532" s="90"/>
    </row>
    <row r="7533" spans="7:8">
      <c r="G7533" s="87"/>
      <c r="H7533" s="90"/>
    </row>
    <row r="7534" spans="7:8">
      <c r="G7534" s="87"/>
      <c r="H7534" s="90"/>
    </row>
    <row r="7535" spans="7:8">
      <c r="G7535" s="87"/>
      <c r="H7535" s="90"/>
    </row>
    <row r="7536" spans="7:8">
      <c r="G7536" s="87"/>
      <c r="H7536" s="90"/>
    </row>
    <row r="7537" spans="7:8">
      <c r="G7537" s="87"/>
      <c r="H7537" s="90"/>
    </row>
    <row r="7538" spans="7:8">
      <c r="G7538" s="87"/>
      <c r="H7538" s="90"/>
    </row>
    <row r="7539" spans="7:8">
      <c r="G7539" s="87"/>
      <c r="H7539" s="90"/>
    </row>
    <row r="7540" spans="7:8">
      <c r="G7540" s="87"/>
      <c r="H7540" s="90"/>
    </row>
    <row r="7541" spans="7:8">
      <c r="G7541" s="87"/>
      <c r="H7541" s="90"/>
    </row>
    <row r="7542" spans="7:8">
      <c r="G7542" s="87"/>
      <c r="H7542" s="90"/>
    </row>
    <row r="7543" spans="7:8">
      <c r="G7543" s="87"/>
      <c r="H7543" s="90"/>
    </row>
    <row r="7544" spans="7:8">
      <c r="G7544" s="87"/>
      <c r="H7544" s="90"/>
    </row>
    <row r="7545" spans="7:8">
      <c r="G7545" s="87"/>
      <c r="H7545" s="90"/>
    </row>
    <row r="7546" spans="7:8">
      <c r="G7546" s="87"/>
      <c r="H7546" s="90"/>
    </row>
    <row r="7547" spans="7:8">
      <c r="G7547" s="87"/>
      <c r="H7547" s="90"/>
    </row>
    <row r="7548" spans="7:8">
      <c r="G7548" s="87"/>
      <c r="H7548" s="90"/>
    </row>
    <row r="7549" spans="7:8">
      <c r="G7549" s="87"/>
      <c r="H7549" s="90"/>
    </row>
    <row r="7550" spans="7:8">
      <c r="G7550" s="87"/>
      <c r="H7550" s="90"/>
    </row>
    <row r="7551" spans="7:8">
      <c r="G7551" s="87"/>
      <c r="H7551" s="90"/>
    </row>
    <row r="7552" spans="7:8">
      <c r="G7552" s="87"/>
      <c r="H7552" s="90"/>
    </row>
    <row r="7553" spans="7:8">
      <c r="G7553" s="87"/>
      <c r="H7553" s="90"/>
    </row>
    <row r="7554" spans="7:8">
      <c r="G7554" s="87"/>
      <c r="H7554" s="90"/>
    </row>
    <row r="7555" spans="7:8">
      <c r="G7555" s="87"/>
      <c r="H7555" s="90"/>
    </row>
    <row r="7556" spans="7:8">
      <c r="G7556" s="87"/>
      <c r="H7556" s="90"/>
    </row>
    <row r="7557" spans="7:8">
      <c r="G7557" s="87"/>
      <c r="H7557" s="90"/>
    </row>
    <row r="7558" spans="7:8">
      <c r="G7558" s="87"/>
      <c r="H7558" s="90"/>
    </row>
    <row r="7559" spans="7:8">
      <c r="G7559" s="87"/>
      <c r="H7559" s="90"/>
    </row>
    <row r="7560" spans="7:8">
      <c r="G7560" s="87"/>
      <c r="H7560" s="90"/>
    </row>
    <row r="7561" spans="7:8">
      <c r="G7561" s="87"/>
      <c r="H7561" s="90"/>
    </row>
    <row r="7562" spans="7:8">
      <c r="G7562" s="87"/>
      <c r="H7562" s="90"/>
    </row>
    <row r="7563" spans="7:8">
      <c r="G7563" s="87"/>
      <c r="H7563" s="90"/>
    </row>
    <row r="7564" spans="7:8">
      <c r="G7564" s="87"/>
      <c r="H7564" s="90"/>
    </row>
    <row r="7565" spans="7:8">
      <c r="G7565" s="87"/>
      <c r="H7565" s="90"/>
    </row>
    <row r="7566" spans="7:8">
      <c r="G7566" s="87"/>
      <c r="H7566" s="90"/>
    </row>
    <row r="7567" spans="7:8">
      <c r="G7567" s="87"/>
      <c r="H7567" s="90"/>
    </row>
    <row r="7568" spans="7:8">
      <c r="G7568" s="87"/>
      <c r="H7568" s="90"/>
    </row>
    <row r="7569" spans="7:8">
      <c r="G7569" s="87"/>
      <c r="H7569" s="90"/>
    </row>
    <row r="7570" spans="7:8">
      <c r="G7570" s="87"/>
      <c r="H7570" s="90"/>
    </row>
    <row r="7571" spans="7:8">
      <c r="G7571" s="87"/>
      <c r="H7571" s="90"/>
    </row>
    <row r="7572" spans="7:8">
      <c r="G7572" s="87"/>
      <c r="H7572" s="90"/>
    </row>
    <row r="7573" spans="7:8">
      <c r="G7573" s="87"/>
      <c r="H7573" s="90"/>
    </row>
    <row r="7574" spans="7:8">
      <c r="G7574" s="87"/>
      <c r="H7574" s="90"/>
    </row>
    <row r="7575" spans="7:8">
      <c r="G7575" s="87"/>
      <c r="H7575" s="90"/>
    </row>
    <row r="7576" spans="7:8">
      <c r="G7576" s="87"/>
      <c r="H7576" s="90"/>
    </row>
    <row r="7577" spans="7:8">
      <c r="G7577" s="87"/>
      <c r="H7577" s="90"/>
    </row>
    <row r="7578" spans="7:8">
      <c r="G7578" s="87"/>
      <c r="H7578" s="90"/>
    </row>
    <row r="7579" spans="7:8">
      <c r="G7579" s="87"/>
      <c r="H7579" s="90"/>
    </row>
    <row r="7580" spans="7:8">
      <c r="G7580" s="87"/>
      <c r="H7580" s="90"/>
    </row>
    <row r="7581" spans="7:8">
      <c r="G7581" s="87"/>
      <c r="H7581" s="90"/>
    </row>
    <row r="7582" spans="7:8">
      <c r="G7582" s="87"/>
      <c r="H7582" s="90"/>
    </row>
    <row r="7583" spans="7:8">
      <c r="G7583" s="87"/>
      <c r="H7583" s="90"/>
    </row>
    <row r="7584" spans="7:8">
      <c r="G7584" s="87"/>
      <c r="H7584" s="90"/>
    </row>
    <row r="7585" spans="7:8">
      <c r="G7585" s="87"/>
      <c r="H7585" s="90"/>
    </row>
    <row r="7586" spans="7:8">
      <c r="G7586" s="87"/>
      <c r="H7586" s="90"/>
    </row>
    <row r="7587" spans="7:8">
      <c r="G7587" s="87"/>
      <c r="H7587" s="90"/>
    </row>
    <row r="7588" spans="7:8">
      <c r="G7588" s="87"/>
      <c r="H7588" s="90"/>
    </row>
    <row r="7589" spans="7:8">
      <c r="G7589" s="87"/>
      <c r="H7589" s="90"/>
    </row>
    <row r="7590" spans="7:8">
      <c r="G7590" s="87"/>
      <c r="H7590" s="90"/>
    </row>
    <row r="7591" spans="7:8">
      <c r="G7591" s="87"/>
      <c r="H7591" s="90"/>
    </row>
    <row r="7592" spans="7:8">
      <c r="G7592" s="87"/>
      <c r="H7592" s="90"/>
    </row>
    <row r="7593" spans="7:8">
      <c r="G7593" s="87"/>
      <c r="H7593" s="90"/>
    </row>
    <row r="7594" spans="7:8">
      <c r="G7594" s="87"/>
      <c r="H7594" s="90"/>
    </row>
    <row r="7595" spans="7:8">
      <c r="G7595" s="87"/>
      <c r="H7595" s="90"/>
    </row>
    <row r="7596" spans="7:8">
      <c r="G7596" s="87"/>
      <c r="H7596" s="90"/>
    </row>
    <row r="7597" spans="7:8">
      <c r="G7597" s="87"/>
      <c r="H7597" s="90"/>
    </row>
    <row r="7598" spans="7:8">
      <c r="G7598" s="87"/>
      <c r="H7598" s="90"/>
    </row>
    <row r="7599" spans="7:8">
      <c r="G7599" s="87"/>
      <c r="H7599" s="90"/>
    </row>
    <row r="7600" spans="7:8">
      <c r="G7600" s="87"/>
      <c r="H7600" s="90"/>
    </row>
    <row r="7601" spans="7:8">
      <c r="G7601" s="87"/>
      <c r="H7601" s="90"/>
    </row>
    <row r="7602" spans="7:8">
      <c r="G7602" s="87"/>
      <c r="H7602" s="90"/>
    </row>
    <row r="7603" spans="7:8">
      <c r="G7603" s="87"/>
      <c r="H7603" s="90"/>
    </row>
    <row r="7604" spans="7:8">
      <c r="G7604" s="87"/>
      <c r="H7604" s="90"/>
    </row>
    <row r="7605" spans="7:8">
      <c r="G7605" s="87"/>
      <c r="H7605" s="90"/>
    </row>
    <row r="7606" spans="7:8">
      <c r="G7606" s="87"/>
      <c r="H7606" s="90"/>
    </row>
    <row r="7607" spans="7:8">
      <c r="G7607" s="87"/>
      <c r="H7607" s="90"/>
    </row>
    <row r="7608" spans="7:8">
      <c r="G7608" s="87"/>
      <c r="H7608" s="90"/>
    </row>
    <row r="7609" spans="7:8">
      <c r="G7609" s="87"/>
      <c r="H7609" s="90"/>
    </row>
    <row r="7610" spans="7:8">
      <c r="G7610" s="87"/>
      <c r="H7610" s="90"/>
    </row>
    <row r="7611" spans="7:8">
      <c r="G7611" s="87"/>
      <c r="H7611" s="90"/>
    </row>
    <row r="7612" spans="7:8">
      <c r="G7612" s="87"/>
      <c r="H7612" s="90"/>
    </row>
    <row r="7613" spans="7:8">
      <c r="G7613" s="87"/>
      <c r="H7613" s="90"/>
    </row>
    <row r="7614" spans="7:8">
      <c r="G7614" s="87"/>
      <c r="H7614" s="90"/>
    </row>
    <row r="7615" spans="7:8">
      <c r="G7615" s="87"/>
      <c r="H7615" s="90"/>
    </row>
    <row r="7616" spans="7:8">
      <c r="G7616" s="87"/>
      <c r="H7616" s="90"/>
    </row>
    <row r="7617" spans="7:8">
      <c r="G7617" s="87"/>
      <c r="H7617" s="90"/>
    </row>
    <row r="7618" spans="7:8">
      <c r="G7618" s="87"/>
      <c r="H7618" s="90"/>
    </row>
    <row r="7619" spans="7:8">
      <c r="G7619" s="87"/>
      <c r="H7619" s="90"/>
    </row>
    <row r="7620" spans="7:8">
      <c r="G7620" s="87"/>
      <c r="H7620" s="90"/>
    </row>
    <row r="7621" spans="7:8">
      <c r="G7621" s="87"/>
      <c r="H7621" s="90"/>
    </row>
    <row r="7622" spans="7:8">
      <c r="G7622" s="87"/>
      <c r="H7622" s="90"/>
    </row>
    <row r="7623" spans="7:8">
      <c r="G7623" s="87"/>
      <c r="H7623" s="90"/>
    </row>
    <row r="7624" spans="7:8">
      <c r="G7624" s="87"/>
      <c r="H7624" s="90"/>
    </row>
    <row r="7625" spans="7:8">
      <c r="G7625" s="87"/>
      <c r="H7625" s="90"/>
    </row>
    <row r="7626" spans="7:8">
      <c r="G7626" s="87"/>
      <c r="H7626" s="90"/>
    </row>
    <row r="7627" spans="7:8">
      <c r="G7627" s="87"/>
      <c r="H7627" s="90"/>
    </row>
    <row r="7628" spans="7:8">
      <c r="G7628" s="87"/>
      <c r="H7628" s="90"/>
    </row>
    <row r="7629" spans="7:8">
      <c r="G7629" s="87"/>
      <c r="H7629" s="90"/>
    </row>
    <row r="7630" spans="7:8">
      <c r="G7630" s="87"/>
      <c r="H7630" s="90"/>
    </row>
    <row r="7631" spans="7:8">
      <c r="G7631" s="87"/>
      <c r="H7631" s="90"/>
    </row>
    <row r="7632" spans="7:8">
      <c r="G7632" s="87"/>
      <c r="H7632" s="90"/>
    </row>
    <row r="7633" spans="7:8">
      <c r="G7633" s="87"/>
      <c r="H7633" s="90"/>
    </row>
    <row r="7634" spans="7:8">
      <c r="G7634" s="87"/>
      <c r="H7634" s="90"/>
    </row>
    <row r="7635" spans="7:8">
      <c r="G7635" s="87"/>
      <c r="H7635" s="90"/>
    </row>
    <row r="7636" spans="7:8">
      <c r="G7636" s="87"/>
      <c r="H7636" s="90"/>
    </row>
    <row r="7637" spans="7:8">
      <c r="G7637" s="87"/>
      <c r="H7637" s="90"/>
    </row>
    <row r="7638" spans="7:8">
      <c r="G7638" s="87"/>
      <c r="H7638" s="90"/>
    </row>
    <row r="7639" spans="7:8">
      <c r="G7639" s="87"/>
      <c r="H7639" s="90"/>
    </row>
    <row r="7640" spans="7:8">
      <c r="G7640" s="87"/>
      <c r="H7640" s="90"/>
    </row>
    <row r="7641" spans="7:8">
      <c r="G7641" s="87"/>
      <c r="H7641" s="90"/>
    </row>
    <row r="7642" spans="7:8">
      <c r="G7642" s="87"/>
      <c r="H7642" s="90"/>
    </row>
    <row r="7643" spans="7:8">
      <c r="G7643" s="87"/>
      <c r="H7643" s="90"/>
    </row>
    <row r="7644" spans="7:8">
      <c r="G7644" s="87"/>
      <c r="H7644" s="90"/>
    </row>
    <row r="7645" spans="7:8">
      <c r="G7645" s="87"/>
      <c r="H7645" s="90"/>
    </row>
    <row r="7646" spans="7:8">
      <c r="G7646" s="87"/>
      <c r="H7646" s="90"/>
    </row>
    <row r="7647" spans="7:8">
      <c r="G7647" s="87"/>
      <c r="H7647" s="90"/>
    </row>
    <row r="7648" spans="7:8">
      <c r="G7648" s="87"/>
      <c r="H7648" s="90"/>
    </row>
    <row r="7649" spans="7:8">
      <c r="G7649" s="87"/>
      <c r="H7649" s="90"/>
    </row>
    <row r="7650" spans="7:8">
      <c r="G7650" s="87"/>
      <c r="H7650" s="90"/>
    </row>
    <row r="7651" spans="7:8">
      <c r="G7651" s="87"/>
      <c r="H7651" s="90"/>
    </row>
    <row r="7652" spans="7:8">
      <c r="G7652" s="87"/>
      <c r="H7652" s="90"/>
    </row>
    <row r="7653" spans="7:8">
      <c r="G7653" s="87"/>
      <c r="H7653" s="90"/>
    </row>
    <row r="7654" spans="7:8">
      <c r="G7654" s="87"/>
      <c r="H7654" s="90"/>
    </row>
    <row r="7655" spans="7:8">
      <c r="G7655" s="87"/>
      <c r="H7655" s="90"/>
    </row>
    <row r="7656" spans="7:8">
      <c r="G7656" s="87"/>
      <c r="H7656" s="90"/>
    </row>
    <row r="7657" spans="7:8">
      <c r="G7657" s="87"/>
      <c r="H7657" s="90"/>
    </row>
    <row r="7658" spans="7:8">
      <c r="G7658" s="87"/>
      <c r="H7658" s="90"/>
    </row>
    <row r="7659" spans="7:8">
      <c r="G7659" s="87"/>
      <c r="H7659" s="90"/>
    </row>
    <row r="7660" spans="7:8">
      <c r="G7660" s="87"/>
      <c r="H7660" s="90"/>
    </row>
    <row r="7661" spans="7:8">
      <c r="G7661" s="87"/>
      <c r="H7661" s="90"/>
    </row>
    <row r="7662" spans="7:8">
      <c r="G7662" s="87"/>
      <c r="H7662" s="90"/>
    </row>
    <row r="7663" spans="7:8">
      <c r="G7663" s="87"/>
      <c r="H7663" s="90"/>
    </row>
    <row r="7664" spans="7:8">
      <c r="G7664" s="87"/>
      <c r="H7664" s="90"/>
    </row>
    <row r="7665" spans="7:8">
      <c r="G7665" s="87"/>
      <c r="H7665" s="90"/>
    </row>
    <row r="7666" spans="7:8">
      <c r="G7666" s="87"/>
      <c r="H7666" s="90"/>
    </row>
    <row r="7667" spans="7:8">
      <c r="G7667" s="87"/>
      <c r="H7667" s="90"/>
    </row>
    <row r="7668" spans="7:8">
      <c r="G7668" s="87"/>
      <c r="H7668" s="90"/>
    </row>
    <row r="7669" spans="7:8">
      <c r="G7669" s="87"/>
      <c r="H7669" s="90"/>
    </row>
    <row r="7670" spans="7:8">
      <c r="G7670" s="87"/>
      <c r="H7670" s="90"/>
    </row>
    <row r="7671" spans="7:8">
      <c r="G7671" s="87"/>
      <c r="H7671" s="90"/>
    </row>
    <row r="7672" spans="7:8">
      <c r="G7672" s="87"/>
      <c r="H7672" s="90"/>
    </row>
    <row r="7673" spans="7:8">
      <c r="G7673" s="87"/>
      <c r="H7673" s="90"/>
    </row>
    <row r="7674" spans="7:8">
      <c r="G7674" s="87"/>
      <c r="H7674" s="90"/>
    </row>
    <row r="7675" spans="7:8">
      <c r="G7675" s="87"/>
      <c r="H7675" s="90"/>
    </row>
    <row r="7676" spans="7:8">
      <c r="G7676" s="87"/>
      <c r="H7676" s="90"/>
    </row>
    <row r="7677" spans="7:8">
      <c r="G7677" s="87"/>
      <c r="H7677" s="90"/>
    </row>
    <row r="7678" spans="7:8">
      <c r="G7678" s="87"/>
      <c r="H7678" s="90"/>
    </row>
    <row r="7679" spans="7:8">
      <c r="G7679" s="87"/>
      <c r="H7679" s="90"/>
    </row>
    <row r="7680" spans="7:8">
      <c r="G7680" s="87"/>
      <c r="H7680" s="90"/>
    </row>
    <row r="7681" spans="7:8">
      <c r="G7681" s="87"/>
      <c r="H7681" s="90"/>
    </row>
    <row r="7682" spans="7:8">
      <c r="G7682" s="87"/>
      <c r="H7682" s="90"/>
    </row>
    <row r="7683" spans="7:8">
      <c r="G7683" s="87"/>
      <c r="H7683" s="90"/>
    </row>
    <row r="7684" spans="7:8">
      <c r="G7684" s="87"/>
      <c r="H7684" s="90"/>
    </row>
    <row r="7685" spans="7:8">
      <c r="G7685" s="87"/>
      <c r="H7685" s="90"/>
    </row>
    <row r="7686" spans="7:8">
      <c r="G7686" s="87"/>
      <c r="H7686" s="90"/>
    </row>
    <row r="7687" spans="7:8">
      <c r="G7687" s="87"/>
      <c r="H7687" s="90"/>
    </row>
    <row r="7688" spans="7:8">
      <c r="G7688" s="87"/>
      <c r="H7688" s="90"/>
    </row>
    <row r="7689" spans="7:8">
      <c r="G7689" s="87"/>
      <c r="H7689" s="90"/>
    </row>
    <row r="7690" spans="7:8">
      <c r="G7690" s="87"/>
      <c r="H7690" s="90"/>
    </row>
    <row r="7691" spans="7:8">
      <c r="G7691" s="87"/>
      <c r="H7691" s="90"/>
    </row>
    <row r="7692" spans="7:8">
      <c r="G7692" s="87"/>
      <c r="H7692" s="90"/>
    </row>
    <row r="7693" spans="7:8">
      <c r="G7693" s="87"/>
      <c r="H7693" s="90"/>
    </row>
    <row r="7694" spans="7:8">
      <c r="G7694" s="87"/>
      <c r="H7694" s="90"/>
    </row>
    <row r="7695" spans="7:8">
      <c r="G7695" s="87"/>
      <c r="H7695" s="90"/>
    </row>
    <row r="7696" spans="7:8">
      <c r="G7696" s="87"/>
      <c r="H7696" s="90"/>
    </row>
    <row r="7697" spans="7:8">
      <c r="G7697" s="87"/>
      <c r="H7697" s="90"/>
    </row>
    <row r="7698" spans="7:8">
      <c r="G7698" s="87"/>
      <c r="H7698" s="90"/>
    </row>
    <row r="7699" spans="7:8">
      <c r="G7699" s="87"/>
      <c r="H7699" s="90"/>
    </row>
    <row r="7700" spans="7:8">
      <c r="G7700" s="87"/>
      <c r="H7700" s="90"/>
    </row>
    <row r="7701" spans="7:8">
      <c r="G7701" s="87"/>
      <c r="H7701" s="90"/>
    </row>
    <row r="7702" spans="7:8">
      <c r="G7702" s="87"/>
      <c r="H7702" s="90"/>
    </row>
    <row r="7703" spans="7:8">
      <c r="G7703" s="87"/>
      <c r="H7703" s="90"/>
    </row>
    <row r="7704" spans="7:8">
      <c r="G7704" s="87"/>
      <c r="H7704" s="90"/>
    </row>
    <row r="7705" spans="7:8">
      <c r="G7705" s="87"/>
      <c r="H7705" s="90"/>
    </row>
    <row r="7706" spans="7:8">
      <c r="G7706" s="87"/>
      <c r="H7706" s="90"/>
    </row>
    <row r="7707" spans="7:8">
      <c r="G7707" s="87"/>
      <c r="H7707" s="90"/>
    </row>
    <row r="7708" spans="7:8">
      <c r="G7708" s="87"/>
      <c r="H7708" s="90"/>
    </row>
    <row r="7709" spans="7:8">
      <c r="G7709" s="87"/>
      <c r="H7709" s="90"/>
    </row>
    <row r="7710" spans="7:8">
      <c r="G7710" s="87"/>
      <c r="H7710" s="90"/>
    </row>
    <row r="7711" spans="7:8">
      <c r="G7711" s="87"/>
      <c r="H7711" s="90"/>
    </row>
    <row r="7712" spans="7:8">
      <c r="G7712" s="87"/>
      <c r="H7712" s="90"/>
    </row>
    <row r="7713" spans="7:8">
      <c r="G7713" s="87"/>
      <c r="H7713" s="90"/>
    </row>
    <row r="7714" spans="7:8">
      <c r="G7714" s="87"/>
      <c r="H7714" s="90"/>
    </row>
    <row r="7715" spans="7:8">
      <c r="G7715" s="87"/>
      <c r="H7715" s="90"/>
    </row>
    <row r="7716" spans="7:8">
      <c r="G7716" s="87"/>
      <c r="H7716" s="90"/>
    </row>
    <row r="7717" spans="7:8">
      <c r="G7717" s="87"/>
      <c r="H7717" s="90"/>
    </row>
    <row r="7718" spans="7:8">
      <c r="G7718" s="87"/>
      <c r="H7718" s="90"/>
    </row>
    <row r="7719" spans="7:8">
      <c r="G7719" s="87"/>
      <c r="H7719" s="90"/>
    </row>
    <row r="7720" spans="7:8">
      <c r="G7720" s="87"/>
      <c r="H7720" s="90"/>
    </row>
    <row r="7721" spans="7:8">
      <c r="G7721" s="87"/>
      <c r="H7721" s="90"/>
    </row>
    <row r="7722" spans="7:8">
      <c r="G7722" s="87"/>
      <c r="H7722" s="90"/>
    </row>
    <row r="7723" spans="7:8">
      <c r="G7723" s="87"/>
      <c r="H7723" s="90"/>
    </row>
    <row r="7724" spans="7:8">
      <c r="G7724" s="87"/>
      <c r="H7724" s="90"/>
    </row>
    <row r="7725" spans="7:8">
      <c r="G7725" s="87"/>
      <c r="H7725" s="90"/>
    </row>
    <row r="7726" spans="7:8">
      <c r="G7726" s="87"/>
      <c r="H7726" s="90"/>
    </row>
    <row r="7727" spans="7:8">
      <c r="G7727" s="87"/>
      <c r="H7727" s="90"/>
    </row>
    <row r="7728" spans="7:8">
      <c r="G7728" s="87"/>
      <c r="H7728" s="90"/>
    </row>
    <row r="7729" spans="7:8">
      <c r="G7729" s="87"/>
      <c r="H7729" s="90"/>
    </row>
    <row r="7730" spans="7:8">
      <c r="G7730" s="87"/>
      <c r="H7730" s="90"/>
    </row>
    <row r="7731" spans="7:8">
      <c r="G7731" s="87"/>
      <c r="H7731" s="90"/>
    </row>
    <row r="7732" spans="7:8">
      <c r="G7732" s="87"/>
      <c r="H7732" s="90"/>
    </row>
    <row r="7733" spans="7:8">
      <c r="G7733" s="87"/>
      <c r="H7733" s="90"/>
    </row>
    <row r="7734" spans="7:8">
      <c r="G7734" s="87"/>
      <c r="H7734" s="90"/>
    </row>
    <row r="7735" spans="7:8">
      <c r="G7735" s="87"/>
      <c r="H7735" s="90"/>
    </row>
    <row r="7736" spans="7:8">
      <c r="G7736" s="87"/>
      <c r="H7736" s="90"/>
    </row>
    <row r="7737" spans="7:8">
      <c r="G7737" s="87"/>
      <c r="H7737" s="90"/>
    </row>
    <row r="7738" spans="7:8">
      <c r="G7738" s="87"/>
      <c r="H7738" s="90"/>
    </row>
    <row r="7739" spans="7:8">
      <c r="G7739" s="87"/>
      <c r="H7739" s="90"/>
    </row>
    <row r="7740" spans="7:8">
      <c r="G7740" s="87"/>
      <c r="H7740" s="90"/>
    </row>
    <row r="7741" spans="7:8">
      <c r="G7741" s="87"/>
      <c r="H7741" s="90"/>
    </row>
    <row r="7742" spans="7:8">
      <c r="G7742" s="87"/>
      <c r="H7742" s="90"/>
    </row>
    <row r="7743" spans="7:8">
      <c r="G7743" s="87"/>
      <c r="H7743" s="90"/>
    </row>
    <row r="7744" spans="7:8">
      <c r="G7744" s="87"/>
      <c r="H7744" s="90"/>
    </row>
    <row r="7745" spans="7:8">
      <c r="G7745" s="87"/>
      <c r="H7745" s="90"/>
    </row>
    <row r="7746" spans="7:8">
      <c r="G7746" s="87"/>
      <c r="H7746" s="90"/>
    </row>
    <row r="7747" spans="7:8">
      <c r="G7747" s="87"/>
      <c r="H7747" s="90"/>
    </row>
    <row r="7748" spans="7:8">
      <c r="G7748" s="87"/>
      <c r="H7748" s="90"/>
    </row>
    <row r="7749" spans="7:8">
      <c r="G7749" s="87"/>
      <c r="H7749" s="90"/>
    </row>
    <row r="7750" spans="7:8">
      <c r="G7750" s="87"/>
      <c r="H7750" s="90"/>
    </row>
    <row r="7751" spans="7:8">
      <c r="G7751" s="87"/>
      <c r="H7751" s="90"/>
    </row>
    <row r="7752" spans="7:8">
      <c r="G7752" s="87"/>
      <c r="H7752" s="90"/>
    </row>
    <row r="7753" spans="7:8">
      <c r="G7753" s="87"/>
      <c r="H7753" s="90"/>
    </row>
    <row r="7754" spans="7:8">
      <c r="G7754" s="87"/>
      <c r="H7754" s="90"/>
    </row>
    <row r="7755" spans="7:8">
      <c r="G7755" s="87"/>
      <c r="H7755" s="90"/>
    </row>
    <row r="7756" spans="7:8">
      <c r="G7756" s="87"/>
      <c r="H7756" s="90"/>
    </row>
    <row r="7757" spans="7:8">
      <c r="G7757" s="87"/>
      <c r="H7757" s="90"/>
    </row>
    <row r="7758" spans="7:8">
      <c r="G7758" s="87"/>
      <c r="H7758" s="90"/>
    </row>
    <row r="7759" spans="7:8">
      <c r="G7759" s="87"/>
      <c r="H7759" s="90"/>
    </row>
    <row r="7760" spans="7:8">
      <c r="G7760" s="87"/>
      <c r="H7760" s="90"/>
    </row>
    <row r="7761" spans="7:8">
      <c r="G7761" s="87"/>
      <c r="H7761" s="90"/>
    </row>
    <row r="7762" spans="7:8">
      <c r="G7762" s="87"/>
      <c r="H7762" s="90"/>
    </row>
    <row r="7763" spans="7:8">
      <c r="G7763" s="87"/>
      <c r="H7763" s="90"/>
    </row>
    <row r="7764" spans="7:8">
      <c r="G7764" s="87"/>
      <c r="H7764" s="90"/>
    </row>
    <row r="7765" spans="7:8">
      <c r="G7765" s="87"/>
      <c r="H7765" s="90"/>
    </row>
    <row r="7766" spans="7:8">
      <c r="G7766" s="87"/>
      <c r="H7766" s="90"/>
    </row>
    <row r="7767" spans="7:8">
      <c r="G7767" s="87"/>
      <c r="H7767" s="90"/>
    </row>
    <row r="7768" spans="7:8">
      <c r="G7768" s="87"/>
      <c r="H7768" s="90"/>
    </row>
    <row r="7769" spans="7:8">
      <c r="G7769" s="87"/>
      <c r="H7769" s="90"/>
    </row>
    <row r="7770" spans="7:8">
      <c r="G7770" s="87"/>
      <c r="H7770" s="90"/>
    </row>
    <row r="7771" spans="7:8">
      <c r="G7771" s="87"/>
      <c r="H7771" s="90"/>
    </row>
    <row r="7772" spans="7:8">
      <c r="G7772" s="87"/>
      <c r="H7772" s="90"/>
    </row>
    <row r="7773" spans="7:8">
      <c r="G7773" s="87"/>
      <c r="H7773" s="90"/>
    </row>
    <row r="7774" spans="7:8">
      <c r="G7774" s="87"/>
      <c r="H7774" s="90"/>
    </row>
    <row r="7775" spans="7:8">
      <c r="G7775" s="87"/>
      <c r="H7775" s="90"/>
    </row>
    <row r="7776" spans="7:8">
      <c r="G7776" s="87"/>
      <c r="H7776" s="90"/>
    </row>
    <row r="7777" spans="7:8">
      <c r="G7777" s="87"/>
      <c r="H7777" s="90"/>
    </row>
    <row r="7778" spans="7:8">
      <c r="G7778" s="87"/>
      <c r="H7778" s="90"/>
    </row>
    <row r="7779" spans="7:8">
      <c r="G7779" s="87"/>
      <c r="H7779" s="90"/>
    </row>
    <row r="7780" spans="7:8">
      <c r="G7780" s="87"/>
      <c r="H7780" s="90"/>
    </row>
    <row r="7781" spans="7:8">
      <c r="G7781" s="87"/>
      <c r="H7781" s="90"/>
    </row>
    <row r="7782" spans="7:8">
      <c r="G7782" s="87"/>
      <c r="H7782" s="90"/>
    </row>
    <row r="7783" spans="7:8">
      <c r="G7783" s="87"/>
      <c r="H7783" s="90"/>
    </row>
    <row r="7784" spans="7:8">
      <c r="G7784" s="87"/>
      <c r="H7784" s="90"/>
    </row>
    <row r="7785" spans="7:8">
      <c r="G7785" s="87"/>
      <c r="H7785" s="90"/>
    </row>
    <row r="7786" spans="7:8">
      <c r="G7786" s="87"/>
      <c r="H7786" s="90"/>
    </row>
    <row r="7787" spans="7:8">
      <c r="G7787" s="87"/>
      <c r="H7787" s="90"/>
    </row>
    <row r="7788" spans="7:8">
      <c r="G7788" s="87"/>
      <c r="H7788" s="90"/>
    </row>
    <row r="7789" spans="7:8">
      <c r="G7789" s="87"/>
      <c r="H7789" s="90"/>
    </row>
    <row r="7790" spans="7:8">
      <c r="G7790" s="87"/>
      <c r="H7790" s="90"/>
    </row>
    <row r="7791" spans="7:8">
      <c r="G7791" s="87"/>
      <c r="H7791" s="90"/>
    </row>
    <row r="7792" spans="7:8">
      <c r="G7792" s="87"/>
      <c r="H7792" s="90"/>
    </row>
    <row r="7793" spans="7:8">
      <c r="G7793" s="87"/>
      <c r="H7793" s="90"/>
    </row>
    <row r="7794" spans="7:8">
      <c r="G7794" s="87"/>
      <c r="H7794" s="90"/>
    </row>
    <row r="7795" spans="7:8">
      <c r="G7795" s="87"/>
      <c r="H7795" s="90"/>
    </row>
    <row r="7796" spans="7:8">
      <c r="G7796" s="87"/>
      <c r="H7796" s="90"/>
    </row>
    <row r="7797" spans="7:8">
      <c r="G7797" s="87"/>
      <c r="H7797" s="90"/>
    </row>
    <row r="7798" spans="7:8">
      <c r="G7798" s="87"/>
      <c r="H7798" s="90"/>
    </row>
    <row r="7799" spans="7:8">
      <c r="G7799" s="87"/>
      <c r="H7799" s="90"/>
    </row>
    <row r="7800" spans="7:8">
      <c r="G7800" s="87"/>
      <c r="H7800" s="90"/>
    </row>
    <row r="7801" spans="7:8">
      <c r="G7801" s="87"/>
      <c r="H7801" s="90"/>
    </row>
    <row r="7802" spans="7:8">
      <c r="G7802" s="87"/>
      <c r="H7802" s="90"/>
    </row>
    <row r="7803" spans="7:8">
      <c r="G7803" s="87"/>
      <c r="H7803" s="90"/>
    </row>
    <row r="7804" spans="7:8">
      <c r="G7804" s="87"/>
      <c r="H7804" s="90"/>
    </row>
    <row r="7805" spans="7:8">
      <c r="G7805" s="87"/>
      <c r="H7805" s="90"/>
    </row>
    <row r="7806" spans="7:8">
      <c r="G7806" s="87"/>
      <c r="H7806" s="90"/>
    </row>
    <row r="7807" spans="7:8">
      <c r="G7807" s="87"/>
      <c r="H7807" s="90"/>
    </row>
    <row r="7808" spans="7:8">
      <c r="G7808" s="87"/>
      <c r="H7808" s="90"/>
    </row>
    <row r="7809" spans="7:8">
      <c r="G7809" s="87"/>
      <c r="H7809" s="90"/>
    </row>
    <row r="7810" spans="7:8">
      <c r="G7810" s="87"/>
      <c r="H7810" s="90"/>
    </row>
    <row r="7811" spans="7:8">
      <c r="G7811" s="87"/>
      <c r="H7811" s="90"/>
    </row>
    <row r="7812" spans="7:8">
      <c r="G7812" s="87"/>
      <c r="H7812" s="90"/>
    </row>
    <row r="7813" spans="7:8">
      <c r="G7813" s="87"/>
      <c r="H7813" s="90"/>
    </row>
    <row r="7814" spans="7:8">
      <c r="G7814" s="87"/>
      <c r="H7814" s="90"/>
    </row>
    <row r="7815" spans="7:8">
      <c r="G7815" s="87"/>
      <c r="H7815" s="90"/>
    </row>
    <row r="7816" spans="7:8">
      <c r="G7816" s="87"/>
      <c r="H7816" s="90"/>
    </row>
    <row r="7817" spans="7:8">
      <c r="G7817" s="87"/>
      <c r="H7817" s="90"/>
    </row>
    <row r="7818" spans="7:8">
      <c r="G7818" s="87"/>
      <c r="H7818" s="90"/>
    </row>
    <row r="7819" spans="7:8">
      <c r="G7819" s="87"/>
      <c r="H7819" s="90"/>
    </row>
    <row r="7820" spans="7:8">
      <c r="G7820" s="87"/>
      <c r="H7820" s="90"/>
    </row>
    <row r="7821" spans="7:8">
      <c r="G7821" s="87"/>
      <c r="H7821" s="90"/>
    </row>
    <row r="7822" spans="7:8">
      <c r="G7822" s="87"/>
      <c r="H7822" s="90"/>
    </row>
    <row r="7823" spans="7:8">
      <c r="G7823" s="87"/>
      <c r="H7823" s="90"/>
    </row>
    <row r="7824" spans="7:8">
      <c r="G7824" s="87"/>
      <c r="H7824" s="90"/>
    </row>
    <row r="7825" spans="7:8">
      <c r="G7825" s="87"/>
      <c r="H7825" s="90"/>
    </row>
    <row r="7826" spans="7:8">
      <c r="G7826" s="87"/>
      <c r="H7826" s="90"/>
    </row>
    <row r="7827" spans="7:8">
      <c r="G7827" s="87"/>
      <c r="H7827" s="90"/>
    </row>
    <row r="7828" spans="7:8">
      <c r="G7828" s="87"/>
      <c r="H7828" s="90"/>
    </row>
    <row r="7829" spans="7:8">
      <c r="G7829" s="87"/>
      <c r="H7829" s="90"/>
    </row>
    <row r="7830" spans="7:8">
      <c r="G7830" s="87"/>
      <c r="H7830" s="90"/>
    </row>
    <row r="7831" spans="7:8">
      <c r="G7831" s="87"/>
      <c r="H7831" s="90"/>
    </row>
    <row r="7832" spans="7:8">
      <c r="G7832" s="87"/>
      <c r="H7832" s="90"/>
    </row>
    <row r="7833" spans="7:8">
      <c r="G7833" s="87"/>
      <c r="H7833" s="90"/>
    </row>
    <row r="7834" spans="7:8">
      <c r="G7834" s="87"/>
      <c r="H7834" s="90"/>
    </row>
    <row r="7835" spans="7:8">
      <c r="G7835" s="87"/>
      <c r="H7835" s="90"/>
    </row>
    <row r="7836" spans="7:8">
      <c r="G7836" s="87"/>
      <c r="H7836" s="90"/>
    </row>
    <row r="7837" spans="7:8">
      <c r="G7837" s="87"/>
      <c r="H7837" s="90"/>
    </row>
    <row r="7838" spans="7:8">
      <c r="G7838" s="87"/>
      <c r="H7838" s="90"/>
    </row>
    <row r="7839" spans="7:8">
      <c r="G7839" s="87"/>
      <c r="H7839" s="90"/>
    </row>
    <row r="7840" spans="7:8">
      <c r="G7840" s="87"/>
      <c r="H7840" s="90"/>
    </row>
    <row r="7841" spans="7:8">
      <c r="G7841" s="87"/>
      <c r="H7841" s="90"/>
    </row>
    <row r="7842" spans="7:8">
      <c r="G7842" s="87"/>
      <c r="H7842" s="90"/>
    </row>
    <row r="7843" spans="7:8">
      <c r="G7843" s="87"/>
      <c r="H7843" s="90"/>
    </row>
    <row r="7844" spans="7:8">
      <c r="G7844" s="87"/>
      <c r="H7844" s="90"/>
    </row>
    <row r="7845" spans="7:8">
      <c r="G7845" s="87"/>
      <c r="H7845" s="90"/>
    </row>
    <row r="7846" spans="7:8">
      <c r="G7846" s="87"/>
      <c r="H7846" s="90"/>
    </row>
    <row r="7847" spans="7:8">
      <c r="G7847" s="87"/>
      <c r="H7847" s="90"/>
    </row>
    <row r="7848" spans="7:8">
      <c r="G7848" s="87"/>
      <c r="H7848" s="90"/>
    </row>
    <row r="7849" spans="7:8">
      <c r="G7849" s="87"/>
      <c r="H7849" s="90"/>
    </row>
    <row r="7850" spans="7:8">
      <c r="G7850" s="87"/>
      <c r="H7850" s="90"/>
    </row>
    <row r="7851" spans="7:8">
      <c r="G7851" s="87"/>
      <c r="H7851" s="90"/>
    </row>
    <row r="7852" spans="7:8">
      <c r="G7852" s="87"/>
      <c r="H7852" s="90"/>
    </row>
    <row r="7853" spans="7:8">
      <c r="G7853" s="87"/>
      <c r="H7853" s="90"/>
    </row>
    <row r="7854" spans="7:8">
      <c r="G7854" s="87"/>
      <c r="H7854" s="90"/>
    </row>
    <row r="7855" spans="7:8">
      <c r="G7855" s="87"/>
      <c r="H7855" s="90"/>
    </row>
    <row r="7856" spans="7:8">
      <c r="G7856" s="87"/>
      <c r="H7856" s="90"/>
    </row>
    <row r="7857" spans="7:8">
      <c r="G7857" s="87"/>
      <c r="H7857" s="90"/>
    </row>
    <row r="7858" spans="7:8">
      <c r="G7858" s="87"/>
      <c r="H7858" s="90"/>
    </row>
    <row r="7859" spans="7:8">
      <c r="G7859" s="87"/>
      <c r="H7859" s="90"/>
    </row>
    <row r="7860" spans="7:8">
      <c r="G7860" s="87"/>
      <c r="H7860" s="90"/>
    </row>
    <row r="7861" spans="7:8">
      <c r="G7861" s="87"/>
      <c r="H7861" s="90"/>
    </row>
    <row r="7862" spans="7:8">
      <c r="G7862" s="87"/>
      <c r="H7862" s="90"/>
    </row>
    <row r="7863" spans="7:8">
      <c r="G7863" s="87"/>
      <c r="H7863" s="90"/>
    </row>
    <row r="7864" spans="7:8">
      <c r="G7864" s="87"/>
      <c r="H7864" s="90"/>
    </row>
    <row r="7865" spans="7:8">
      <c r="G7865" s="87"/>
      <c r="H7865" s="90"/>
    </row>
    <row r="7866" spans="7:8">
      <c r="G7866" s="87"/>
      <c r="H7866" s="90"/>
    </row>
    <row r="7867" spans="7:8">
      <c r="G7867" s="87"/>
      <c r="H7867" s="90"/>
    </row>
    <row r="7868" spans="7:8">
      <c r="G7868" s="87"/>
      <c r="H7868" s="90"/>
    </row>
    <row r="7869" spans="7:8">
      <c r="G7869" s="87"/>
      <c r="H7869" s="90"/>
    </row>
    <row r="7870" spans="7:8">
      <c r="G7870" s="87"/>
      <c r="H7870" s="90"/>
    </row>
    <row r="7871" spans="7:8">
      <c r="G7871" s="87"/>
      <c r="H7871" s="90"/>
    </row>
    <row r="7872" spans="7:8">
      <c r="G7872" s="87"/>
      <c r="H7872" s="90"/>
    </row>
    <row r="7873" spans="7:8">
      <c r="G7873" s="87"/>
      <c r="H7873" s="90"/>
    </row>
    <row r="7874" spans="7:8">
      <c r="G7874" s="87"/>
      <c r="H7874" s="90"/>
    </row>
    <row r="7875" spans="7:8">
      <c r="G7875" s="87"/>
      <c r="H7875" s="90"/>
    </row>
    <row r="7876" spans="7:8">
      <c r="G7876" s="87"/>
      <c r="H7876" s="90"/>
    </row>
    <row r="7877" spans="7:8">
      <c r="G7877" s="87"/>
      <c r="H7877" s="90"/>
    </row>
    <row r="7878" spans="7:8">
      <c r="G7878" s="87"/>
      <c r="H7878" s="90"/>
    </row>
    <row r="7879" spans="7:8">
      <c r="G7879" s="87"/>
      <c r="H7879" s="90"/>
    </row>
    <row r="7880" spans="7:8">
      <c r="G7880" s="87"/>
      <c r="H7880" s="90"/>
    </row>
    <row r="7881" spans="7:8">
      <c r="G7881" s="87"/>
      <c r="H7881" s="90"/>
    </row>
    <row r="7882" spans="7:8">
      <c r="G7882" s="87"/>
      <c r="H7882" s="90"/>
    </row>
    <row r="7883" spans="7:8">
      <c r="G7883" s="87"/>
      <c r="H7883" s="90"/>
    </row>
    <row r="7884" spans="7:8">
      <c r="G7884" s="87"/>
      <c r="H7884" s="90"/>
    </row>
    <row r="7885" spans="7:8">
      <c r="G7885" s="87"/>
      <c r="H7885" s="90"/>
    </row>
    <row r="7886" spans="7:8">
      <c r="G7886" s="87"/>
      <c r="H7886" s="90"/>
    </row>
    <row r="7887" spans="7:8">
      <c r="G7887" s="87"/>
      <c r="H7887" s="90"/>
    </row>
    <row r="7888" spans="7:8">
      <c r="G7888" s="87"/>
      <c r="H7888" s="90"/>
    </row>
    <row r="7889" spans="7:8">
      <c r="G7889" s="87"/>
      <c r="H7889" s="90"/>
    </row>
    <row r="7890" spans="7:8">
      <c r="G7890" s="87"/>
      <c r="H7890" s="90"/>
    </row>
    <row r="7891" spans="7:8">
      <c r="G7891" s="87"/>
      <c r="H7891" s="90"/>
    </row>
    <row r="7892" spans="7:8">
      <c r="G7892" s="87"/>
      <c r="H7892" s="90"/>
    </row>
    <row r="7893" spans="7:8">
      <c r="G7893" s="87"/>
      <c r="H7893" s="90"/>
    </row>
    <row r="7894" spans="7:8">
      <c r="G7894" s="87"/>
      <c r="H7894" s="90"/>
    </row>
    <row r="7895" spans="7:8">
      <c r="G7895" s="87"/>
      <c r="H7895" s="90"/>
    </row>
    <row r="7896" spans="7:8">
      <c r="G7896" s="87"/>
      <c r="H7896" s="90"/>
    </row>
    <row r="7897" spans="7:8">
      <c r="G7897" s="87"/>
      <c r="H7897" s="90"/>
    </row>
    <row r="7898" spans="7:8">
      <c r="G7898" s="87"/>
      <c r="H7898" s="90"/>
    </row>
    <row r="7899" spans="7:8">
      <c r="G7899" s="87"/>
      <c r="H7899" s="90"/>
    </row>
    <row r="7900" spans="7:8">
      <c r="G7900" s="87"/>
      <c r="H7900" s="90"/>
    </row>
    <row r="7901" spans="7:8">
      <c r="G7901" s="87"/>
      <c r="H7901" s="90"/>
    </row>
    <row r="7902" spans="7:8">
      <c r="G7902" s="87"/>
      <c r="H7902" s="90"/>
    </row>
    <row r="7903" spans="7:8">
      <c r="G7903" s="87"/>
      <c r="H7903" s="90"/>
    </row>
    <row r="7904" spans="7:8">
      <c r="G7904" s="87"/>
      <c r="H7904" s="90"/>
    </row>
    <row r="7905" spans="7:8">
      <c r="G7905" s="87"/>
      <c r="H7905" s="90"/>
    </row>
    <row r="7906" spans="7:8">
      <c r="G7906" s="87"/>
      <c r="H7906" s="90"/>
    </row>
    <row r="7907" spans="7:8">
      <c r="G7907" s="87"/>
      <c r="H7907" s="90"/>
    </row>
    <row r="7908" spans="7:8">
      <c r="G7908" s="87"/>
      <c r="H7908" s="90"/>
    </row>
    <row r="7909" spans="7:8">
      <c r="G7909" s="87"/>
      <c r="H7909" s="90"/>
    </row>
    <row r="7910" spans="7:8">
      <c r="G7910" s="87"/>
      <c r="H7910" s="90"/>
    </row>
    <row r="7911" spans="7:8">
      <c r="G7911" s="87"/>
      <c r="H7911" s="90"/>
    </row>
    <row r="7912" spans="7:8">
      <c r="G7912" s="87"/>
      <c r="H7912" s="90"/>
    </row>
    <row r="7913" spans="7:8">
      <c r="G7913" s="87"/>
      <c r="H7913" s="90"/>
    </row>
    <row r="7914" spans="7:8">
      <c r="G7914" s="87"/>
      <c r="H7914" s="90"/>
    </row>
    <row r="7915" spans="7:8">
      <c r="G7915" s="87"/>
      <c r="H7915" s="90"/>
    </row>
    <row r="7916" spans="7:8">
      <c r="G7916" s="87"/>
      <c r="H7916" s="90"/>
    </row>
    <row r="7917" spans="7:8">
      <c r="G7917" s="87"/>
      <c r="H7917" s="90"/>
    </row>
    <row r="7918" spans="7:8">
      <c r="G7918" s="87"/>
      <c r="H7918" s="90"/>
    </row>
    <row r="7919" spans="7:8">
      <c r="G7919" s="87"/>
      <c r="H7919" s="90"/>
    </row>
    <row r="7920" spans="7:8">
      <c r="G7920" s="87"/>
      <c r="H7920" s="90"/>
    </row>
    <row r="7921" spans="7:8">
      <c r="G7921" s="87"/>
      <c r="H7921" s="90"/>
    </row>
    <row r="7922" spans="7:8">
      <c r="G7922" s="87"/>
      <c r="H7922" s="90"/>
    </row>
    <row r="7923" spans="7:8">
      <c r="G7923" s="87"/>
      <c r="H7923" s="90"/>
    </row>
    <row r="7924" spans="7:8">
      <c r="G7924" s="87"/>
      <c r="H7924" s="90"/>
    </row>
    <row r="7925" spans="7:8">
      <c r="G7925" s="87"/>
      <c r="H7925" s="90"/>
    </row>
    <row r="7926" spans="7:8">
      <c r="G7926" s="87"/>
      <c r="H7926" s="90"/>
    </row>
    <row r="7927" spans="7:8">
      <c r="G7927" s="87"/>
      <c r="H7927" s="90"/>
    </row>
    <row r="7928" spans="7:8">
      <c r="G7928" s="87"/>
      <c r="H7928" s="90"/>
    </row>
    <row r="7929" spans="7:8">
      <c r="G7929" s="87"/>
      <c r="H7929" s="90"/>
    </row>
    <row r="7930" spans="7:8">
      <c r="G7930" s="87"/>
      <c r="H7930" s="90"/>
    </row>
    <row r="7931" spans="7:8">
      <c r="G7931" s="87"/>
      <c r="H7931" s="90"/>
    </row>
    <row r="7932" spans="7:8">
      <c r="G7932" s="87"/>
      <c r="H7932" s="90"/>
    </row>
    <row r="7933" spans="7:8">
      <c r="G7933" s="87"/>
      <c r="H7933" s="90"/>
    </row>
    <row r="7934" spans="7:8">
      <c r="G7934" s="87"/>
      <c r="H7934" s="90"/>
    </row>
    <row r="7935" spans="7:8">
      <c r="G7935" s="87"/>
      <c r="H7935" s="90"/>
    </row>
    <row r="7936" spans="7:8">
      <c r="G7936" s="87"/>
      <c r="H7936" s="90"/>
    </row>
    <row r="7937" spans="7:8">
      <c r="G7937" s="87"/>
      <c r="H7937" s="90"/>
    </row>
    <row r="7938" spans="7:8">
      <c r="G7938" s="87"/>
      <c r="H7938" s="90"/>
    </row>
    <row r="7939" spans="7:8">
      <c r="G7939" s="87"/>
      <c r="H7939" s="90"/>
    </row>
    <row r="7940" spans="7:8">
      <c r="G7940" s="87"/>
      <c r="H7940" s="90"/>
    </row>
    <row r="7941" spans="7:8">
      <c r="G7941" s="87"/>
      <c r="H7941" s="90"/>
    </row>
    <row r="7942" spans="7:8">
      <c r="G7942" s="87"/>
      <c r="H7942" s="90"/>
    </row>
    <row r="7943" spans="7:8">
      <c r="G7943" s="87"/>
      <c r="H7943" s="90"/>
    </row>
    <row r="7944" spans="7:8">
      <c r="G7944" s="87"/>
      <c r="H7944" s="90"/>
    </row>
    <row r="7945" spans="7:8">
      <c r="G7945" s="87"/>
      <c r="H7945" s="90"/>
    </row>
    <row r="7946" spans="7:8">
      <c r="G7946" s="87"/>
      <c r="H7946" s="90"/>
    </row>
    <row r="7947" spans="7:8">
      <c r="G7947" s="87"/>
      <c r="H7947" s="90"/>
    </row>
    <row r="7948" spans="7:8">
      <c r="G7948" s="87"/>
      <c r="H7948" s="90"/>
    </row>
    <row r="7949" spans="7:8">
      <c r="G7949" s="87"/>
      <c r="H7949" s="90"/>
    </row>
    <row r="7950" spans="7:8">
      <c r="G7950" s="87"/>
      <c r="H7950" s="90"/>
    </row>
    <row r="7951" spans="7:8">
      <c r="G7951" s="87"/>
      <c r="H7951" s="90"/>
    </row>
    <row r="7952" spans="7:8">
      <c r="G7952" s="87"/>
      <c r="H7952" s="90"/>
    </row>
    <row r="7953" spans="7:8">
      <c r="G7953" s="87"/>
      <c r="H7953" s="90"/>
    </row>
    <row r="7954" spans="7:8">
      <c r="G7954" s="87"/>
      <c r="H7954" s="90"/>
    </row>
    <row r="7955" spans="7:8">
      <c r="G7955" s="87"/>
      <c r="H7955" s="90"/>
    </row>
    <row r="7956" spans="7:8">
      <c r="G7956" s="87"/>
      <c r="H7956" s="90"/>
    </row>
    <row r="7957" spans="7:8">
      <c r="G7957" s="87"/>
      <c r="H7957" s="90"/>
    </row>
    <row r="7958" spans="7:8">
      <c r="G7958" s="87"/>
      <c r="H7958" s="90"/>
    </row>
    <row r="7959" spans="7:8">
      <c r="G7959" s="87"/>
      <c r="H7959" s="90"/>
    </row>
    <row r="7960" spans="7:8">
      <c r="G7960" s="87"/>
      <c r="H7960" s="90"/>
    </row>
    <row r="7961" spans="7:8">
      <c r="G7961" s="87"/>
      <c r="H7961" s="90"/>
    </row>
    <row r="7962" spans="7:8">
      <c r="G7962" s="87"/>
      <c r="H7962" s="90"/>
    </row>
    <row r="7963" spans="7:8">
      <c r="G7963" s="87"/>
      <c r="H7963" s="90"/>
    </row>
    <row r="7964" spans="7:8">
      <c r="G7964" s="87"/>
      <c r="H7964" s="90"/>
    </row>
    <row r="7965" spans="7:8">
      <c r="G7965" s="87"/>
      <c r="H7965" s="90"/>
    </row>
    <row r="7966" spans="7:8">
      <c r="G7966" s="87"/>
      <c r="H7966" s="90"/>
    </row>
    <row r="7967" spans="7:8">
      <c r="G7967" s="87"/>
      <c r="H7967" s="90"/>
    </row>
    <row r="7968" spans="7:8">
      <c r="G7968" s="87"/>
      <c r="H7968" s="90"/>
    </row>
    <row r="7969" spans="7:8">
      <c r="G7969" s="87"/>
      <c r="H7969" s="90"/>
    </row>
    <row r="7970" spans="7:8">
      <c r="G7970" s="87"/>
      <c r="H7970" s="90"/>
    </row>
    <row r="7971" spans="7:8">
      <c r="G7971" s="87"/>
      <c r="H7971" s="90"/>
    </row>
    <row r="7972" spans="7:8">
      <c r="G7972" s="87"/>
      <c r="H7972" s="90"/>
    </row>
    <row r="7973" spans="7:8">
      <c r="G7973" s="87"/>
      <c r="H7973" s="90"/>
    </row>
    <row r="7974" spans="7:8">
      <c r="G7974" s="87"/>
      <c r="H7974" s="90"/>
    </row>
    <row r="7975" spans="7:8">
      <c r="G7975" s="87"/>
      <c r="H7975" s="90"/>
    </row>
    <row r="7976" spans="7:8">
      <c r="G7976" s="87"/>
      <c r="H7976" s="90"/>
    </row>
    <row r="7977" spans="7:8">
      <c r="G7977" s="87"/>
      <c r="H7977" s="90"/>
    </row>
    <row r="7978" spans="7:8">
      <c r="G7978" s="87"/>
      <c r="H7978" s="90"/>
    </row>
    <row r="7979" spans="7:8">
      <c r="G7979" s="87"/>
      <c r="H7979" s="90"/>
    </row>
    <row r="7980" spans="7:8">
      <c r="G7980" s="87"/>
      <c r="H7980" s="90"/>
    </row>
    <row r="7981" spans="7:8">
      <c r="G7981" s="87"/>
      <c r="H7981" s="90"/>
    </row>
    <row r="7982" spans="7:8">
      <c r="G7982" s="87"/>
      <c r="H7982" s="90"/>
    </row>
    <row r="7983" spans="7:8">
      <c r="G7983" s="87"/>
      <c r="H7983" s="90"/>
    </row>
    <row r="7984" spans="7:8">
      <c r="G7984" s="87"/>
      <c r="H7984" s="90"/>
    </row>
    <row r="7985" spans="7:8">
      <c r="G7985" s="87"/>
      <c r="H7985" s="90"/>
    </row>
    <row r="7986" spans="7:8">
      <c r="G7986" s="87"/>
      <c r="H7986" s="90"/>
    </row>
    <row r="7987" spans="7:8">
      <c r="G7987" s="87"/>
      <c r="H7987" s="90"/>
    </row>
    <row r="7988" spans="7:8">
      <c r="G7988" s="87"/>
      <c r="H7988" s="90"/>
    </row>
    <row r="7989" spans="7:8">
      <c r="G7989" s="87"/>
      <c r="H7989" s="90"/>
    </row>
    <row r="7990" spans="7:8">
      <c r="G7990" s="87"/>
      <c r="H7990" s="90"/>
    </row>
    <row r="7991" spans="7:8">
      <c r="G7991" s="87"/>
      <c r="H7991" s="90"/>
    </row>
    <row r="7992" spans="7:8">
      <c r="G7992" s="87"/>
      <c r="H7992" s="90"/>
    </row>
    <row r="7993" spans="7:8">
      <c r="G7993" s="87"/>
      <c r="H7993" s="90"/>
    </row>
    <row r="7994" spans="7:8">
      <c r="G7994" s="87"/>
      <c r="H7994" s="90"/>
    </row>
    <row r="7995" spans="7:8">
      <c r="G7995" s="87"/>
      <c r="H7995" s="90"/>
    </row>
    <row r="7996" spans="7:8">
      <c r="G7996" s="87"/>
      <c r="H7996" s="90"/>
    </row>
    <row r="7997" spans="7:8">
      <c r="G7997" s="87"/>
      <c r="H7997" s="90"/>
    </row>
    <row r="7998" spans="7:8">
      <c r="G7998" s="87"/>
      <c r="H7998" s="90"/>
    </row>
    <row r="7999" spans="7:8">
      <c r="G7999" s="87"/>
      <c r="H7999" s="90"/>
    </row>
    <row r="8000" spans="7:8">
      <c r="G8000" s="87"/>
      <c r="H8000" s="90"/>
    </row>
    <row r="8001" spans="7:8">
      <c r="G8001" s="87"/>
      <c r="H8001" s="90"/>
    </row>
    <row r="8002" spans="7:8">
      <c r="G8002" s="87"/>
      <c r="H8002" s="90"/>
    </row>
    <row r="8003" spans="7:8">
      <c r="G8003" s="87"/>
      <c r="H8003" s="90"/>
    </row>
    <row r="8004" spans="7:8">
      <c r="G8004" s="87"/>
      <c r="H8004" s="90"/>
    </row>
    <row r="8005" spans="7:8">
      <c r="G8005" s="87"/>
      <c r="H8005" s="90"/>
    </row>
    <row r="8006" spans="7:8">
      <c r="G8006" s="87"/>
      <c r="H8006" s="90"/>
    </row>
    <row r="8007" spans="7:8">
      <c r="G8007" s="87"/>
      <c r="H8007" s="90"/>
    </row>
    <row r="8008" spans="7:8">
      <c r="G8008" s="87"/>
      <c r="H8008" s="90"/>
    </row>
    <row r="8009" spans="7:8">
      <c r="G8009" s="87"/>
      <c r="H8009" s="90"/>
    </row>
    <row r="8010" spans="7:8">
      <c r="G8010" s="87"/>
      <c r="H8010" s="90"/>
    </row>
    <row r="8011" spans="7:8">
      <c r="G8011" s="87"/>
      <c r="H8011" s="90"/>
    </row>
    <row r="8012" spans="7:8">
      <c r="G8012" s="87"/>
      <c r="H8012" s="90"/>
    </row>
    <row r="8013" spans="7:8">
      <c r="G8013" s="87"/>
      <c r="H8013" s="90"/>
    </row>
    <row r="8014" spans="7:8">
      <c r="G8014" s="87"/>
      <c r="H8014" s="90"/>
    </row>
    <row r="8015" spans="7:8">
      <c r="G8015" s="87"/>
      <c r="H8015" s="90"/>
    </row>
    <row r="8016" spans="7:8">
      <c r="G8016" s="87"/>
      <c r="H8016" s="90"/>
    </row>
    <row r="8017" spans="7:8">
      <c r="G8017" s="87"/>
      <c r="H8017" s="90"/>
    </row>
    <row r="8018" spans="7:8">
      <c r="G8018" s="87"/>
      <c r="H8018" s="90"/>
    </row>
    <row r="8019" spans="7:8">
      <c r="G8019" s="87"/>
      <c r="H8019" s="90"/>
    </row>
    <row r="8020" spans="7:8">
      <c r="G8020" s="87"/>
      <c r="H8020" s="90"/>
    </row>
    <row r="8021" spans="7:8">
      <c r="G8021" s="87"/>
      <c r="H8021" s="90"/>
    </row>
    <row r="8022" spans="7:8">
      <c r="G8022" s="87"/>
      <c r="H8022" s="90"/>
    </row>
    <row r="8023" spans="7:8">
      <c r="G8023" s="87"/>
      <c r="H8023" s="90"/>
    </row>
    <row r="8024" spans="7:8">
      <c r="G8024" s="87"/>
      <c r="H8024" s="90"/>
    </row>
    <row r="8025" spans="7:8">
      <c r="G8025" s="87"/>
      <c r="H8025" s="90"/>
    </row>
    <row r="8026" spans="7:8">
      <c r="G8026" s="87"/>
      <c r="H8026" s="90"/>
    </row>
    <row r="8027" spans="7:8">
      <c r="G8027" s="87"/>
      <c r="H8027" s="90"/>
    </row>
    <row r="8028" spans="7:8">
      <c r="G8028" s="87"/>
      <c r="H8028" s="90"/>
    </row>
    <row r="8029" spans="7:8">
      <c r="G8029" s="87"/>
      <c r="H8029" s="90"/>
    </row>
    <row r="8030" spans="7:8">
      <c r="G8030" s="87"/>
      <c r="H8030" s="90"/>
    </row>
    <row r="8031" spans="7:8">
      <c r="G8031" s="87"/>
      <c r="H8031" s="90"/>
    </row>
    <row r="8032" spans="7:8">
      <c r="G8032" s="87"/>
      <c r="H8032" s="90"/>
    </row>
    <row r="8033" spans="7:8">
      <c r="G8033" s="87"/>
      <c r="H8033" s="90"/>
    </row>
    <row r="8034" spans="7:8">
      <c r="G8034" s="87"/>
      <c r="H8034" s="90"/>
    </row>
    <row r="8035" spans="7:8">
      <c r="G8035" s="87"/>
      <c r="H8035" s="90"/>
    </row>
    <row r="8036" spans="7:8">
      <c r="G8036" s="87"/>
      <c r="H8036" s="90"/>
    </row>
    <row r="8037" spans="7:8">
      <c r="G8037" s="87"/>
      <c r="H8037" s="90"/>
    </row>
    <row r="8038" spans="7:8">
      <c r="G8038" s="87"/>
      <c r="H8038" s="90"/>
    </row>
    <row r="8039" spans="7:8">
      <c r="G8039" s="87"/>
      <c r="H8039" s="90"/>
    </row>
    <row r="8040" spans="7:8">
      <c r="G8040" s="87"/>
      <c r="H8040" s="90"/>
    </row>
    <row r="8041" spans="7:8">
      <c r="G8041" s="87"/>
      <c r="H8041" s="90"/>
    </row>
    <row r="8042" spans="7:8">
      <c r="G8042" s="87"/>
      <c r="H8042" s="90"/>
    </row>
    <row r="8043" spans="7:8">
      <c r="G8043" s="87"/>
      <c r="H8043" s="90"/>
    </row>
    <row r="8044" spans="7:8">
      <c r="G8044" s="87"/>
      <c r="H8044" s="90"/>
    </row>
    <row r="8045" spans="7:8">
      <c r="G8045" s="87"/>
      <c r="H8045" s="90"/>
    </row>
    <row r="8046" spans="7:8">
      <c r="G8046" s="87"/>
      <c r="H8046" s="90"/>
    </row>
    <row r="8047" spans="7:8">
      <c r="G8047" s="87"/>
      <c r="H8047" s="90"/>
    </row>
    <row r="8048" spans="7:8">
      <c r="G8048" s="87"/>
      <c r="H8048" s="90"/>
    </row>
    <row r="8049" spans="7:8">
      <c r="G8049" s="87"/>
      <c r="H8049" s="90"/>
    </row>
    <row r="8050" spans="7:8">
      <c r="G8050" s="87"/>
      <c r="H8050" s="90"/>
    </row>
    <row r="8051" spans="7:8">
      <c r="G8051" s="87"/>
      <c r="H8051" s="90"/>
    </row>
    <row r="8052" spans="7:8">
      <c r="G8052" s="87"/>
      <c r="H8052" s="90"/>
    </row>
    <row r="8053" spans="7:8">
      <c r="G8053" s="87"/>
      <c r="H8053" s="90"/>
    </row>
    <row r="8054" spans="7:8">
      <c r="G8054" s="87"/>
      <c r="H8054" s="90"/>
    </row>
    <row r="8055" spans="7:8">
      <c r="G8055" s="87"/>
      <c r="H8055" s="90"/>
    </row>
    <row r="8056" spans="7:8">
      <c r="G8056" s="87"/>
      <c r="H8056" s="90"/>
    </row>
    <row r="8057" spans="7:8">
      <c r="G8057" s="87"/>
      <c r="H8057" s="90"/>
    </row>
    <row r="8058" spans="7:8">
      <c r="G8058" s="87"/>
      <c r="H8058" s="90"/>
    </row>
    <row r="8059" spans="7:8">
      <c r="G8059" s="87"/>
      <c r="H8059" s="90"/>
    </row>
    <row r="8060" spans="7:8">
      <c r="G8060" s="87"/>
      <c r="H8060" s="90"/>
    </row>
    <row r="8061" spans="7:8">
      <c r="G8061" s="87"/>
      <c r="H8061" s="90"/>
    </row>
    <row r="8062" spans="7:8">
      <c r="G8062" s="87"/>
      <c r="H8062" s="90"/>
    </row>
    <row r="8063" spans="7:8">
      <c r="G8063" s="87"/>
      <c r="H8063" s="90"/>
    </row>
    <row r="8064" spans="7:8">
      <c r="G8064" s="87"/>
      <c r="H8064" s="90"/>
    </row>
    <row r="8065" spans="7:8">
      <c r="G8065" s="87"/>
      <c r="H8065" s="90"/>
    </row>
    <row r="8066" spans="7:8">
      <c r="G8066" s="87"/>
      <c r="H8066" s="90"/>
    </row>
    <row r="8067" spans="7:8">
      <c r="G8067" s="87"/>
      <c r="H8067" s="90"/>
    </row>
    <row r="8068" spans="7:8">
      <c r="G8068" s="87"/>
      <c r="H8068" s="90"/>
    </row>
    <row r="8069" spans="7:8">
      <c r="G8069" s="87"/>
      <c r="H8069" s="90"/>
    </row>
    <row r="8070" spans="7:8">
      <c r="G8070" s="87"/>
      <c r="H8070" s="90"/>
    </row>
    <row r="8071" spans="7:8">
      <c r="G8071" s="87"/>
      <c r="H8071" s="90"/>
    </row>
    <row r="8072" spans="7:8">
      <c r="G8072" s="87"/>
      <c r="H8072" s="90"/>
    </row>
    <row r="8073" spans="7:8">
      <c r="G8073" s="87"/>
      <c r="H8073" s="90"/>
    </row>
    <row r="8074" spans="7:8">
      <c r="G8074" s="87"/>
      <c r="H8074" s="90"/>
    </row>
    <row r="8075" spans="7:8">
      <c r="G8075" s="87"/>
      <c r="H8075" s="90"/>
    </row>
    <row r="8076" spans="7:8">
      <c r="G8076" s="87"/>
      <c r="H8076" s="90"/>
    </row>
    <row r="8077" spans="7:8">
      <c r="G8077" s="87"/>
      <c r="H8077" s="90"/>
    </row>
    <row r="8078" spans="7:8">
      <c r="G8078" s="87"/>
      <c r="H8078" s="90"/>
    </row>
    <row r="8079" spans="7:8">
      <c r="G8079" s="87"/>
      <c r="H8079" s="90"/>
    </row>
    <row r="8080" spans="7:8">
      <c r="G8080" s="87"/>
      <c r="H8080" s="90"/>
    </row>
    <row r="8081" spans="7:8">
      <c r="G8081" s="87"/>
      <c r="H8081" s="90"/>
    </row>
    <row r="8082" spans="7:8">
      <c r="G8082" s="87"/>
      <c r="H8082" s="90"/>
    </row>
    <row r="8083" spans="7:8">
      <c r="G8083" s="87"/>
      <c r="H8083" s="90"/>
    </row>
    <row r="8084" spans="7:8">
      <c r="G8084" s="87"/>
      <c r="H8084" s="90"/>
    </row>
    <row r="8085" spans="7:8">
      <c r="G8085" s="87"/>
      <c r="H8085" s="90"/>
    </row>
    <row r="8086" spans="7:8">
      <c r="G8086" s="87"/>
      <c r="H8086" s="90"/>
    </row>
    <row r="8087" spans="7:8">
      <c r="G8087" s="87"/>
      <c r="H8087" s="90"/>
    </row>
    <row r="8088" spans="7:8">
      <c r="G8088" s="87"/>
      <c r="H8088" s="90"/>
    </row>
    <row r="8089" spans="7:8">
      <c r="G8089" s="87"/>
      <c r="H8089" s="90"/>
    </row>
    <row r="8090" spans="7:8">
      <c r="G8090" s="87"/>
      <c r="H8090" s="90"/>
    </row>
    <row r="8091" spans="7:8">
      <c r="G8091" s="87"/>
      <c r="H8091" s="90"/>
    </row>
    <row r="8092" spans="7:8">
      <c r="G8092" s="87"/>
      <c r="H8092" s="90"/>
    </row>
    <row r="8093" spans="7:8">
      <c r="G8093" s="87"/>
      <c r="H8093" s="90"/>
    </row>
    <row r="8094" spans="7:8">
      <c r="G8094" s="87"/>
      <c r="H8094" s="90"/>
    </row>
    <row r="8095" spans="7:8">
      <c r="G8095" s="87"/>
      <c r="H8095" s="90"/>
    </row>
    <row r="8096" spans="7:8">
      <c r="G8096" s="87"/>
      <c r="H8096" s="90"/>
    </row>
    <row r="8097" spans="7:8">
      <c r="G8097" s="87"/>
      <c r="H8097" s="90"/>
    </row>
    <row r="8098" spans="7:8">
      <c r="G8098" s="87"/>
      <c r="H8098" s="90"/>
    </row>
    <row r="8099" spans="7:8">
      <c r="G8099" s="87"/>
      <c r="H8099" s="90"/>
    </row>
    <row r="8100" spans="7:8">
      <c r="G8100" s="87"/>
      <c r="H8100" s="90"/>
    </row>
    <row r="8101" spans="7:8">
      <c r="G8101" s="87"/>
      <c r="H8101" s="90"/>
    </row>
    <row r="8102" spans="7:8">
      <c r="G8102" s="87"/>
      <c r="H8102" s="90"/>
    </row>
    <row r="8103" spans="7:8">
      <c r="G8103" s="87"/>
      <c r="H8103" s="90"/>
    </row>
    <row r="8104" spans="7:8">
      <c r="G8104" s="87"/>
      <c r="H8104" s="90"/>
    </row>
    <row r="8105" spans="7:8">
      <c r="G8105" s="87"/>
      <c r="H8105" s="90"/>
    </row>
    <row r="8106" spans="7:8">
      <c r="G8106" s="87"/>
      <c r="H8106" s="90"/>
    </row>
    <row r="8107" spans="7:8">
      <c r="G8107" s="87"/>
      <c r="H8107" s="90"/>
    </row>
    <row r="8108" spans="7:8">
      <c r="G8108" s="87"/>
      <c r="H8108" s="90"/>
    </row>
    <row r="8109" spans="7:8">
      <c r="G8109" s="87"/>
      <c r="H8109" s="90"/>
    </row>
    <row r="8110" spans="7:8">
      <c r="G8110" s="87"/>
      <c r="H8110" s="90"/>
    </row>
    <row r="8111" spans="7:8">
      <c r="G8111" s="87"/>
      <c r="H8111" s="90"/>
    </row>
    <row r="8112" spans="7:8">
      <c r="G8112" s="87"/>
      <c r="H8112" s="90"/>
    </row>
    <row r="8113" spans="7:8">
      <c r="G8113" s="87"/>
      <c r="H8113" s="90"/>
    </row>
    <row r="8114" spans="7:8">
      <c r="G8114" s="87"/>
      <c r="H8114" s="90"/>
    </row>
    <row r="8115" spans="7:8">
      <c r="G8115" s="87"/>
      <c r="H8115" s="90"/>
    </row>
    <row r="8116" spans="7:8">
      <c r="G8116" s="87"/>
      <c r="H8116" s="90"/>
    </row>
    <row r="8117" spans="7:8">
      <c r="G8117" s="87"/>
      <c r="H8117" s="90"/>
    </row>
    <row r="8118" spans="7:8">
      <c r="G8118" s="87"/>
      <c r="H8118" s="90"/>
    </row>
    <row r="8119" spans="7:8">
      <c r="G8119" s="87"/>
      <c r="H8119" s="90"/>
    </row>
    <row r="8120" spans="7:8">
      <c r="G8120" s="87"/>
      <c r="H8120" s="90"/>
    </row>
    <row r="8121" spans="7:8">
      <c r="G8121" s="87"/>
      <c r="H8121" s="90"/>
    </row>
    <row r="8122" spans="7:8">
      <c r="G8122" s="87"/>
      <c r="H8122" s="90"/>
    </row>
    <row r="8123" spans="7:8">
      <c r="G8123" s="87"/>
      <c r="H8123" s="90"/>
    </row>
    <row r="8124" spans="7:8">
      <c r="G8124" s="87"/>
      <c r="H8124" s="90"/>
    </row>
    <row r="8125" spans="7:8">
      <c r="G8125" s="87"/>
      <c r="H8125" s="90"/>
    </row>
    <row r="8126" spans="7:8">
      <c r="G8126" s="87"/>
      <c r="H8126" s="90"/>
    </row>
    <row r="8127" spans="7:8">
      <c r="G8127" s="87"/>
      <c r="H8127" s="90"/>
    </row>
    <row r="8128" spans="7:8">
      <c r="G8128" s="87"/>
      <c r="H8128" s="90"/>
    </row>
    <row r="8129" spans="7:8">
      <c r="G8129" s="87"/>
      <c r="H8129" s="90"/>
    </row>
    <row r="8130" spans="7:8">
      <c r="G8130" s="87"/>
      <c r="H8130" s="90"/>
    </row>
    <row r="8131" spans="7:8">
      <c r="G8131" s="87"/>
      <c r="H8131" s="90"/>
    </row>
    <row r="8132" spans="7:8">
      <c r="G8132" s="87"/>
      <c r="H8132" s="90"/>
    </row>
    <row r="8133" spans="7:8">
      <c r="G8133" s="87"/>
      <c r="H8133" s="90"/>
    </row>
    <row r="8134" spans="7:8">
      <c r="G8134" s="87"/>
      <c r="H8134" s="90"/>
    </row>
    <row r="8135" spans="7:8">
      <c r="G8135" s="87"/>
      <c r="H8135" s="90"/>
    </row>
    <row r="8136" spans="7:8">
      <c r="G8136" s="87"/>
      <c r="H8136" s="90"/>
    </row>
    <row r="8137" spans="7:8">
      <c r="G8137" s="87"/>
      <c r="H8137" s="90"/>
    </row>
    <row r="8138" spans="7:8">
      <c r="G8138" s="87"/>
      <c r="H8138" s="90"/>
    </row>
    <row r="8139" spans="7:8">
      <c r="G8139" s="87"/>
      <c r="H8139" s="90"/>
    </row>
    <row r="8140" spans="7:8">
      <c r="G8140" s="87"/>
      <c r="H8140" s="90"/>
    </row>
    <row r="8141" spans="7:8">
      <c r="G8141" s="87"/>
      <c r="H8141" s="90"/>
    </row>
    <row r="8142" spans="7:8">
      <c r="G8142" s="87"/>
      <c r="H8142" s="90"/>
    </row>
    <row r="8143" spans="7:8">
      <c r="G8143" s="87"/>
      <c r="H8143" s="90"/>
    </row>
    <row r="8144" spans="7:8">
      <c r="G8144" s="87"/>
      <c r="H8144" s="90"/>
    </row>
    <row r="8145" spans="7:8">
      <c r="G8145" s="87"/>
      <c r="H8145" s="90"/>
    </row>
    <row r="8146" spans="7:8">
      <c r="G8146" s="87"/>
      <c r="H8146" s="90"/>
    </row>
    <row r="8147" spans="7:8">
      <c r="G8147" s="87"/>
      <c r="H8147" s="90"/>
    </row>
    <row r="8148" spans="7:8">
      <c r="G8148" s="87"/>
      <c r="H8148" s="90"/>
    </row>
    <row r="8149" spans="7:8">
      <c r="G8149" s="87"/>
      <c r="H8149" s="90"/>
    </row>
    <row r="8150" spans="7:8">
      <c r="G8150" s="87"/>
      <c r="H8150" s="90"/>
    </row>
    <row r="8151" spans="7:8">
      <c r="G8151" s="87"/>
      <c r="H8151" s="90"/>
    </row>
    <row r="8152" spans="7:8">
      <c r="G8152" s="87"/>
      <c r="H8152" s="90"/>
    </row>
    <row r="8153" spans="7:8">
      <c r="G8153" s="87"/>
      <c r="H8153" s="90"/>
    </row>
    <row r="8154" spans="7:8">
      <c r="G8154" s="87"/>
      <c r="H8154" s="90"/>
    </row>
    <row r="8155" spans="7:8">
      <c r="G8155" s="87"/>
      <c r="H8155" s="90"/>
    </row>
    <row r="8156" spans="7:8">
      <c r="G8156" s="87"/>
      <c r="H8156" s="90"/>
    </row>
    <row r="8157" spans="7:8">
      <c r="G8157" s="87"/>
      <c r="H8157" s="90"/>
    </row>
    <row r="8158" spans="7:8">
      <c r="G8158" s="87"/>
      <c r="H8158" s="90"/>
    </row>
    <row r="8159" spans="7:8">
      <c r="G8159" s="87"/>
      <c r="H8159" s="90"/>
    </row>
    <row r="8160" spans="7:8">
      <c r="G8160" s="87"/>
      <c r="H8160" s="90"/>
    </row>
    <row r="8161" spans="7:8">
      <c r="G8161" s="87"/>
      <c r="H8161" s="90"/>
    </row>
    <row r="8162" spans="7:8">
      <c r="G8162" s="87"/>
      <c r="H8162" s="90"/>
    </row>
    <row r="8163" spans="7:8">
      <c r="G8163" s="87"/>
      <c r="H8163" s="90"/>
    </row>
    <row r="8164" spans="7:8">
      <c r="G8164" s="87"/>
      <c r="H8164" s="90"/>
    </row>
    <row r="8165" spans="7:8">
      <c r="G8165" s="87"/>
      <c r="H8165" s="90"/>
    </row>
    <row r="8166" spans="7:8">
      <c r="G8166" s="87"/>
      <c r="H8166" s="90"/>
    </row>
    <row r="8167" spans="7:8">
      <c r="G8167" s="87"/>
      <c r="H8167" s="90"/>
    </row>
    <row r="8168" spans="7:8">
      <c r="G8168" s="87"/>
      <c r="H8168" s="90"/>
    </row>
    <row r="8169" spans="7:8">
      <c r="G8169" s="87"/>
      <c r="H8169" s="90"/>
    </row>
    <row r="8170" spans="7:8">
      <c r="G8170" s="87"/>
      <c r="H8170" s="90"/>
    </row>
    <row r="8171" spans="7:8">
      <c r="G8171" s="87"/>
      <c r="H8171" s="90"/>
    </row>
    <row r="8172" spans="7:8">
      <c r="G8172" s="87"/>
      <c r="H8172" s="90"/>
    </row>
    <row r="8173" spans="7:8">
      <c r="G8173" s="87"/>
      <c r="H8173" s="90"/>
    </row>
    <row r="8174" spans="7:8">
      <c r="G8174" s="87"/>
      <c r="H8174" s="90"/>
    </row>
    <row r="8175" spans="7:8">
      <c r="G8175" s="87"/>
      <c r="H8175" s="90"/>
    </row>
    <row r="8176" spans="7:8">
      <c r="G8176" s="87"/>
      <c r="H8176" s="90"/>
    </row>
    <row r="8177" spans="7:8">
      <c r="G8177" s="87"/>
      <c r="H8177" s="90"/>
    </row>
    <row r="8178" spans="7:8">
      <c r="G8178" s="87"/>
      <c r="H8178" s="90"/>
    </row>
    <row r="8179" spans="7:8">
      <c r="G8179" s="87"/>
      <c r="H8179" s="90"/>
    </row>
    <row r="8180" spans="7:8">
      <c r="G8180" s="87"/>
      <c r="H8180" s="90"/>
    </row>
    <row r="8181" spans="7:8">
      <c r="G8181" s="87"/>
      <c r="H8181" s="90"/>
    </row>
    <row r="8182" spans="7:8">
      <c r="G8182" s="87"/>
      <c r="H8182" s="90"/>
    </row>
    <row r="8183" spans="7:8">
      <c r="G8183" s="87"/>
      <c r="H8183" s="90"/>
    </row>
    <row r="8184" spans="7:8">
      <c r="G8184" s="87"/>
      <c r="H8184" s="90"/>
    </row>
    <row r="8185" spans="7:8">
      <c r="G8185" s="87"/>
      <c r="H8185" s="90"/>
    </row>
    <row r="8186" spans="7:8">
      <c r="G8186" s="87"/>
      <c r="H8186" s="90"/>
    </row>
    <row r="8187" spans="7:8">
      <c r="G8187" s="87"/>
      <c r="H8187" s="90"/>
    </row>
    <row r="8188" spans="7:8">
      <c r="G8188" s="87"/>
      <c r="H8188" s="90"/>
    </row>
    <row r="8189" spans="7:8">
      <c r="G8189" s="87"/>
      <c r="H8189" s="90"/>
    </row>
    <row r="8190" spans="7:8">
      <c r="G8190" s="87"/>
      <c r="H8190" s="90"/>
    </row>
    <row r="8191" spans="7:8">
      <c r="G8191" s="87"/>
      <c r="H8191" s="90"/>
    </row>
    <row r="8192" spans="7:8">
      <c r="G8192" s="87"/>
      <c r="H8192" s="90"/>
    </row>
    <row r="8193" spans="7:8">
      <c r="G8193" s="87"/>
      <c r="H8193" s="90"/>
    </row>
    <row r="8194" spans="7:8">
      <c r="G8194" s="87"/>
      <c r="H8194" s="90"/>
    </row>
    <row r="8195" spans="7:8">
      <c r="G8195" s="87"/>
      <c r="H8195" s="90"/>
    </row>
    <row r="8196" spans="7:8">
      <c r="G8196" s="87"/>
      <c r="H8196" s="90"/>
    </row>
    <row r="8197" spans="7:8">
      <c r="G8197" s="87"/>
      <c r="H8197" s="90"/>
    </row>
    <row r="8198" spans="7:8">
      <c r="G8198" s="87"/>
      <c r="H8198" s="90"/>
    </row>
    <row r="8199" spans="7:8">
      <c r="G8199" s="87"/>
      <c r="H8199" s="90"/>
    </row>
    <row r="8200" spans="7:8">
      <c r="G8200" s="87"/>
      <c r="H8200" s="90"/>
    </row>
    <row r="8201" spans="7:8">
      <c r="G8201" s="87"/>
      <c r="H8201" s="90"/>
    </row>
    <row r="8202" spans="7:8">
      <c r="G8202" s="87"/>
      <c r="H8202" s="90"/>
    </row>
    <row r="8203" spans="7:8">
      <c r="G8203" s="87"/>
      <c r="H8203" s="90"/>
    </row>
    <row r="8204" spans="7:8">
      <c r="G8204" s="87"/>
      <c r="H8204" s="90"/>
    </row>
    <row r="8205" spans="7:8">
      <c r="G8205" s="87"/>
      <c r="H8205" s="90"/>
    </row>
    <row r="8206" spans="7:8">
      <c r="G8206" s="87"/>
      <c r="H8206" s="90"/>
    </row>
    <row r="8207" spans="7:8">
      <c r="G8207" s="87"/>
      <c r="H8207" s="90"/>
    </row>
    <row r="8208" spans="7:8">
      <c r="G8208" s="87"/>
      <c r="H8208" s="90"/>
    </row>
    <row r="8209" spans="7:8">
      <c r="G8209" s="87"/>
      <c r="H8209" s="90"/>
    </row>
    <row r="8210" spans="7:8">
      <c r="G8210" s="87"/>
      <c r="H8210" s="90"/>
    </row>
    <row r="8211" spans="7:8">
      <c r="G8211" s="87"/>
      <c r="H8211" s="90"/>
    </row>
    <row r="8212" spans="7:8">
      <c r="G8212" s="87"/>
      <c r="H8212" s="90"/>
    </row>
    <row r="8213" spans="7:8">
      <c r="G8213" s="87"/>
      <c r="H8213" s="90"/>
    </row>
    <row r="8214" spans="7:8">
      <c r="G8214" s="87"/>
      <c r="H8214" s="90"/>
    </row>
    <row r="8215" spans="7:8">
      <c r="G8215" s="87"/>
      <c r="H8215" s="90"/>
    </row>
    <row r="8216" spans="7:8">
      <c r="G8216" s="87"/>
      <c r="H8216" s="90"/>
    </row>
    <row r="8217" spans="7:8">
      <c r="G8217" s="87"/>
      <c r="H8217" s="90"/>
    </row>
    <row r="8218" spans="7:8">
      <c r="G8218" s="87"/>
      <c r="H8218" s="90"/>
    </row>
    <row r="8219" spans="7:8">
      <c r="G8219" s="87"/>
      <c r="H8219" s="90"/>
    </row>
    <row r="8220" spans="7:8">
      <c r="G8220" s="87"/>
      <c r="H8220" s="90"/>
    </row>
    <row r="8221" spans="7:8">
      <c r="G8221" s="87"/>
      <c r="H8221" s="90"/>
    </row>
    <row r="8222" spans="7:8">
      <c r="G8222" s="87"/>
      <c r="H8222" s="90"/>
    </row>
    <row r="8223" spans="7:8">
      <c r="G8223" s="87"/>
      <c r="H8223" s="90"/>
    </row>
    <row r="8224" spans="7:8">
      <c r="G8224" s="87"/>
      <c r="H8224" s="90"/>
    </row>
    <row r="8225" spans="7:8">
      <c r="G8225" s="87"/>
      <c r="H8225" s="90"/>
    </row>
    <row r="8226" spans="7:8">
      <c r="G8226" s="87"/>
      <c r="H8226" s="90"/>
    </row>
    <row r="8227" spans="7:8">
      <c r="G8227" s="87"/>
      <c r="H8227" s="90"/>
    </row>
    <row r="8228" spans="7:8">
      <c r="G8228" s="87"/>
      <c r="H8228" s="90"/>
    </row>
    <row r="8229" spans="7:8">
      <c r="G8229" s="87"/>
      <c r="H8229" s="90"/>
    </row>
    <row r="8230" spans="7:8">
      <c r="G8230" s="87"/>
      <c r="H8230" s="90"/>
    </row>
    <row r="8231" spans="7:8">
      <c r="G8231" s="87"/>
      <c r="H8231" s="90"/>
    </row>
    <row r="8232" spans="7:8">
      <c r="G8232" s="87"/>
      <c r="H8232" s="90"/>
    </row>
    <row r="8233" spans="7:8">
      <c r="G8233" s="87"/>
      <c r="H8233" s="90"/>
    </row>
    <row r="8234" spans="7:8">
      <c r="G8234" s="87"/>
      <c r="H8234" s="90"/>
    </row>
    <row r="8235" spans="7:8">
      <c r="G8235" s="87"/>
      <c r="H8235" s="90"/>
    </row>
    <row r="8236" spans="7:8">
      <c r="G8236" s="87"/>
      <c r="H8236" s="90"/>
    </row>
    <row r="8237" spans="7:8">
      <c r="G8237" s="87"/>
      <c r="H8237" s="90"/>
    </row>
    <row r="8238" spans="7:8">
      <c r="G8238" s="87"/>
      <c r="H8238" s="90"/>
    </row>
    <row r="8239" spans="7:8">
      <c r="G8239" s="87"/>
      <c r="H8239" s="90"/>
    </row>
    <row r="8240" spans="7:8">
      <c r="G8240" s="87"/>
      <c r="H8240" s="90"/>
    </row>
    <row r="8241" spans="7:8">
      <c r="G8241" s="87"/>
      <c r="H8241" s="90"/>
    </row>
    <row r="8242" spans="7:8">
      <c r="G8242" s="87"/>
      <c r="H8242" s="90"/>
    </row>
    <row r="8243" spans="7:8">
      <c r="G8243" s="87"/>
      <c r="H8243" s="90"/>
    </row>
    <row r="8244" spans="7:8">
      <c r="G8244" s="87"/>
      <c r="H8244" s="90"/>
    </row>
    <row r="8245" spans="7:8">
      <c r="G8245" s="87"/>
      <c r="H8245" s="90"/>
    </row>
    <row r="8246" spans="7:8">
      <c r="G8246" s="87"/>
      <c r="H8246" s="90"/>
    </row>
    <row r="8247" spans="7:8">
      <c r="G8247" s="87"/>
      <c r="H8247" s="90"/>
    </row>
    <row r="8248" spans="7:8">
      <c r="G8248" s="87"/>
      <c r="H8248" s="90"/>
    </row>
    <row r="8249" spans="7:8">
      <c r="G8249" s="87"/>
      <c r="H8249" s="90"/>
    </row>
    <row r="8250" spans="7:8">
      <c r="G8250" s="87"/>
      <c r="H8250" s="90"/>
    </row>
    <row r="8251" spans="7:8">
      <c r="G8251" s="87"/>
      <c r="H8251" s="90"/>
    </row>
    <row r="8252" spans="7:8">
      <c r="G8252" s="87"/>
      <c r="H8252" s="90"/>
    </row>
    <row r="8253" spans="7:8">
      <c r="G8253" s="87"/>
      <c r="H8253" s="90"/>
    </row>
    <row r="8254" spans="7:8">
      <c r="G8254" s="87"/>
      <c r="H8254" s="90"/>
    </row>
    <row r="8255" spans="7:8">
      <c r="G8255" s="87"/>
      <c r="H8255" s="90"/>
    </row>
    <row r="8256" spans="7:8">
      <c r="G8256" s="87"/>
      <c r="H8256" s="90"/>
    </row>
    <row r="8257" spans="7:8">
      <c r="G8257" s="87"/>
      <c r="H8257" s="90"/>
    </row>
    <row r="8258" spans="7:8">
      <c r="G8258" s="87"/>
      <c r="H8258" s="90"/>
    </row>
    <row r="8259" spans="7:8">
      <c r="G8259" s="87"/>
      <c r="H8259" s="90"/>
    </row>
    <row r="8260" spans="7:8">
      <c r="G8260" s="87"/>
      <c r="H8260" s="90"/>
    </row>
    <row r="8261" spans="7:8">
      <c r="G8261" s="87"/>
      <c r="H8261" s="90"/>
    </row>
    <row r="8262" spans="7:8">
      <c r="G8262" s="87"/>
      <c r="H8262" s="90"/>
    </row>
    <row r="8263" spans="7:8">
      <c r="G8263" s="87"/>
      <c r="H8263" s="90"/>
    </row>
    <row r="8264" spans="7:8">
      <c r="G8264" s="87"/>
      <c r="H8264" s="90"/>
    </row>
    <row r="8265" spans="7:8">
      <c r="G8265" s="87"/>
      <c r="H8265" s="90"/>
    </row>
    <row r="8266" spans="7:8">
      <c r="G8266" s="87"/>
      <c r="H8266" s="90"/>
    </row>
    <row r="8267" spans="7:8">
      <c r="G8267" s="87"/>
      <c r="H8267" s="90"/>
    </row>
    <row r="8268" spans="7:8">
      <c r="G8268" s="87"/>
      <c r="H8268" s="90"/>
    </row>
    <row r="8269" spans="7:8">
      <c r="G8269" s="87"/>
      <c r="H8269" s="90"/>
    </row>
    <row r="8270" spans="7:8">
      <c r="G8270" s="87"/>
      <c r="H8270" s="90"/>
    </row>
    <row r="8271" spans="7:8">
      <c r="G8271" s="87"/>
      <c r="H8271" s="90"/>
    </row>
    <row r="8272" spans="7:8">
      <c r="G8272" s="87"/>
      <c r="H8272" s="90"/>
    </row>
    <row r="8273" spans="7:8">
      <c r="G8273" s="87"/>
      <c r="H8273" s="90"/>
    </row>
    <row r="8274" spans="7:8">
      <c r="G8274" s="87"/>
      <c r="H8274" s="90"/>
    </row>
    <row r="8275" spans="7:8">
      <c r="G8275" s="87"/>
      <c r="H8275" s="90"/>
    </row>
    <row r="8276" spans="7:8">
      <c r="G8276" s="87"/>
      <c r="H8276" s="90"/>
    </row>
    <row r="8277" spans="7:8">
      <c r="G8277" s="87"/>
      <c r="H8277" s="90"/>
    </row>
    <row r="8278" spans="7:8">
      <c r="G8278" s="87"/>
      <c r="H8278" s="90"/>
    </row>
    <row r="8279" spans="7:8">
      <c r="G8279" s="87"/>
      <c r="H8279" s="90"/>
    </row>
    <row r="8280" spans="7:8">
      <c r="G8280" s="87"/>
      <c r="H8280" s="90"/>
    </row>
    <row r="8281" spans="7:8">
      <c r="G8281" s="87"/>
      <c r="H8281" s="90"/>
    </row>
    <row r="8282" spans="7:8">
      <c r="G8282" s="87"/>
      <c r="H8282" s="90"/>
    </row>
    <row r="8283" spans="7:8">
      <c r="G8283" s="87"/>
      <c r="H8283" s="90"/>
    </row>
    <row r="8284" spans="7:8">
      <c r="G8284" s="87"/>
      <c r="H8284" s="90"/>
    </row>
    <row r="8285" spans="7:8">
      <c r="G8285" s="87"/>
      <c r="H8285" s="90"/>
    </row>
    <row r="8286" spans="7:8">
      <c r="G8286" s="87"/>
      <c r="H8286" s="90"/>
    </row>
    <row r="8287" spans="7:8">
      <c r="G8287" s="87"/>
      <c r="H8287" s="90"/>
    </row>
    <row r="8288" spans="7:8">
      <c r="G8288" s="87"/>
      <c r="H8288" s="90"/>
    </row>
    <row r="8289" spans="7:8">
      <c r="G8289" s="87"/>
      <c r="H8289" s="90"/>
    </row>
    <row r="8290" spans="7:8">
      <c r="G8290" s="87"/>
      <c r="H8290" s="90"/>
    </row>
    <row r="8291" spans="7:8">
      <c r="G8291" s="87"/>
      <c r="H8291" s="90"/>
    </row>
    <row r="8292" spans="7:8">
      <c r="G8292" s="87"/>
      <c r="H8292" s="90"/>
    </row>
    <row r="8293" spans="7:8">
      <c r="G8293" s="87"/>
      <c r="H8293" s="90"/>
    </row>
    <row r="8294" spans="7:8">
      <c r="G8294" s="87"/>
      <c r="H8294" s="90"/>
    </row>
    <row r="8295" spans="7:8">
      <c r="G8295" s="87"/>
      <c r="H8295" s="90"/>
    </row>
    <row r="8296" spans="7:8">
      <c r="G8296" s="87"/>
      <c r="H8296" s="90"/>
    </row>
    <row r="8297" spans="7:8">
      <c r="G8297" s="87"/>
      <c r="H8297" s="90"/>
    </row>
    <row r="8298" spans="7:8">
      <c r="G8298" s="87"/>
      <c r="H8298" s="90"/>
    </row>
    <row r="8299" spans="7:8">
      <c r="G8299" s="87"/>
      <c r="H8299" s="90"/>
    </row>
    <row r="8300" spans="7:8">
      <c r="G8300" s="87"/>
      <c r="H8300" s="90"/>
    </row>
    <row r="8301" spans="7:8">
      <c r="G8301" s="87"/>
      <c r="H8301" s="90"/>
    </row>
    <row r="8302" spans="7:8">
      <c r="G8302" s="87"/>
      <c r="H8302" s="90"/>
    </row>
    <row r="8303" spans="7:8">
      <c r="G8303" s="87"/>
      <c r="H8303" s="90"/>
    </row>
    <row r="8304" spans="7:8">
      <c r="G8304" s="87"/>
      <c r="H8304" s="90"/>
    </row>
    <row r="8305" spans="7:8">
      <c r="G8305" s="87"/>
      <c r="H8305" s="90"/>
    </row>
    <row r="8306" spans="7:8">
      <c r="G8306" s="87"/>
      <c r="H8306" s="90"/>
    </row>
    <row r="8307" spans="7:8">
      <c r="G8307" s="87"/>
      <c r="H8307" s="90"/>
    </row>
    <row r="8308" spans="7:8">
      <c r="G8308" s="87"/>
      <c r="H8308" s="90"/>
    </row>
    <row r="8309" spans="7:8">
      <c r="G8309" s="87"/>
      <c r="H8309" s="90"/>
    </row>
    <row r="8310" spans="7:8">
      <c r="G8310" s="87"/>
      <c r="H8310" s="90"/>
    </row>
    <row r="8311" spans="7:8">
      <c r="G8311" s="87"/>
      <c r="H8311" s="90"/>
    </row>
    <row r="8312" spans="7:8">
      <c r="G8312" s="87"/>
      <c r="H8312" s="90"/>
    </row>
    <row r="8313" spans="7:8">
      <c r="G8313" s="87"/>
      <c r="H8313" s="90"/>
    </row>
    <row r="8314" spans="7:8">
      <c r="G8314" s="87"/>
      <c r="H8314" s="90"/>
    </row>
    <row r="8315" spans="7:8">
      <c r="G8315" s="87"/>
      <c r="H8315" s="90"/>
    </row>
    <row r="8316" spans="7:8">
      <c r="G8316" s="87"/>
      <c r="H8316" s="90"/>
    </row>
    <row r="8317" spans="7:8">
      <c r="G8317" s="87"/>
      <c r="H8317" s="90"/>
    </row>
    <row r="8318" spans="7:8">
      <c r="G8318" s="87"/>
      <c r="H8318" s="90"/>
    </row>
    <row r="8319" spans="7:8">
      <c r="G8319" s="87"/>
      <c r="H8319" s="90"/>
    </row>
    <row r="8320" spans="7:8">
      <c r="G8320" s="87"/>
      <c r="H8320" s="90"/>
    </row>
    <row r="8321" spans="7:8">
      <c r="G8321" s="87"/>
      <c r="H8321" s="90"/>
    </row>
    <row r="8322" spans="7:8">
      <c r="G8322" s="87"/>
      <c r="H8322" s="90"/>
    </row>
    <row r="8323" spans="7:8">
      <c r="G8323" s="87"/>
      <c r="H8323" s="90"/>
    </row>
    <row r="8324" spans="7:8">
      <c r="G8324" s="87"/>
      <c r="H8324" s="90"/>
    </row>
    <row r="8325" spans="7:8">
      <c r="G8325" s="87"/>
      <c r="H8325" s="90"/>
    </row>
    <row r="8326" spans="7:8">
      <c r="G8326" s="87"/>
      <c r="H8326" s="90"/>
    </row>
    <row r="8327" spans="7:8">
      <c r="G8327" s="87"/>
      <c r="H8327" s="90"/>
    </row>
    <row r="8328" spans="7:8">
      <c r="G8328" s="87"/>
      <c r="H8328" s="90"/>
    </row>
    <row r="8329" spans="7:8">
      <c r="G8329" s="87"/>
      <c r="H8329" s="90"/>
    </row>
    <row r="8330" spans="7:8">
      <c r="G8330" s="87"/>
      <c r="H8330" s="90"/>
    </row>
    <row r="8331" spans="7:8">
      <c r="G8331" s="87"/>
      <c r="H8331" s="90"/>
    </row>
    <row r="8332" spans="7:8">
      <c r="G8332" s="87"/>
      <c r="H8332" s="90"/>
    </row>
    <row r="8333" spans="7:8">
      <c r="G8333" s="87"/>
      <c r="H8333" s="90"/>
    </row>
    <row r="8334" spans="7:8">
      <c r="G8334" s="87"/>
      <c r="H8334" s="90"/>
    </row>
    <row r="8335" spans="7:8">
      <c r="G8335" s="87"/>
      <c r="H8335" s="90"/>
    </row>
    <row r="8336" spans="7:8">
      <c r="G8336" s="87"/>
      <c r="H8336" s="90"/>
    </row>
    <row r="8337" spans="7:8">
      <c r="G8337" s="87"/>
      <c r="H8337" s="90"/>
    </row>
    <row r="8338" spans="7:8">
      <c r="G8338" s="87"/>
      <c r="H8338" s="90"/>
    </row>
    <row r="8339" spans="7:8">
      <c r="G8339" s="87"/>
      <c r="H8339" s="90"/>
    </row>
    <row r="8340" spans="7:8">
      <c r="G8340" s="87"/>
      <c r="H8340" s="90"/>
    </row>
    <row r="8341" spans="7:8">
      <c r="G8341" s="87"/>
      <c r="H8341" s="90"/>
    </row>
    <row r="8342" spans="7:8">
      <c r="G8342" s="87"/>
      <c r="H8342" s="90"/>
    </row>
    <row r="8343" spans="7:8">
      <c r="G8343" s="87"/>
      <c r="H8343" s="90"/>
    </row>
    <row r="8344" spans="7:8">
      <c r="G8344" s="87"/>
      <c r="H8344" s="90"/>
    </row>
    <row r="8345" spans="7:8">
      <c r="G8345" s="87"/>
      <c r="H8345" s="90"/>
    </row>
    <row r="8346" spans="7:8">
      <c r="G8346" s="87"/>
      <c r="H8346" s="90"/>
    </row>
    <row r="8347" spans="7:8">
      <c r="G8347" s="87"/>
      <c r="H8347" s="90"/>
    </row>
    <row r="8348" spans="7:8">
      <c r="G8348" s="87"/>
      <c r="H8348" s="90"/>
    </row>
    <row r="8349" spans="7:8">
      <c r="G8349" s="87"/>
      <c r="H8349" s="90"/>
    </row>
    <row r="8350" spans="7:8">
      <c r="G8350" s="87"/>
      <c r="H8350" s="90"/>
    </row>
    <row r="8351" spans="7:8">
      <c r="G8351" s="87"/>
      <c r="H8351" s="90"/>
    </row>
    <row r="8352" spans="7:8">
      <c r="G8352" s="87"/>
      <c r="H8352" s="90"/>
    </row>
    <row r="8353" spans="7:8">
      <c r="G8353" s="87"/>
      <c r="H8353" s="90"/>
    </row>
    <row r="8354" spans="7:8">
      <c r="G8354" s="87"/>
      <c r="H8354" s="90"/>
    </row>
    <row r="8355" spans="7:8">
      <c r="G8355" s="87"/>
      <c r="H8355" s="90"/>
    </row>
    <row r="8356" spans="7:8">
      <c r="G8356" s="87"/>
      <c r="H8356" s="90"/>
    </row>
    <row r="8357" spans="7:8">
      <c r="G8357" s="87"/>
      <c r="H8357" s="90"/>
    </row>
    <row r="8358" spans="7:8">
      <c r="G8358" s="87"/>
      <c r="H8358" s="90"/>
    </row>
    <row r="8359" spans="7:8">
      <c r="G8359" s="87"/>
      <c r="H8359" s="90"/>
    </row>
    <row r="8360" spans="7:8">
      <c r="G8360" s="87"/>
      <c r="H8360" s="90"/>
    </row>
    <row r="8361" spans="7:8">
      <c r="G8361" s="87"/>
      <c r="H8361" s="90"/>
    </row>
    <row r="8362" spans="7:8">
      <c r="G8362" s="87"/>
      <c r="H8362" s="90"/>
    </row>
    <row r="8363" spans="7:8">
      <c r="G8363" s="87"/>
      <c r="H8363" s="90"/>
    </row>
    <row r="8364" spans="7:8">
      <c r="G8364" s="87"/>
      <c r="H8364" s="90"/>
    </row>
    <row r="8365" spans="7:8">
      <c r="G8365" s="87"/>
      <c r="H8365" s="90"/>
    </row>
    <row r="8366" spans="7:8">
      <c r="G8366" s="87"/>
      <c r="H8366" s="90"/>
    </row>
    <row r="8367" spans="7:8">
      <c r="G8367" s="87"/>
      <c r="H8367" s="90"/>
    </row>
    <row r="8368" spans="7:8">
      <c r="G8368" s="87"/>
      <c r="H8368" s="90"/>
    </row>
    <row r="8369" spans="7:8">
      <c r="G8369" s="87"/>
      <c r="H8369" s="90"/>
    </row>
    <row r="8370" spans="7:8">
      <c r="G8370" s="87"/>
      <c r="H8370" s="90"/>
    </row>
    <row r="8371" spans="7:8">
      <c r="G8371" s="87"/>
      <c r="H8371" s="90"/>
    </row>
    <row r="8372" spans="7:8">
      <c r="G8372" s="87"/>
      <c r="H8372" s="90"/>
    </row>
    <row r="8373" spans="7:8">
      <c r="G8373" s="87"/>
      <c r="H8373" s="90"/>
    </row>
    <row r="8374" spans="7:8">
      <c r="G8374" s="87"/>
      <c r="H8374" s="90"/>
    </row>
    <row r="8375" spans="7:8">
      <c r="G8375" s="87"/>
      <c r="H8375" s="90"/>
    </row>
    <row r="8376" spans="7:8">
      <c r="G8376" s="87"/>
      <c r="H8376" s="90"/>
    </row>
    <row r="8377" spans="7:8">
      <c r="G8377" s="87"/>
      <c r="H8377" s="90"/>
    </row>
    <row r="8378" spans="7:8">
      <c r="G8378" s="87"/>
      <c r="H8378" s="90"/>
    </row>
    <row r="8379" spans="7:8">
      <c r="G8379" s="87"/>
      <c r="H8379" s="90"/>
    </row>
    <row r="8380" spans="7:8">
      <c r="G8380" s="87"/>
      <c r="H8380" s="90"/>
    </row>
    <row r="8381" spans="7:8">
      <c r="G8381" s="87"/>
      <c r="H8381" s="90"/>
    </row>
    <row r="8382" spans="7:8">
      <c r="G8382" s="87"/>
      <c r="H8382" s="90"/>
    </row>
    <row r="8383" spans="7:8">
      <c r="G8383" s="87"/>
      <c r="H8383" s="90"/>
    </row>
    <row r="8384" spans="7:8">
      <c r="G8384" s="87"/>
      <c r="H8384" s="90"/>
    </row>
    <row r="8385" spans="7:8">
      <c r="G8385" s="87"/>
      <c r="H8385" s="90"/>
    </row>
    <row r="8386" spans="7:8">
      <c r="G8386" s="87"/>
      <c r="H8386" s="90"/>
    </row>
    <row r="8387" spans="7:8">
      <c r="G8387" s="87"/>
      <c r="H8387" s="90"/>
    </row>
    <row r="8388" spans="7:8">
      <c r="G8388" s="87"/>
      <c r="H8388" s="90"/>
    </row>
    <row r="8389" spans="7:8">
      <c r="G8389" s="87"/>
      <c r="H8389" s="90"/>
    </row>
    <row r="8390" spans="7:8">
      <c r="G8390" s="87"/>
      <c r="H8390" s="90"/>
    </row>
    <row r="8391" spans="7:8">
      <c r="G8391" s="87"/>
      <c r="H8391" s="90"/>
    </row>
    <row r="8392" spans="7:8">
      <c r="G8392" s="87"/>
      <c r="H8392" s="90"/>
    </row>
    <row r="8393" spans="7:8">
      <c r="G8393" s="87"/>
      <c r="H8393" s="90"/>
    </row>
    <row r="8394" spans="7:8">
      <c r="G8394" s="87"/>
      <c r="H8394" s="90"/>
    </row>
    <row r="8395" spans="7:8">
      <c r="G8395" s="87"/>
      <c r="H8395" s="90"/>
    </row>
    <row r="8396" spans="7:8">
      <c r="G8396" s="87"/>
      <c r="H8396" s="90"/>
    </row>
    <row r="8397" spans="7:8">
      <c r="G8397" s="87"/>
      <c r="H8397" s="90"/>
    </row>
    <row r="8398" spans="7:8">
      <c r="G8398" s="87"/>
      <c r="H8398" s="90"/>
    </row>
    <row r="8399" spans="7:8">
      <c r="G8399" s="87"/>
      <c r="H8399" s="90"/>
    </row>
    <row r="8400" spans="7:8">
      <c r="G8400" s="87"/>
      <c r="H8400" s="90"/>
    </row>
    <row r="8401" spans="7:8">
      <c r="G8401" s="87"/>
      <c r="H8401" s="90"/>
    </row>
    <row r="8402" spans="7:8">
      <c r="G8402" s="87"/>
      <c r="H8402" s="90"/>
    </row>
    <row r="8403" spans="7:8">
      <c r="G8403" s="87"/>
      <c r="H8403" s="90"/>
    </row>
    <row r="8404" spans="7:8">
      <c r="G8404" s="87"/>
      <c r="H8404" s="90"/>
    </row>
    <row r="8405" spans="7:8">
      <c r="G8405" s="87"/>
      <c r="H8405" s="90"/>
    </row>
    <row r="8406" spans="7:8">
      <c r="G8406" s="87"/>
      <c r="H8406" s="90"/>
    </row>
    <row r="8407" spans="7:8">
      <c r="G8407" s="87"/>
      <c r="H8407" s="90"/>
    </row>
    <row r="8408" spans="7:8">
      <c r="G8408" s="87"/>
      <c r="H8408" s="90"/>
    </row>
    <row r="8409" spans="7:8">
      <c r="G8409" s="87"/>
      <c r="H8409" s="90"/>
    </row>
    <row r="8410" spans="7:8">
      <c r="G8410" s="87"/>
      <c r="H8410" s="90"/>
    </row>
    <row r="8411" spans="7:8">
      <c r="G8411" s="87"/>
      <c r="H8411" s="90"/>
    </row>
    <row r="8412" spans="7:8">
      <c r="G8412" s="87"/>
      <c r="H8412" s="90"/>
    </row>
    <row r="8413" spans="7:8">
      <c r="G8413" s="87"/>
      <c r="H8413" s="90"/>
    </row>
    <row r="8414" spans="7:8">
      <c r="G8414" s="87"/>
      <c r="H8414" s="90"/>
    </row>
    <row r="8415" spans="7:8">
      <c r="G8415" s="87"/>
      <c r="H8415" s="90"/>
    </row>
    <row r="8416" spans="7:8">
      <c r="G8416" s="87"/>
      <c r="H8416" s="90"/>
    </row>
    <row r="8417" spans="7:8">
      <c r="G8417" s="87"/>
      <c r="H8417" s="90"/>
    </row>
    <row r="8418" spans="7:8">
      <c r="G8418" s="87"/>
      <c r="H8418" s="90"/>
    </row>
    <row r="8419" spans="7:8">
      <c r="G8419" s="87"/>
      <c r="H8419" s="90"/>
    </row>
    <row r="8420" spans="7:8">
      <c r="G8420" s="87"/>
      <c r="H8420" s="90"/>
    </row>
    <row r="8421" spans="7:8">
      <c r="G8421" s="87"/>
      <c r="H8421" s="90"/>
    </row>
    <row r="8422" spans="7:8">
      <c r="G8422" s="87"/>
      <c r="H8422" s="90"/>
    </row>
    <row r="8423" spans="7:8">
      <c r="G8423" s="87"/>
      <c r="H8423" s="90"/>
    </row>
    <row r="8424" spans="7:8">
      <c r="G8424" s="87"/>
      <c r="H8424" s="90"/>
    </row>
    <row r="8425" spans="7:8">
      <c r="G8425" s="87"/>
      <c r="H8425" s="90"/>
    </row>
    <row r="8426" spans="7:8">
      <c r="G8426" s="87"/>
      <c r="H8426" s="90"/>
    </row>
    <row r="8427" spans="7:8">
      <c r="G8427" s="87"/>
      <c r="H8427" s="90"/>
    </row>
    <row r="8428" spans="7:8">
      <c r="G8428" s="87"/>
      <c r="H8428" s="90"/>
    </row>
    <row r="8429" spans="7:8">
      <c r="G8429" s="87"/>
      <c r="H8429" s="90"/>
    </row>
    <row r="8430" spans="7:8">
      <c r="G8430" s="87"/>
      <c r="H8430" s="90"/>
    </row>
    <row r="8431" spans="7:8">
      <c r="G8431" s="87"/>
      <c r="H8431" s="90"/>
    </row>
    <row r="8432" spans="7:8">
      <c r="G8432" s="87"/>
      <c r="H8432" s="90"/>
    </row>
    <row r="8433" spans="7:8">
      <c r="G8433" s="87"/>
      <c r="H8433" s="90"/>
    </row>
    <row r="8434" spans="7:8">
      <c r="G8434" s="87"/>
      <c r="H8434" s="90"/>
    </row>
    <row r="8435" spans="7:8">
      <c r="G8435" s="87"/>
      <c r="H8435" s="90"/>
    </row>
    <row r="8436" spans="7:8">
      <c r="G8436" s="87"/>
      <c r="H8436" s="90"/>
    </row>
    <row r="8437" spans="7:8">
      <c r="G8437" s="87"/>
      <c r="H8437" s="90"/>
    </row>
    <row r="8438" spans="7:8">
      <c r="G8438" s="87"/>
      <c r="H8438" s="90"/>
    </row>
    <row r="8439" spans="7:8">
      <c r="G8439" s="87"/>
      <c r="H8439" s="90"/>
    </row>
    <row r="8440" spans="7:8">
      <c r="G8440" s="87"/>
      <c r="H8440" s="90"/>
    </row>
    <row r="8441" spans="7:8">
      <c r="G8441" s="87"/>
      <c r="H8441" s="90"/>
    </row>
    <row r="8442" spans="7:8">
      <c r="G8442" s="87"/>
      <c r="H8442" s="90"/>
    </row>
    <row r="8443" spans="7:8">
      <c r="G8443" s="87"/>
      <c r="H8443" s="90"/>
    </row>
    <row r="8444" spans="7:8">
      <c r="G8444" s="87"/>
      <c r="H8444" s="90"/>
    </row>
    <row r="8445" spans="7:8">
      <c r="G8445" s="87"/>
      <c r="H8445" s="90"/>
    </row>
    <row r="8446" spans="7:8">
      <c r="G8446" s="87"/>
      <c r="H8446" s="90"/>
    </row>
    <row r="8447" spans="7:8">
      <c r="G8447" s="87"/>
      <c r="H8447" s="90"/>
    </row>
    <row r="8448" spans="7:8">
      <c r="G8448" s="87"/>
      <c r="H8448" s="90"/>
    </row>
    <row r="8449" spans="7:8">
      <c r="G8449" s="87"/>
      <c r="H8449" s="90"/>
    </row>
    <row r="8450" spans="7:8">
      <c r="G8450" s="87"/>
      <c r="H8450" s="90"/>
    </row>
    <row r="8451" spans="7:8">
      <c r="G8451" s="87"/>
      <c r="H8451" s="90"/>
    </row>
    <row r="8452" spans="7:8">
      <c r="G8452" s="87"/>
      <c r="H8452" s="90"/>
    </row>
    <row r="8453" spans="7:8">
      <c r="G8453" s="87"/>
      <c r="H8453" s="90"/>
    </row>
    <row r="8454" spans="7:8">
      <c r="G8454" s="87"/>
      <c r="H8454" s="90"/>
    </row>
    <row r="8455" spans="7:8">
      <c r="G8455" s="87"/>
      <c r="H8455" s="90"/>
    </row>
    <row r="8456" spans="7:8">
      <c r="G8456" s="87"/>
      <c r="H8456" s="90"/>
    </row>
    <row r="8457" spans="7:8">
      <c r="G8457" s="87"/>
      <c r="H8457" s="90"/>
    </row>
    <row r="8458" spans="7:8">
      <c r="G8458" s="87"/>
      <c r="H8458" s="90"/>
    </row>
    <row r="8459" spans="7:8">
      <c r="G8459" s="87"/>
      <c r="H8459" s="90"/>
    </row>
    <row r="8460" spans="7:8">
      <c r="G8460" s="87"/>
      <c r="H8460" s="90"/>
    </row>
    <row r="8461" spans="7:8">
      <c r="G8461" s="87"/>
      <c r="H8461" s="90"/>
    </row>
    <row r="8462" spans="7:8">
      <c r="G8462" s="87"/>
      <c r="H8462" s="90"/>
    </row>
    <row r="8463" spans="7:8">
      <c r="G8463" s="87"/>
      <c r="H8463" s="90"/>
    </row>
    <row r="8464" spans="7:8">
      <c r="G8464" s="87"/>
      <c r="H8464" s="90"/>
    </row>
    <row r="8465" spans="7:8">
      <c r="G8465" s="87"/>
      <c r="H8465" s="90"/>
    </row>
    <row r="8466" spans="7:8">
      <c r="G8466" s="87"/>
      <c r="H8466" s="90"/>
    </row>
    <row r="8467" spans="7:8">
      <c r="G8467" s="87"/>
      <c r="H8467" s="90"/>
    </row>
    <row r="8468" spans="7:8">
      <c r="G8468" s="87"/>
      <c r="H8468" s="90"/>
    </row>
    <row r="8469" spans="7:8">
      <c r="G8469" s="87"/>
      <c r="H8469" s="90"/>
    </row>
    <row r="8470" spans="7:8">
      <c r="G8470" s="87"/>
      <c r="H8470" s="90"/>
    </row>
    <row r="8471" spans="7:8">
      <c r="G8471" s="87"/>
      <c r="H8471" s="90"/>
    </row>
    <row r="8472" spans="7:8">
      <c r="G8472" s="87"/>
      <c r="H8472" s="90"/>
    </row>
    <row r="8473" spans="7:8">
      <c r="G8473" s="87"/>
      <c r="H8473" s="90"/>
    </row>
    <row r="8474" spans="7:8">
      <c r="G8474" s="87"/>
      <c r="H8474" s="90"/>
    </row>
    <row r="8475" spans="7:8">
      <c r="G8475" s="87"/>
      <c r="H8475" s="90"/>
    </row>
    <row r="8476" spans="7:8">
      <c r="G8476" s="87"/>
      <c r="H8476" s="90"/>
    </row>
    <row r="8477" spans="7:8">
      <c r="G8477" s="87"/>
      <c r="H8477" s="90"/>
    </row>
    <row r="8478" spans="7:8">
      <c r="G8478" s="87"/>
      <c r="H8478" s="90"/>
    </row>
    <row r="8479" spans="7:8">
      <c r="G8479" s="87"/>
      <c r="H8479" s="90"/>
    </row>
    <row r="8480" spans="7:8">
      <c r="G8480" s="87"/>
      <c r="H8480" s="90"/>
    </row>
    <row r="8481" spans="7:8">
      <c r="G8481" s="87"/>
      <c r="H8481" s="90"/>
    </row>
    <row r="8482" spans="7:8">
      <c r="G8482" s="87"/>
      <c r="H8482" s="90"/>
    </row>
    <row r="8483" spans="7:8">
      <c r="G8483" s="87"/>
      <c r="H8483" s="90"/>
    </row>
    <row r="8484" spans="7:8">
      <c r="G8484" s="87"/>
      <c r="H8484" s="90"/>
    </row>
    <row r="8485" spans="7:8">
      <c r="G8485" s="87"/>
      <c r="H8485" s="90"/>
    </row>
    <row r="8486" spans="7:8">
      <c r="G8486" s="87"/>
      <c r="H8486" s="90"/>
    </row>
    <row r="8487" spans="7:8">
      <c r="G8487" s="87"/>
      <c r="H8487" s="90"/>
    </row>
    <row r="8488" spans="7:8">
      <c r="G8488" s="87"/>
      <c r="H8488" s="90"/>
    </row>
    <row r="8489" spans="7:8">
      <c r="G8489" s="87"/>
      <c r="H8489" s="90"/>
    </row>
    <row r="8490" spans="7:8">
      <c r="G8490" s="87"/>
      <c r="H8490" s="90"/>
    </row>
    <row r="8491" spans="7:8">
      <c r="G8491" s="87"/>
      <c r="H8491" s="90"/>
    </row>
    <row r="8492" spans="7:8">
      <c r="G8492" s="87"/>
      <c r="H8492" s="90"/>
    </row>
    <row r="8493" spans="7:8">
      <c r="G8493" s="87"/>
      <c r="H8493" s="90"/>
    </row>
    <row r="8494" spans="7:8">
      <c r="G8494" s="87"/>
      <c r="H8494" s="90"/>
    </row>
    <row r="8495" spans="7:8">
      <c r="G8495" s="87"/>
      <c r="H8495" s="90"/>
    </row>
    <row r="8496" spans="7:8">
      <c r="G8496" s="87"/>
      <c r="H8496" s="90"/>
    </row>
    <row r="8497" spans="7:8">
      <c r="G8497" s="87"/>
      <c r="H8497" s="90"/>
    </row>
    <row r="8498" spans="7:8">
      <c r="G8498" s="87"/>
      <c r="H8498" s="90"/>
    </row>
    <row r="8499" spans="7:8">
      <c r="G8499" s="87"/>
      <c r="H8499" s="90"/>
    </row>
    <row r="8500" spans="7:8">
      <c r="G8500" s="87"/>
      <c r="H8500" s="90"/>
    </row>
    <row r="8501" spans="7:8">
      <c r="G8501" s="87"/>
      <c r="H8501" s="90"/>
    </row>
    <row r="8502" spans="7:8">
      <c r="G8502" s="87"/>
      <c r="H8502" s="90"/>
    </row>
    <row r="8503" spans="7:8">
      <c r="G8503" s="87"/>
      <c r="H8503" s="90"/>
    </row>
    <row r="8504" spans="7:8">
      <c r="G8504" s="87"/>
      <c r="H8504" s="90"/>
    </row>
    <row r="8505" spans="7:8">
      <c r="G8505" s="87"/>
      <c r="H8505" s="90"/>
    </row>
    <row r="8506" spans="7:8">
      <c r="G8506" s="87"/>
      <c r="H8506" s="90"/>
    </row>
    <row r="8507" spans="7:8">
      <c r="G8507" s="87"/>
      <c r="H8507" s="90"/>
    </row>
    <row r="8508" spans="7:8">
      <c r="G8508" s="87"/>
      <c r="H8508" s="90"/>
    </row>
    <row r="8509" spans="7:8">
      <c r="G8509" s="87"/>
      <c r="H8509" s="90"/>
    </row>
    <row r="8510" spans="7:8">
      <c r="G8510" s="87"/>
      <c r="H8510" s="90"/>
    </row>
    <row r="8511" spans="7:8">
      <c r="G8511" s="87"/>
      <c r="H8511" s="90"/>
    </row>
    <row r="8512" spans="7:8">
      <c r="G8512" s="87"/>
      <c r="H8512" s="90"/>
    </row>
    <row r="8513" spans="7:8">
      <c r="G8513" s="87"/>
      <c r="H8513" s="90"/>
    </row>
    <row r="8514" spans="7:8">
      <c r="G8514" s="87"/>
      <c r="H8514" s="90"/>
    </row>
    <row r="8515" spans="7:8">
      <c r="G8515" s="87"/>
      <c r="H8515" s="90"/>
    </row>
    <row r="8516" spans="7:8">
      <c r="G8516" s="87"/>
      <c r="H8516" s="90"/>
    </row>
    <row r="8517" spans="7:8">
      <c r="G8517" s="87"/>
      <c r="H8517" s="90"/>
    </row>
    <row r="8518" spans="7:8">
      <c r="G8518" s="87"/>
      <c r="H8518" s="90"/>
    </row>
    <row r="8519" spans="7:8">
      <c r="G8519" s="87"/>
      <c r="H8519" s="90"/>
    </row>
    <row r="8520" spans="7:8">
      <c r="G8520" s="87"/>
      <c r="H8520" s="90"/>
    </row>
    <row r="8521" spans="7:8">
      <c r="G8521" s="87"/>
      <c r="H8521" s="90"/>
    </row>
    <row r="8522" spans="7:8">
      <c r="G8522" s="87"/>
      <c r="H8522" s="90"/>
    </row>
    <row r="8523" spans="7:8">
      <c r="G8523" s="87"/>
      <c r="H8523" s="90"/>
    </row>
    <row r="8524" spans="7:8">
      <c r="G8524" s="87"/>
      <c r="H8524" s="90"/>
    </row>
    <row r="8525" spans="7:8">
      <c r="G8525" s="87"/>
      <c r="H8525" s="90"/>
    </row>
    <row r="8526" spans="7:8">
      <c r="G8526" s="87"/>
      <c r="H8526" s="90"/>
    </row>
    <row r="8527" spans="7:8">
      <c r="G8527" s="87"/>
      <c r="H8527" s="90"/>
    </row>
    <row r="8528" spans="7:8">
      <c r="G8528" s="87"/>
      <c r="H8528" s="90"/>
    </row>
    <row r="8529" spans="7:8">
      <c r="G8529" s="87"/>
      <c r="H8529" s="90"/>
    </row>
    <row r="8530" spans="7:8">
      <c r="G8530" s="87"/>
      <c r="H8530" s="90"/>
    </row>
    <row r="8531" spans="7:8">
      <c r="G8531" s="87"/>
      <c r="H8531" s="90"/>
    </row>
    <row r="8532" spans="7:8">
      <c r="G8532" s="87"/>
      <c r="H8532" s="90"/>
    </row>
    <row r="8533" spans="7:8">
      <c r="G8533" s="87"/>
      <c r="H8533" s="90"/>
    </row>
    <row r="8534" spans="7:8">
      <c r="G8534" s="87"/>
      <c r="H8534" s="90"/>
    </row>
    <row r="8535" spans="7:8">
      <c r="G8535" s="87"/>
      <c r="H8535" s="90"/>
    </row>
    <row r="8536" spans="7:8">
      <c r="G8536" s="87"/>
      <c r="H8536" s="90"/>
    </row>
    <row r="8537" spans="7:8">
      <c r="G8537" s="87"/>
      <c r="H8537" s="90"/>
    </row>
    <row r="8538" spans="7:8">
      <c r="G8538" s="87"/>
      <c r="H8538" s="90"/>
    </row>
    <row r="8539" spans="7:8">
      <c r="G8539" s="87"/>
      <c r="H8539" s="90"/>
    </row>
    <row r="8540" spans="7:8">
      <c r="G8540" s="87"/>
      <c r="H8540" s="90"/>
    </row>
    <row r="8541" spans="7:8">
      <c r="G8541" s="87"/>
      <c r="H8541" s="90"/>
    </row>
    <row r="8542" spans="7:8">
      <c r="G8542" s="87"/>
      <c r="H8542" s="90"/>
    </row>
    <row r="8543" spans="7:8">
      <c r="G8543" s="87"/>
      <c r="H8543" s="90"/>
    </row>
    <row r="8544" spans="7:8">
      <c r="G8544" s="87"/>
      <c r="H8544" s="90"/>
    </row>
    <row r="8545" spans="7:8">
      <c r="G8545" s="87"/>
      <c r="H8545" s="90"/>
    </row>
    <row r="8546" spans="7:8">
      <c r="G8546" s="87"/>
      <c r="H8546" s="90"/>
    </row>
    <row r="8547" spans="7:8">
      <c r="G8547" s="87"/>
      <c r="H8547" s="90"/>
    </row>
    <row r="8548" spans="7:8">
      <c r="G8548" s="87"/>
      <c r="H8548" s="90"/>
    </row>
    <row r="8549" spans="7:8">
      <c r="G8549" s="87"/>
      <c r="H8549" s="90"/>
    </row>
    <row r="8550" spans="7:8">
      <c r="G8550" s="87"/>
      <c r="H8550" s="90"/>
    </row>
    <row r="8551" spans="7:8">
      <c r="G8551" s="87"/>
      <c r="H8551" s="90"/>
    </row>
    <row r="8552" spans="7:8">
      <c r="G8552" s="87"/>
      <c r="H8552" s="90"/>
    </row>
    <row r="8553" spans="7:8">
      <c r="G8553" s="87"/>
      <c r="H8553" s="90"/>
    </row>
    <row r="8554" spans="7:8">
      <c r="G8554" s="87"/>
      <c r="H8554" s="90"/>
    </row>
    <row r="8555" spans="7:8">
      <c r="G8555" s="87"/>
      <c r="H8555" s="90"/>
    </row>
    <row r="8556" spans="7:8">
      <c r="G8556" s="87"/>
      <c r="H8556" s="90"/>
    </row>
    <row r="8557" spans="7:8">
      <c r="G8557" s="87"/>
      <c r="H8557" s="90"/>
    </row>
    <row r="8558" spans="7:8">
      <c r="G8558" s="87"/>
      <c r="H8558" s="90"/>
    </row>
    <row r="8559" spans="7:8">
      <c r="G8559" s="87"/>
      <c r="H8559" s="90"/>
    </row>
    <row r="8560" spans="7:8">
      <c r="G8560" s="87"/>
      <c r="H8560" s="90"/>
    </row>
    <row r="8561" spans="7:8">
      <c r="G8561" s="87"/>
      <c r="H8561" s="90"/>
    </row>
    <row r="8562" spans="7:8">
      <c r="G8562" s="87"/>
      <c r="H8562" s="90"/>
    </row>
    <row r="8563" spans="7:8">
      <c r="G8563" s="87"/>
      <c r="H8563" s="90"/>
    </row>
    <row r="8564" spans="7:8">
      <c r="G8564" s="87"/>
      <c r="H8564" s="90"/>
    </row>
    <row r="8565" spans="7:8">
      <c r="G8565" s="87"/>
      <c r="H8565" s="90"/>
    </row>
    <row r="8566" spans="7:8">
      <c r="G8566" s="87"/>
      <c r="H8566" s="90"/>
    </row>
    <row r="8567" spans="7:8">
      <c r="G8567" s="87"/>
      <c r="H8567" s="90"/>
    </row>
    <row r="8568" spans="7:8">
      <c r="G8568" s="87"/>
      <c r="H8568" s="90"/>
    </row>
    <row r="8569" spans="7:8">
      <c r="G8569" s="87"/>
      <c r="H8569" s="90"/>
    </row>
    <row r="8570" spans="7:8">
      <c r="G8570" s="87"/>
      <c r="H8570" s="90"/>
    </row>
    <row r="8571" spans="7:8">
      <c r="G8571" s="87"/>
      <c r="H8571" s="90"/>
    </row>
    <row r="8572" spans="7:8">
      <c r="G8572" s="87"/>
      <c r="H8572" s="90"/>
    </row>
    <row r="8573" spans="7:8">
      <c r="G8573" s="87"/>
      <c r="H8573" s="90"/>
    </row>
    <row r="8574" spans="7:8">
      <c r="G8574" s="87"/>
      <c r="H8574" s="90"/>
    </row>
    <row r="8575" spans="7:8">
      <c r="G8575" s="87"/>
      <c r="H8575" s="90"/>
    </row>
    <row r="8576" spans="7:8">
      <c r="G8576" s="87"/>
      <c r="H8576" s="90"/>
    </row>
    <row r="8577" spans="7:8">
      <c r="G8577" s="87"/>
      <c r="H8577" s="90"/>
    </row>
    <row r="8578" spans="7:8">
      <c r="G8578" s="87"/>
      <c r="H8578" s="90"/>
    </row>
    <row r="8579" spans="7:8">
      <c r="G8579" s="87"/>
      <c r="H8579" s="90"/>
    </row>
    <row r="8580" spans="7:8">
      <c r="G8580" s="87"/>
      <c r="H8580" s="90"/>
    </row>
    <row r="8581" spans="7:8">
      <c r="G8581" s="87"/>
      <c r="H8581" s="90"/>
    </row>
    <row r="8582" spans="7:8">
      <c r="G8582" s="87"/>
      <c r="H8582" s="90"/>
    </row>
    <row r="8583" spans="7:8">
      <c r="G8583" s="87"/>
      <c r="H8583" s="90"/>
    </row>
    <row r="8584" spans="7:8">
      <c r="G8584" s="87"/>
      <c r="H8584" s="90"/>
    </row>
    <row r="8585" spans="7:8">
      <c r="G8585" s="87"/>
      <c r="H8585" s="90"/>
    </row>
    <row r="8586" spans="7:8">
      <c r="G8586" s="87"/>
      <c r="H8586" s="90"/>
    </row>
    <row r="8587" spans="7:8">
      <c r="G8587" s="87"/>
      <c r="H8587" s="90"/>
    </row>
    <row r="8588" spans="7:8">
      <c r="G8588" s="87"/>
      <c r="H8588" s="90"/>
    </row>
    <row r="8589" spans="7:8">
      <c r="G8589" s="87"/>
      <c r="H8589" s="90"/>
    </row>
    <row r="8590" spans="7:8">
      <c r="G8590" s="87"/>
      <c r="H8590" s="90"/>
    </row>
    <row r="8591" spans="7:8">
      <c r="G8591" s="87"/>
      <c r="H8591" s="90"/>
    </row>
    <row r="8592" spans="7:8">
      <c r="G8592" s="87"/>
      <c r="H8592" s="90"/>
    </row>
    <row r="8593" spans="7:8">
      <c r="G8593" s="87"/>
      <c r="H8593" s="90"/>
    </row>
    <row r="8594" spans="7:8">
      <c r="G8594" s="87"/>
      <c r="H8594" s="90"/>
    </row>
    <row r="8595" spans="7:8">
      <c r="G8595" s="87"/>
      <c r="H8595" s="90"/>
    </row>
    <row r="8596" spans="7:8">
      <c r="G8596" s="87"/>
      <c r="H8596" s="90"/>
    </row>
    <row r="8597" spans="7:8">
      <c r="G8597" s="87"/>
      <c r="H8597" s="90"/>
    </row>
    <row r="8598" spans="7:8">
      <c r="G8598" s="87"/>
      <c r="H8598" s="90"/>
    </row>
    <row r="8599" spans="7:8">
      <c r="G8599" s="87"/>
      <c r="H8599" s="90"/>
    </row>
    <row r="8600" spans="7:8">
      <c r="G8600" s="87"/>
      <c r="H8600" s="90"/>
    </row>
    <row r="8601" spans="7:8">
      <c r="G8601" s="87"/>
      <c r="H8601" s="90"/>
    </row>
    <row r="8602" spans="7:8">
      <c r="G8602" s="87"/>
      <c r="H8602" s="90"/>
    </row>
    <row r="8603" spans="7:8">
      <c r="G8603" s="87"/>
      <c r="H8603" s="90"/>
    </row>
    <row r="8604" spans="7:8">
      <c r="G8604" s="87"/>
      <c r="H8604" s="90"/>
    </row>
    <row r="8605" spans="7:8">
      <c r="G8605" s="87"/>
      <c r="H8605" s="90"/>
    </row>
    <row r="8606" spans="7:8">
      <c r="G8606" s="87"/>
      <c r="H8606" s="90"/>
    </row>
    <row r="8607" spans="7:8">
      <c r="G8607" s="87"/>
      <c r="H8607" s="90"/>
    </row>
    <row r="8608" spans="7:8">
      <c r="G8608" s="87"/>
      <c r="H8608" s="90"/>
    </row>
    <row r="8609" spans="7:8">
      <c r="G8609" s="87"/>
      <c r="H8609" s="90"/>
    </row>
    <row r="8610" spans="7:8">
      <c r="G8610" s="87"/>
      <c r="H8610" s="90"/>
    </row>
    <row r="8611" spans="7:8">
      <c r="G8611" s="87"/>
      <c r="H8611" s="90"/>
    </row>
    <row r="8612" spans="7:8">
      <c r="G8612" s="87"/>
      <c r="H8612" s="90"/>
    </row>
    <row r="8613" spans="7:8">
      <c r="G8613" s="87"/>
      <c r="H8613" s="90"/>
    </row>
    <row r="8614" spans="7:8">
      <c r="G8614" s="87"/>
      <c r="H8614" s="90"/>
    </row>
    <row r="8615" spans="7:8">
      <c r="G8615" s="87"/>
      <c r="H8615" s="90"/>
    </row>
    <row r="8616" spans="7:8">
      <c r="G8616" s="87"/>
      <c r="H8616" s="90"/>
    </row>
    <row r="8617" spans="7:8">
      <c r="G8617" s="87"/>
      <c r="H8617" s="90"/>
    </row>
    <row r="8618" spans="7:8">
      <c r="G8618" s="87"/>
      <c r="H8618" s="90"/>
    </row>
    <row r="8619" spans="7:8">
      <c r="G8619" s="87"/>
      <c r="H8619" s="90"/>
    </row>
    <row r="8620" spans="7:8">
      <c r="G8620" s="87"/>
      <c r="H8620" s="90"/>
    </row>
    <row r="8621" spans="7:8">
      <c r="G8621" s="87"/>
      <c r="H8621" s="90"/>
    </row>
    <row r="8622" spans="7:8">
      <c r="G8622" s="87"/>
      <c r="H8622" s="90"/>
    </row>
    <row r="8623" spans="7:8">
      <c r="G8623" s="87"/>
      <c r="H8623" s="90"/>
    </row>
    <row r="8624" spans="7:8">
      <c r="G8624" s="87"/>
      <c r="H8624" s="90"/>
    </row>
    <row r="8625" spans="7:8">
      <c r="G8625" s="87"/>
      <c r="H8625" s="90"/>
    </row>
    <row r="8626" spans="7:8">
      <c r="G8626" s="87"/>
      <c r="H8626" s="90"/>
    </row>
    <row r="8627" spans="7:8">
      <c r="G8627" s="87"/>
      <c r="H8627" s="90"/>
    </row>
    <row r="8628" spans="7:8">
      <c r="G8628" s="87"/>
      <c r="H8628" s="90"/>
    </row>
    <row r="8629" spans="7:8">
      <c r="G8629" s="87"/>
      <c r="H8629" s="90"/>
    </row>
    <row r="8630" spans="7:8">
      <c r="G8630" s="87"/>
      <c r="H8630" s="90"/>
    </row>
    <row r="8631" spans="7:8">
      <c r="G8631" s="87"/>
      <c r="H8631" s="90"/>
    </row>
    <row r="8632" spans="7:8">
      <c r="G8632" s="87"/>
      <c r="H8632" s="90"/>
    </row>
    <row r="8633" spans="7:8">
      <c r="G8633" s="87"/>
      <c r="H8633" s="90"/>
    </row>
    <row r="8634" spans="7:8">
      <c r="G8634" s="87"/>
      <c r="H8634" s="90"/>
    </row>
    <row r="8635" spans="7:8">
      <c r="G8635" s="87"/>
      <c r="H8635" s="90"/>
    </row>
    <row r="8636" spans="7:8">
      <c r="G8636" s="87"/>
      <c r="H8636" s="90"/>
    </row>
    <row r="8637" spans="7:8">
      <c r="G8637" s="87"/>
      <c r="H8637" s="90"/>
    </row>
    <row r="8638" spans="7:8">
      <c r="G8638" s="87"/>
      <c r="H8638" s="90"/>
    </row>
    <row r="8639" spans="7:8">
      <c r="G8639" s="87"/>
      <c r="H8639" s="90"/>
    </row>
    <row r="8640" spans="7:8">
      <c r="G8640" s="87"/>
      <c r="H8640" s="90"/>
    </row>
    <row r="8641" spans="7:8">
      <c r="G8641" s="87"/>
      <c r="H8641" s="90"/>
    </row>
    <row r="8642" spans="7:8">
      <c r="G8642" s="87"/>
      <c r="H8642" s="90"/>
    </row>
    <row r="8643" spans="7:8">
      <c r="G8643" s="87"/>
      <c r="H8643" s="90"/>
    </row>
    <row r="8644" spans="7:8">
      <c r="G8644" s="87"/>
      <c r="H8644" s="90"/>
    </row>
    <row r="8645" spans="7:8">
      <c r="G8645" s="87"/>
      <c r="H8645" s="90"/>
    </row>
    <row r="8646" spans="7:8">
      <c r="G8646" s="87"/>
      <c r="H8646" s="90"/>
    </row>
    <row r="8647" spans="7:8">
      <c r="G8647" s="87"/>
      <c r="H8647" s="90"/>
    </row>
    <row r="8648" spans="7:8">
      <c r="G8648" s="87"/>
      <c r="H8648" s="90"/>
    </row>
    <row r="8649" spans="7:8">
      <c r="G8649" s="87"/>
      <c r="H8649" s="90"/>
    </row>
    <row r="8650" spans="7:8">
      <c r="G8650" s="87"/>
      <c r="H8650" s="90"/>
    </row>
    <row r="8651" spans="7:8">
      <c r="G8651" s="87"/>
      <c r="H8651" s="90"/>
    </row>
    <row r="8652" spans="7:8">
      <c r="G8652" s="87"/>
      <c r="H8652" s="90"/>
    </row>
    <row r="8653" spans="7:8">
      <c r="G8653" s="87"/>
      <c r="H8653" s="90"/>
    </row>
    <row r="8654" spans="7:8">
      <c r="G8654" s="87"/>
      <c r="H8654" s="90"/>
    </row>
    <row r="8655" spans="7:8">
      <c r="G8655" s="87"/>
      <c r="H8655" s="90"/>
    </row>
    <row r="8656" spans="7:8">
      <c r="G8656" s="87"/>
      <c r="H8656" s="90"/>
    </row>
    <row r="8657" spans="7:8">
      <c r="G8657" s="87"/>
      <c r="H8657" s="90"/>
    </row>
    <row r="8658" spans="7:8">
      <c r="G8658" s="87"/>
      <c r="H8658" s="90"/>
    </row>
    <row r="8659" spans="7:8">
      <c r="G8659" s="87"/>
      <c r="H8659" s="90"/>
    </row>
    <row r="8660" spans="7:8">
      <c r="G8660" s="87"/>
      <c r="H8660" s="90"/>
    </row>
    <row r="8661" spans="7:8">
      <c r="G8661" s="87"/>
      <c r="H8661" s="90"/>
    </row>
    <row r="8662" spans="7:8">
      <c r="G8662" s="87"/>
      <c r="H8662" s="90"/>
    </row>
    <row r="8663" spans="7:8">
      <c r="G8663" s="87"/>
      <c r="H8663" s="90"/>
    </row>
    <row r="8664" spans="7:8">
      <c r="G8664" s="87"/>
      <c r="H8664" s="90"/>
    </row>
    <row r="8665" spans="7:8">
      <c r="G8665" s="87"/>
      <c r="H8665" s="90"/>
    </row>
    <row r="8666" spans="7:8">
      <c r="G8666" s="87"/>
      <c r="H8666" s="90"/>
    </row>
    <row r="8667" spans="7:8">
      <c r="G8667" s="87"/>
      <c r="H8667" s="90"/>
    </row>
    <row r="8668" spans="7:8">
      <c r="G8668" s="87"/>
      <c r="H8668" s="90"/>
    </row>
    <row r="8669" spans="7:8">
      <c r="G8669" s="87"/>
      <c r="H8669" s="90"/>
    </row>
    <row r="8670" spans="7:8">
      <c r="G8670" s="87"/>
      <c r="H8670" s="90"/>
    </row>
    <row r="8671" spans="7:8">
      <c r="G8671" s="87"/>
      <c r="H8671" s="90"/>
    </row>
    <row r="8672" spans="7:8">
      <c r="G8672" s="87"/>
      <c r="H8672" s="90"/>
    </row>
    <row r="8673" spans="7:8">
      <c r="G8673" s="87"/>
      <c r="H8673" s="90"/>
    </row>
    <row r="8674" spans="7:8">
      <c r="G8674" s="87"/>
      <c r="H8674" s="90"/>
    </row>
    <row r="8675" spans="7:8">
      <c r="G8675" s="87"/>
      <c r="H8675" s="90"/>
    </row>
    <row r="8676" spans="7:8">
      <c r="G8676" s="87"/>
      <c r="H8676" s="90"/>
    </row>
    <row r="8677" spans="7:8">
      <c r="G8677" s="87"/>
      <c r="H8677" s="90"/>
    </row>
    <row r="8678" spans="7:8">
      <c r="G8678" s="87"/>
      <c r="H8678" s="90"/>
    </row>
    <row r="8679" spans="7:8">
      <c r="G8679" s="87"/>
      <c r="H8679" s="90"/>
    </row>
    <row r="8680" spans="7:8">
      <c r="G8680" s="87"/>
      <c r="H8680" s="90"/>
    </row>
    <row r="8681" spans="7:8">
      <c r="G8681" s="87"/>
      <c r="H8681" s="90"/>
    </row>
    <row r="8682" spans="7:8">
      <c r="G8682" s="87"/>
      <c r="H8682" s="90"/>
    </row>
    <row r="8683" spans="7:8">
      <c r="G8683" s="87"/>
      <c r="H8683" s="90"/>
    </row>
    <row r="8684" spans="7:8">
      <c r="G8684" s="87"/>
      <c r="H8684" s="90"/>
    </row>
    <row r="8685" spans="7:8">
      <c r="G8685" s="87"/>
      <c r="H8685" s="90"/>
    </row>
    <row r="8686" spans="7:8">
      <c r="G8686" s="87"/>
      <c r="H8686" s="90"/>
    </row>
    <row r="8687" spans="7:8">
      <c r="G8687" s="87"/>
      <c r="H8687" s="90"/>
    </row>
    <row r="8688" spans="7:8">
      <c r="G8688" s="87"/>
      <c r="H8688" s="90"/>
    </row>
    <row r="8689" spans="7:8">
      <c r="G8689" s="87"/>
      <c r="H8689" s="90"/>
    </row>
    <row r="8690" spans="7:8">
      <c r="G8690" s="87"/>
      <c r="H8690" s="90"/>
    </row>
    <row r="8691" spans="7:8">
      <c r="G8691" s="87"/>
      <c r="H8691" s="90"/>
    </row>
    <row r="8692" spans="7:8">
      <c r="G8692" s="87"/>
      <c r="H8692" s="90"/>
    </row>
    <row r="8693" spans="7:8">
      <c r="G8693" s="87"/>
      <c r="H8693" s="90"/>
    </row>
    <row r="8694" spans="7:8">
      <c r="G8694" s="87"/>
      <c r="H8694" s="90"/>
    </row>
    <row r="8695" spans="7:8">
      <c r="G8695" s="87"/>
      <c r="H8695" s="90"/>
    </row>
    <row r="8696" spans="7:8">
      <c r="G8696" s="87"/>
      <c r="H8696" s="90"/>
    </row>
    <row r="8697" spans="7:8">
      <c r="G8697" s="87"/>
      <c r="H8697" s="90"/>
    </row>
    <row r="8698" spans="7:8">
      <c r="G8698" s="87"/>
      <c r="H8698" s="90"/>
    </row>
    <row r="8699" spans="7:8">
      <c r="G8699" s="87"/>
      <c r="H8699" s="90"/>
    </row>
    <row r="8700" spans="7:8">
      <c r="G8700" s="87"/>
      <c r="H8700" s="90"/>
    </row>
    <row r="8701" spans="7:8">
      <c r="G8701" s="87"/>
      <c r="H8701" s="90"/>
    </row>
    <row r="8702" spans="7:8">
      <c r="G8702" s="87"/>
      <c r="H8702" s="90"/>
    </row>
    <row r="8703" spans="7:8">
      <c r="G8703" s="87"/>
      <c r="H8703" s="90"/>
    </row>
    <row r="8704" spans="7:8">
      <c r="G8704" s="87"/>
      <c r="H8704" s="90"/>
    </row>
    <row r="8705" spans="7:8">
      <c r="G8705" s="87"/>
      <c r="H8705" s="90"/>
    </row>
    <row r="8706" spans="7:8">
      <c r="G8706" s="87"/>
      <c r="H8706" s="90"/>
    </row>
    <row r="8707" spans="7:8">
      <c r="G8707" s="87"/>
      <c r="H8707" s="90"/>
    </row>
    <row r="8708" spans="7:8">
      <c r="G8708" s="87"/>
      <c r="H8708" s="90"/>
    </row>
    <row r="8709" spans="7:8">
      <c r="G8709" s="87"/>
      <c r="H8709" s="90"/>
    </row>
    <row r="8710" spans="7:8">
      <c r="G8710" s="87"/>
      <c r="H8710" s="90"/>
    </row>
    <row r="8711" spans="7:8">
      <c r="G8711" s="87"/>
      <c r="H8711" s="90"/>
    </row>
    <row r="8712" spans="7:8">
      <c r="G8712" s="87"/>
      <c r="H8712" s="90"/>
    </row>
    <row r="8713" spans="7:8">
      <c r="G8713" s="87"/>
      <c r="H8713" s="90"/>
    </row>
    <row r="8714" spans="7:8">
      <c r="G8714" s="87"/>
      <c r="H8714" s="90"/>
    </row>
    <row r="8715" spans="7:8">
      <c r="G8715" s="87"/>
      <c r="H8715" s="90"/>
    </row>
    <row r="8716" spans="7:8">
      <c r="G8716" s="87"/>
      <c r="H8716" s="90"/>
    </row>
    <row r="8717" spans="7:8">
      <c r="G8717" s="87"/>
      <c r="H8717" s="90"/>
    </row>
    <row r="8718" spans="7:8">
      <c r="G8718" s="87"/>
      <c r="H8718" s="90"/>
    </row>
    <row r="8719" spans="7:8">
      <c r="G8719" s="87"/>
      <c r="H8719" s="90"/>
    </row>
    <row r="8720" spans="7:8">
      <c r="G8720" s="87"/>
      <c r="H8720" s="90"/>
    </row>
    <row r="8721" spans="7:8">
      <c r="G8721" s="87"/>
      <c r="H8721" s="90"/>
    </row>
    <row r="8722" spans="7:8">
      <c r="G8722" s="87"/>
      <c r="H8722" s="90"/>
    </row>
    <row r="8723" spans="7:8">
      <c r="G8723" s="87"/>
      <c r="H8723" s="90"/>
    </row>
    <row r="8724" spans="7:8">
      <c r="G8724" s="87"/>
      <c r="H8724" s="90"/>
    </row>
    <row r="8725" spans="7:8">
      <c r="G8725" s="87"/>
      <c r="H8725" s="90"/>
    </row>
    <row r="8726" spans="7:8">
      <c r="G8726" s="87"/>
      <c r="H8726" s="90"/>
    </row>
    <row r="8727" spans="7:8">
      <c r="G8727" s="87"/>
      <c r="H8727" s="90"/>
    </row>
    <row r="8728" spans="7:8">
      <c r="G8728" s="87"/>
      <c r="H8728" s="90"/>
    </row>
    <row r="8729" spans="7:8">
      <c r="G8729" s="87"/>
      <c r="H8729" s="90"/>
    </row>
    <row r="8730" spans="7:8">
      <c r="G8730" s="87"/>
      <c r="H8730" s="90"/>
    </row>
    <row r="8731" spans="7:8">
      <c r="G8731" s="87"/>
      <c r="H8731" s="90"/>
    </row>
    <row r="8732" spans="7:8">
      <c r="G8732" s="87"/>
      <c r="H8732" s="90"/>
    </row>
    <row r="8733" spans="7:8">
      <c r="G8733" s="87"/>
      <c r="H8733" s="90"/>
    </row>
    <row r="8734" spans="7:8">
      <c r="G8734" s="87"/>
      <c r="H8734" s="90"/>
    </row>
    <row r="8735" spans="7:8">
      <c r="G8735" s="87"/>
      <c r="H8735" s="90"/>
    </row>
    <row r="8736" spans="7:8">
      <c r="G8736" s="87"/>
      <c r="H8736" s="90"/>
    </row>
    <row r="8737" spans="7:8">
      <c r="G8737" s="87"/>
      <c r="H8737" s="90"/>
    </row>
    <row r="8738" spans="7:8">
      <c r="G8738" s="87"/>
      <c r="H8738" s="90"/>
    </row>
    <row r="8739" spans="7:8">
      <c r="G8739" s="87"/>
      <c r="H8739" s="90"/>
    </row>
    <row r="8740" spans="7:8">
      <c r="G8740" s="87"/>
      <c r="H8740" s="90"/>
    </row>
    <row r="8741" spans="7:8">
      <c r="G8741" s="87"/>
      <c r="H8741" s="90"/>
    </row>
    <row r="8742" spans="7:8">
      <c r="G8742" s="87"/>
      <c r="H8742" s="90"/>
    </row>
    <row r="8743" spans="7:8">
      <c r="G8743" s="87"/>
      <c r="H8743" s="90"/>
    </row>
    <row r="8744" spans="7:8">
      <c r="G8744" s="87"/>
      <c r="H8744" s="90"/>
    </row>
    <row r="8745" spans="7:8">
      <c r="G8745" s="87"/>
      <c r="H8745" s="90"/>
    </row>
    <row r="8746" spans="7:8">
      <c r="G8746" s="87"/>
      <c r="H8746" s="90"/>
    </row>
    <row r="8747" spans="7:8">
      <c r="G8747" s="87"/>
      <c r="H8747" s="90"/>
    </row>
    <row r="8748" spans="7:8">
      <c r="G8748" s="87"/>
      <c r="H8748" s="90"/>
    </row>
    <row r="8749" spans="7:8">
      <c r="G8749" s="87"/>
      <c r="H8749" s="90"/>
    </row>
    <row r="8750" spans="7:8">
      <c r="G8750" s="87"/>
      <c r="H8750" s="90"/>
    </row>
    <row r="8751" spans="7:8">
      <c r="G8751" s="87"/>
      <c r="H8751" s="90"/>
    </row>
    <row r="8752" spans="7:8">
      <c r="G8752" s="87"/>
      <c r="H8752" s="90"/>
    </row>
    <row r="8753" spans="7:8">
      <c r="G8753" s="87"/>
      <c r="H8753" s="90"/>
    </row>
    <row r="8754" spans="7:8">
      <c r="G8754" s="87"/>
      <c r="H8754" s="90"/>
    </row>
    <row r="8755" spans="7:8">
      <c r="G8755" s="87"/>
      <c r="H8755" s="90"/>
    </row>
    <row r="8756" spans="7:8">
      <c r="G8756" s="87"/>
      <c r="H8756" s="90"/>
    </row>
    <row r="8757" spans="7:8">
      <c r="G8757" s="87"/>
      <c r="H8757" s="90"/>
    </row>
    <row r="8758" spans="7:8">
      <c r="G8758" s="87"/>
      <c r="H8758" s="90"/>
    </row>
    <row r="8759" spans="7:8">
      <c r="G8759" s="87"/>
      <c r="H8759" s="90"/>
    </row>
    <row r="8760" spans="7:8">
      <c r="G8760" s="87"/>
      <c r="H8760" s="90"/>
    </row>
    <row r="8761" spans="7:8">
      <c r="G8761" s="87"/>
      <c r="H8761" s="90"/>
    </row>
    <row r="8762" spans="7:8">
      <c r="G8762" s="87"/>
      <c r="H8762" s="90"/>
    </row>
    <row r="8763" spans="7:8">
      <c r="G8763" s="87"/>
      <c r="H8763" s="90"/>
    </row>
    <row r="8764" spans="7:8">
      <c r="G8764" s="87"/>
      <c r="H8764" s="90"/>
    </row>
    <row r="8765" spans="7:8">
      <c r="G8765" s="87"/>
      <c r="H8765" s="90"/>
    </row>
    <row r="8766" spans="7:8">
      <c r="G8766" s="87"/>
      <c r="H8766" s="90"/>
    </row>
    <row r="8767" spans="7:8">
      <c r="G8767" s="87"/>
      <c r="H8767" s="90"/>
    </row>
    <row r="8768" spans="7:8">
      <c r="G8768" s="87"/>
      <c r="H8768" s="90"/>
    </row>
    <row r="8769" spans="7:8">
      <c r="G8769" s="87"/>
      <c r="H8769" s="90"/>
    </row>
    <row r="8770" spans="7:8">
      <c r="G8770" s="87"/>
      <c r="H8770" s="90"/>
    </row>
    <row r="8771" spans="7:8">
      <c r="G8771" s="87"/>
      <c r="H8771" s="90"/>
    </row>
    <row r="8772" spans="7:8">
      <c r="G8772" s="87"/>
      <c r="H8772" s="90"/>
    </row>
    <row r="8773" spans="7:8">
      <c r="G8773" s="87"/>
      <c r="H8773" s="90"/>
    </row>
    <row r="8774" spans="7:8">
      <c r="G8774" s="87"/>
      <c r="H8774" s="90"/>
    </row>
    <row r="8775" spans="7:8">
      <c r="G8775" s="87"/>
      <c r="H8775" s="90"/>
    </row>
    <row r="8776" spans="7:8">
      <c r="G8776" s="87"/>
      <c r="H8776" s="90"/>
    </row>
    <row r="8777" spans="7:8">
      <c r="G8777" s="87"/>
      <c r="H8777" s="90"/>
    </row>
    <row r="8778" spans="7:8">
      <c r="G8778" s="87"/>
      <c r="H8778" s="90"/>
    </row>
    <row r="8779" spans="7:8">
      <c r="G8779" s="87"/>
      <c r="H8779" s="90"/>
    </row>
    <row r="8780" spans="7:8">
      <c r="G8780" s="87"/>
      <c r="H8780" s="90"/>
    </row>
    <row r="8781" spans="7:8">
      <c r="G8781" s="87"/>
      <c r="H8781" s="90"/>
    </row>
    <row r="8782" spans="7:8">
      <c r="G8782" s="87"/>
      <c r="H8782" s="90"/>
    </row>
    <row r="8783" spans="7:8">
      <c r="G8783" s="87"/>
      <c r="H8783" s="90"/>
    </row>
    <row r="8784" spans="7:8">
      <c r="G8784" s="87"/>
      <c r="H8784" s="90"/>
    </row>
    <row r="8785" spans="7:8">
      <c r="G8785" s="87"/>
      <c r="H8785" s="90"/>
    </row>
    <row r="8786" spans="7:8">
      <c r="G8786" s="87"/>
      <c r="H8786" s="90"/>
    </row>
    <row r="8787" spans="7:8">
      <c r="G8787" s="87"/>
      <c r="H8787" s="90"/>
    </row>
    <row r="8788" spans="7:8">
      <c r="G8788" s="87"/>
      <c r="H8788" s="90"/>
    </row>
    <row r="8789" spans="7:8">
      <c r="G8789" s="87"/>
      <c r="H8789" s="90"/>
    </row>
    <row r="8790" spans="7:8">
      <c r="G8790" s="87"/>
      <c r="H8790" s="90"/>
    </row>
    <row r="8791" spans="7:8">
      <c r="G8791" s="87"/>
      <c r="H8791" s="90"/>
    </row>
    <row r="8792" spans="7:8">
      <c r="G8792" s="87"/>
      <c r="H8792" s="90"/>
    </row>
    <row r="8793" spans="7:8">
      <c r="G8793" s="87"/>
      <c r="H8793" s="90"/>
    </row>
    <row r="8794" spans="7:8">
      <c r="G8794" s="87"/>
      <c r="H8794" s="90"/>
    </row>
    <row r="8795" spans="7:8">
      <c r="G8795" s="87"/>
      <c r="H8795" s="90"/>
    </row>
    <row r="8796" spans="7:8">
      <c r="G8796" s="87"/>
      <c r="H8796" s="90"/>
    </row>
    <row r="8797" spans="7:8">
      <c r="G8797" s="87"/>
      <c r="H8797" s="90"/>
    </row>
    <row r="8798" spans="7:8">
      <c r="G8798" s="87"/>
      <c r="H8798" s="90"/>
    </row>
    <row r="8799" spans="7:8">
      <c r="G8799" s="87"/>
      <c r="H8799" s="90"/>
    </row>
    <row r="8800" spans="7:8">
      <c r="G8800" s="87"/>
      <c r="H8800" s="90"/>
    </row>
    <row r="8801" spans="7:8">
      <c r="G8801" s="87"/>
      <c r="H8801" s="90"/>
    </row>
    <row r="8802" spans="7:8">
      <c r="G8802" s="87"/>
      <c r="H8802" s="90"/>
    </row>
    <row r="8803" spans="7:8">
      <c r="G8803" s="87"/>
      <c r="H8803" s="90"/>
    </row>
    <row r="8804" spans="7:8">
      <c r="G8804" s="87"/>
      <c r="H8804" s="90"/>
    </row>
    <row r="8805" spans="7:8">
      <c r="G8805" s="87"/>
      <c r="H8805" s="90"/>
    </row>
    <row r="8806" spans="7:8">
      <c r="G8806" s="87"/>
      <c r="H8806" s="90"/>
    </row>
    <row r="8807" spans="7:8">
      <c r="G8807" s="87"/>
      <c r="H8807" s="90"/>
    </row>
    <row r="8808" spans="7:8">
      <c r="G8808" s="87"/>
      <c r="H8808" s="90"/>
    </row>
    <row r="8809" spans="7:8">
      <c r="G8809" s="87"/>
      <c r="H8809" s="90"/>
    </row>
    <row r="8810" spans="7:8">
      <c r="G8810" s="87"/>
      <c r="H8810" s="90"/>
    </row>
    <row r="8811" spans="7:8">
      <c r="G8811" s="87"/>
      <c r="H8811" s="90"/>
    </row>
    <row r="8812" spans="7:8">
      <c r="G8812" s="87"/>
      <c r="H8812" s="90"/>
    </row>
    <row r="8813" spans="7:8">
      <c r="G8813" s="87"/>
      <c r="H8813" s="90"/>
    </row>
    <row r="8814" spans="7:8">
      <c r="G8814" s="87"/>
      <c r="H8814" s="90"/>
    </row>
    <row r="8815" spans="7:8">
      <c r="G8815" s="87"/>
      <c r="H8815" s="90"/>
    </row>
    <row r="8816" spans="7:8">
      <c r="G8816" s="87"/>
      <c r="H8816" s="90"/>
    </row>
    <row r="8817" spans="7:8">
      <c r="G8817" s="87"/>
      <c r="H8817" s="90"/>
    </row>
    <row r="8818" spans="7:8">
      <c r="G8818" s="87"/>
      <c r="H8818" s="90"/>
    </row>
    <row r="8819" spans="7:8">
      <c r="G8819" s="87"/>
      <c r="H8819" s="90"/>
    </row>
    <row r="8820" spans="7:8">
      <c r="G8820" s="87"/>
      <c r="H8820" s="90"/>
    </row>
    <row r="8821" spans="7:8">
      <c r="G8821" s="87"/>
      <c r="H8821" s="90"/>
    </row>
    <row r="8822" spans="7:8">
      <c r="G8822" s="87"/>
      <c r="H8822" s="90"/>
    </row>
    <row r="8823" spans="7:8">
      <c r="G8823" s="87"/>
      <c r="H8823" s="90"/>
    </row>
    <row r="8824" spans="7:8">
      <c r="G8824" s="87"/>
      <c r="H8824" s="90"/>
    </row>
    <row r="8825" spans="7:8">
      <c r="G8825" s="87"/>
      <c r="H8825" s="90"/>
    </row>
    <row r="8826" spans="7:8">
      <c r="G8826" s="87"/>
      <c r="H8826" s="90"/>
    </row>
    <row r="8827" spans="7:8">
      <c r="G8827" s="87"/>
      <c r="H8827" s="90"/>
    </row>
    <row r="8828" spans="7:8">
      <c r="G8828" s="87"/>
      <c r="H8828" s="90"/>
    </row>
    <row r="8829" spans="7:8">
      <c r="G8829" s="87"/>
      <c r="H8829" s="90"/>
    </row>
    <row r="8830" spans="7:8">
      <c r="G8830" s="87"/>
      <c r="H8830" s="90"/>
    </row>
    <row r="8831" spans="7:8">
      <c r="G8831" s="87"/>
      <c r="H8831" s="90"/>
    </row>
    <row r="8832" spans="7:8">
      <c r="G8832" s="87"/>
      <c r="H8832" s="90"/>
    </row>
    <row r="8833" spans="7:8">
      <c r="G8833" s="87"/>
      <c r="H8833" s="90"/>
    </row>
    <row r="8834" spans="7:8">
      <c r="G8834" s="87"/>
      <c r="H8834" s="90"/>
    </row>
    <row r="8835" spans="7:8">
      <c r="G8835" s="87"/>
      <c r="H8835" s="90"/>
    </row>
    <row r="8836" spans="7:8">
      <c r="G8836" s="87"/>
      <c r="H8836" s="90"/>
    </row>
    <row r="8837" spans="7:8">
      <c r="G8837" s="87"/>
      <c r="H8837" s="90"/>
    </row>
    <row r="8838" spans="7:8">
      <c r="G8838" s="87"/>
      <c r="H8838" s="90"/>
    </row>
    <row r="8839" spans="7:8">
      <c r="G8839" s="87"/>
      <c r="H8839" s="90"/>
    </row>
    <row r="8840" spans="7:8">
      <c r="G8840" s="87"/>
      <c r="H8840" s="90"/>
    </row>
    <row r="8841" spans="7:8">
      <c r="G8841" s="87"/>
      <c r="H8841" s="90"/>
    </row>
    <row r="8842" spans="7:8">
      <c r="G8842" s="87"/>
      <c r="H8842" s="90"/>
    </row>
    <row r="8843" spans="7:8">
      <c r="G8843" s="87"/>
      <c r="H8843" s="90"/>
    </row>
    <row r="8844" spans="7:8">
      <c r="G8844" s="87"/>
      <c r="H8844" s="90"/>
    </row>
    <row r="8845" spans="7:8">
      <c r="G8845" s="87"/>
      <c r="H8845" s="90"/>
    </row>
    <row r="8846" spans="7:8">
      <c r="G8846" s="87"/>
      <c r="H8846" s="90"/>
    </row>
    <row r="8847" spans="7:8">
      <c r="G8847" s="87"/>
      <c r="H8847" s="90"/>
    </row>
    <row r="8848" spans="7:8">
      <c r="G8848" s="87"/>
      <c r="H8848" s="90"/>
    </row>
    <row r="8849" spans="7:8">
      <c r="G8849" s="87"/>
      <c r="H8849" s="90"/>
    </row>
    <row r="8850" spans="7:8">
      <c r="G8850" s="87"/>
      <c r="H8850" s="90"/>
    </row>
    <row r="8851" spans="7:8">
      <c r="G8851" s="87"/>
      <c r="H8851" s="90"/>
    </row>
    <row r="8852" spans="7:8">
      <c r="G8852" s="87"/>
      <c r="H8852" s="90"/>
    </row>
    <row r="8853" spans="7:8">
      <c r="G8853" s="87"/>
      <c r="H8853" s="90"/>
    </row>
    <row r="8854" spans="7:8">
      <c r="G8854" s="87"/>
      <c r="H8854" s="90"/>
    </row>
    <row r="8855" spans="7:8">
      <c r="G8855" s="87"/>
      <c r="H8855" s="90"/>
    </row>
    <row r="8856" spans="7:8">
      <c r="G8856" s="87"/>
      <c r="H8856" s="90"/>
    </row>
    <row r="8857" spans="7:8">
      <c r="G8857" s="87"/>
      <c r="H8857" s="90"/>
    </row>
    <row r="8858" spans="7:8">
      <c r="G8858" s="87"/>
      <c r="H8858" s="90"/>
    </row>
    <row r="8859" spans="7:8">
      <c r="G8859" s="87"/>
      <c r="H8859" s="90"/>
    </row>
    <row r="8860" spans="7:8">
      <c r="G8860" s="87"/>
      <c r="H8860" s="90"/>
    </row>
    <row r="8861" spans="7:8">
      <c r="G8861" s="87"/>
      <c r="H8861" s="90"/>
    </row>
    <row r="8862" spans="7:8">
      <c r="G8862" s="87"/>
      <c r="H8862" s="90"/>
    </row>
    <row r="8863" spans="7:8">
      <c r="G8863" s="87"/>
      <c r="H8863" s="90"/>
    </row>
    <row r="8864" spans="7:8">
      <c r="G8864" s="87"/>
      <c r="H8864" s="90"/>
    </row>
    <row r="8865" spans="7:8">
      <c r="G8865" s="87"/>
      <c r="H8865" s="90"/>
    </row>
    <row r="8866" spans="7:8">
      <c r="G8866" s="87"/>
      <c r="H8866" s="90"/>
    </row>
    <row r="8867" spans="7:8">
      <c r="G8867" s="87"/>
      <c r="H8867" s="90"/>
    </row>
    <row r="8868" spans="7:8">
      <c r="G8868" s="87"/>
      <c r="H8868" s="90"/>
    </row>
    <row r="8869" spans="7:8">
      <c r="G8869" s="87"/>
      <c r="H8869" s="90"/>
    </row>
    <row r="8870" spans="7:8">
      <c r="G8870" s="87"/>
      <c r="H8870" s="90"/>
    </row>
    <row r="8871" spans="7:8">
      <c r="G8871" s="87"/>
      <c r="H8871" s="90"/>
    </row>
    <row r="8872" spans="7:8">
      <c r="G8872" s="87"/>
      <c r="H8872" s="90"/>
    </row>
    <row r="8873" spans="7:8">
      <c r="G8873" s="87"/>
      <c r="H8873" s="90"/>
    </row>
    <row r="8874" spans="7:8">
      <c r="G8874" s="87"/>
      <c r="H8874" s="90"/>
    </row>
    <row r="8875" spans="7:8">
      <c r="G8875" s="87"/>
      <c r="H8875" s="90"/>
    </row>
    <row r="8876" spans="7:8">
      <c r="G8876" s="87"/>
      <c r="H8876" s="90"/>
    </row>
    <row r="8877" spans="7:8">
      <c r="G8877" s="87"/>
      <c r="H8877" s="90"/>
    </row>
    <row r="8878" spans="7:8">
      <c r="G8878" s="87"/>
      <c r="H8878" s="90"/>
    </row>
    <row r="8879" spans="7:8">
      <c r="G8879" s="87"/>
      <c r="H8879" s="90"/>
    </row>
    <row r="8880" spans="7:8">
      <c r="G8880" s="87"/>
      <c r="H8880" s="90"/>
    </row>
    <row r="8881" spans="7:8">
      <c r="G8881" s="87"/>
      <c r="H8881" s="90"/>
    </row>
    <row r="8882" spans="7:8">
      <c r="G8882" s="87"/>
      <c r="H8882" s="90"/>
    </row>
    <row r="8883" spans="7:8">
      <c r="G8883" s="87"/>
      <c r="H8883" s="90"/>
    </row>
    <row r="8884" spans="7:8">
      <c r="G8884" s="87"/>
      <c r="H8884" s="90"/>
    </row>
    <row r="8885" spans="7:8">
      <c r="G8885" s="87"/>
      <c r="H8885" s="90"/>
    </row>
    <row r="8886" spans="7:8">
      <c r="G8886" s="87"/>
      <c r="H8886" s="90"/>
    </row>
    <row r="8887" spans="7:8">
      <c r="G8887" s="87"/>
      <c r="H8887" s="90"/>
    </row>
    <row r="8888" spans="7:8">
      <c r="G8888" s="87"/>
      <c r="H8888" s="90"/>
    </row>
    <row r="8889" spans="7:8">
      <c r="G8889" s="87"/>
      <c r="H8889" s="90"/>
    </row>
    <row r="8890" spans="7:8">
      <c r="G8890" s="87"/>
      <c r="H8890" s="90"/>
    </row>
    <row r="8891" spans="7:8">
      <c r="G8891" s="87"/>
      <c r="H8891" s="90"/>
    </row>
    <row r="8892" spans="7:8">
      <c r="G8892" s="87"/>
      <c r="H8892" s="90"/>
    </row>
    <row r="8893" spans="7:8">
      <c r="G8893" s="87"/>
      <c r="H8893" s="90"/>
    </row>
    <row r="8894" spans="7:8">
      <c r="G8894" s="87"/>
      <c r="H8894" s="90"/>
    </row>
    <row r="8895" spans="7:8">
      <c r="G8895" s="87"/>
      <c r="H8895" s="90"/>
    </row>
    <row r="8896" spans="7:8">
      <c r="G8896" s="87"/>
      <c r="H8896" s="90"/>
    </row>
    <row r="8897" spans="7:8">
      <c r="G8897" s="87"/>
      <c r="H8897" s="90"/>
    </row>
    <row r="8898" spans="7:8">
      <c r="G8898" s="87"/>
      <c r="H8898" s="90"/>
    </row>
    <row r="8899" spans="7:8">
      <c r="G8899" s="87"/>
      <c r="H8899" s="90"/>
    </row>
    <row r="8900" spans="7:8">
      <c r="G8900" s="87"/>
      <c r="H8900" s="90"/>
    </row>
    <row r="8901" spans="7:8">
      <c r="G8901" s="87"/>
      <c r="H8901" s="90"/>
    </row>
    <row r="8902" spans="7:8">
      <c r="G8902" s="87"/>
      <c r="H8902" s="90"/>
    </row>
    <row r="8903" spans="7:8">
      <c r="G8903" s="87"/>
      <c r="H8903" s="90"/>
    </row>
    <row r="8904" spans="7:8">
      <c r="G8904" s="87"/>
      <c r="H8904" s="90"/>
    </row>
    <row r="8905" spans="7:8">
      <c r="G8905" s="87"/>
      <c r="H8905" s="90"/>
    </row>
    <row r="8906" spans="7:8">
      <c r="G8906" s="87"/>
      <c r="H8906" s="90"/>
    </row>
    <row r="8907" spans="7:8">
      <c r="G8907" s="87"/>
      <c r="H8907" s="90"/>
    </row>
    <row r="8908" spans="7:8">
      <c r="G8908" s="87"/>
      <c r="H8908" s="90"/>
    </row>
    <row r="8909" spans="7:8">
      <c r="G8909" s="87"/>
      <c r="H8909" s="90"/>
    </row>
    <row r="8910" spans="7:8">
      <c r="G8910" s="87"/>
      <c r="H8910" s="90"/>
    </row>
    <row r="8911" spans="7:8">
      <c r="G8911" s="87"/>
      <c r="H8911" s="90"/>
    </row>
    <row r="8912" spans="7:8">
      <c r="G8912" s="87"/>
      <c r="H8912" s="90"/>
    </row>
    <row r="8913" spans="7:8">
      <c r="G8913" s="87"/>
      <c r="H8913" s="90"/>
    </row>
    <row r="8914" spans="7:8">
      <c r="G8914" s="87"/>
      <c r="H8914" s="90"/>
    </row>
    <row r="8915" spans="7:8">
      <c r="G8915" s="87"/>
      <c r="H8915" s="90"/>
    </row>
    <row r="8916" spans="7:8">
      <c r="G8916" s="87"/>
      <c r="H8916" s="90"/>
    </row>
    <row r="8917" spans="7:8">
      <c r="G8917" s="87"/>
      <c r="H8917" s="90"/>
    </row>
    <row r="8918" spans="7:8">
      <c r="G8918" s="87"/>
      <c r="H8918" s="90"/>
    </row>
    <row r="8919" spans="7:8">
      <c r="G8919" s="87"/>
      <c r="H8919" s="90"/>
    </row>
    <row r="8920" spans="7:8">
      <c r="G8920" s="87"/>
      <c r="H8920" s="90"/>
    </row>
    <row r="8921" spans="7:8">
      <c r="G8921" s="87"/>
      <c r="H8921" s="90"/>
    </row>
    <row r="8922" spans="7:8">
      <c r="G8922" s="87"/>
      <c r="H8922" s="90"/>
    </row>
    <row r="8923" spans="7:8">
      <c r="G8923" s="87"/>
      <c r="H8923" s="90"/>
    </row>
    <row r="8924" spans="7:8">
      <c r="G8924" s="87"/>
      <c r="H8924" s="90"/>
    </row>
    <row r="8925" spans="7:8">
      <c r="G8925" s="87"/>
      <c r="H8925" s="90"/>
    </row>
    <row r="8926" spans="7:8">
      <c r="G8926" s="87"/>
      <c r="H8926" s="90"/>
    </row>
    <row r="8927" spans="7:8">
      <c r="G8927" s="87"/>
      <c r="H8927" s="90"/>
    </row>
    <row r="8928" spans="7:8">
      <c r="G8928" s="87"/>
      <c r="H8928" s="90"/>
    </row>
    <row r="8929" spans="7:8">
      <c r="G8929" s="87"/>
      <c r="H8929" s="90"/>
    </row>
    <row r="8930" spans="7:8">
      <c r="G8930" s="87"/>
      <c r="H8930" s="90"/>
    </row>
    <row r="8931" spans="7:8">
      <c r="G8931" s="87"/>
      <c r="H8931" s="90"/>
    </row>
    <row r="8932" spans="7:8">
      <c r="G8932" s="87"/>
      <c r="H8932" s="90"/>
    </row>
    <row r="8933" spans="7:8">
      <c r="G8933" s="87"/>
      <c r="H8933" s="90"/>
    </row>
    <row r="8934" spans="7:8">
      <c r="G8934" s="87"/>
      <c r="H8934" s="90"/>
    </row>
    <row r="8935" spans="7:8">
      <c r="G8935" s="87"/>
      <c r="H8935" s="90"/>
    </row>
    <row r="8936" spans="7:8">
      <c r="G8936" s="87"/>
      <c r="H8936" s="90"/>
    </row>
    <row r="8937" spans="7:8">
      <c r="G8937" s="87"/>
      <c r="H8937" s="90"/>
    </row>
    <row r="8938" spans="7:8">
      <c r="G8938" s="87"/>
      <c r="H8938" s="90"/>
    </row>
    <row r="8939" spans="7:8">
      <c r="G8939" s="87"/>
      <c r="H8939" s="90"/>
    </row>
    <row r="8940" spans="7:8">
      <c r="G8940" s="87"/>
      <c r="H8940" s="90"/>
    </row>
    <row r="8941" spans="7:8">
      <c r="G8941" s="87"/>
      <c r="H8941" s="90"/>
    </row>
    <row r="8942" spans="7:8">
      <c r="G8942" s="87"/>
      <c r="H8942" s="90"/>
    </row>
    <row r="8943" spans="7:8">
      <c r="G8943" s="87"/>
      <c r="H8943" s="90"/>
    </row>
    <row r="8944" spans="7:8">
      <c r="G8944" s="87"/>
      <c r="H8944" s="90"/>
    </row>
    <row r="8945" spans="7:8">
      <c r="G8945" s="87"/>
      <c r="H8945" s="90"/>
    </row>
    <row r="8946" spans="7:8">
      <c r="G8946" s="87"/>
      <c r="H8946" s="90"/>
    </row>
    <row r="8947" spans="7:8">
      <c r="G8947" s="87"/>
      <c r="H8947" s="90"/>
    </row>
    <row r="8948" spans="7:8">
      <c r="G8948" s="87"/>
      <c r="H8948" s="90"/>
    </row>
    <row r="8949" spans="7:8">
      <c r="G8949" s="87"/>
      <c r="H8949" s="90"/>
    </row>
    <row r="8950" spans="7:8">
      <c r="G8950" s="87"/>
      <c r="H8950" s="90"/>
    </row>
    <row r="8951" spans="7:8">
      <c r="G8951" s="87"/>
      <c r="H8951" s="90"/>
    </row>
    <row r="8952" spans="7:8">
      <c r="G8952" s="87"/>
      <c r="H8952" s="90"/>
    </row>
    <row r="8953" spans="7:8">
      <c r="G8953" s="87"/>
      <c r="H8953" s="90"/>
    </row>
    <row r="8954" spans="7:8">
      <c r="G8954" s="87"/>
      <c r="H8954" s="90"/>
    </row>
    <row r="8955" spans="7:8">
      <c r="G8955" s="87"/>
      <c r="H8955" s="90"/>
    </row>
    <row r="8956" spans="7:8">
      <c r="G8956" s="87"/>
      <c r="H8956" s="90"/>
    </row>
    <row r="8957" spans="7:8">
      <c r="G8957" s="87"/>
      <c r="H8957" s="90"/>
    </row>
    <row r="8958" spans="7:8">
      <c r="G8958" s="87"/>
      <c r="H8958" s="90"/>
    </row>
    <row r="8959" spans="7:8">
      <c r="G8959" s="87"/>
      <c r="H8959" s="90"/>
    </row>
    <row r="8960" spans="7:8">
      <c r="G8960" s="87"/>
      <c r="H8960" s="90"/>
    </row>
    <row r="8961" spans="7:8">
      <c r="G8961" s="87"/>
      <c r="H8961" s="90"/>
    </row>
    <row r="8962" spans="7:8">
      <c r="G8962" s="87"/>
      <c r="H8962" s="90"/>
    </row>
    <row r="8963" spans="7:8">
      <c r="G8963" s="87"/>
      <c r="H8963" s="90"/>
    </row>
    <row r="8964" spans="7:8">
      <c r="G8964" s="87"/>
      <c r="H8964" s="90"/>
    </row>
    <row r="8965" spans="7:8">
      <c r="G8965" s="87"/>
      <c r="H8965" s="90"/>
    </row>
    <row r="8966" spans="7:8">
      <c r="G8966" s="87"/>
      <c r="H8966" s="90"/>
    </row>
    <row r="8967" spans="7:8">
      <c r="G8967" s="87"/>
      <c r="H8967" s="90"/>
    </row>
    <row r="8968" spans="7:8">
      <c r="G8968" s="87"/>
      <c r="H8968" s="90"/>
    </row>
    <row r="8969" spans="7:8">
      <c r="G8969" s="87"/>
      <c r="H8969" s="90"/>
    </row>
    <row r="8970" spans="7:8">
      <c r="G8970" s="87"/>
      <c r="H8970" s="90"/>
    </row>
    <row r="8971" spans="7:8">
      <c r="G8971" s="87"/>
      <c r="H8971" s="90"/>
    </row>
    <row r="8972" spans="7:8">
      <c r="G8972" s="87"/>
      <c r="H8972" s="90"/>
    </row>
    <row r="8973" spans="7:8">
      <c r="G8973" s="87"/>
      <c r="H8973" s="90"/>
    </row>
    <row r="8974" spans="7:8">
      <c r="G8974" s="87"/>
      <c r="H8974" s="90"/>
    </row>
    <row r="8975" spans="7:8">
      <c r="G8975" s="87"/>
      <c r="H8975" s="90"/>
    </row>
    <row r="8976" spans="7:8">
      <c r="G8976" s="87"/>
      <c r="H8976" s="90"/>
    </row>
    <row r="8977" spans="7:8">
      <c r="G8977" s="87"/>
      <c r="H8977" s="90"/>
    </row>
    <row r="8978" spans="7:8">
      <c r="G8978" s="87"/>
      <c r="H8978" s="90"/>
    </row>
    <row r="8979" spans="7:8">
      <c r="G8979" s="87"/>
      <c r="H8979" s="90"/>
    </row>
    <row r="8980" spans="7:8">
      <c r="G8980" s="87"/>
      <c r="H8980" s="90"/>
    </row>
    <row r="8981" spans="7:8">
      <c r="G8981" s="87"/>
      <c r="H8981" s="90"/>
    </row>
    <row r="8982" spans="7:8">
      <c r="G8982" s="87"/>
      <c r="H8982" s="90"/>
    </row>
    <row r="8983" spans="7:8">
      <c r="G8983" s="87"/>
      <c r="H8983" s="90"/>
    </row>
    <row r="8984" spans="7:8">
      <c r="G8984" s="87"/>
      <c r="H8984" s="90"/>
    </row>
    <row r="8985" spans="7:8">
      <c r="G8985" s="87"/>
      <c r="H8985" s="90"/>
    </row>
    <row r="8986" spans="7:8">
      <c r="G8986" s="87"/>
      <c r="H8986" s="90"/>
    </row>
    <row r="8987" spans="7:8">
      <c r="G8987" s="87"/>
      <c r="H8987" s="90"/>
    </row>
    <row r="8988" spans="7:8">
      <c r="G8988" s="87"/>
      <c r="H8988" s="90"/>
    </row>
    <row r="8989" spans="7:8">
      <c r="G8989" s="87"/>
      <c r="H8989" s="90"/>
    </row>
    <row r="8990" spans="7:8">
      <c r="G8990" s="87"/>
      <c r="H8990" s="90"/>
    </row>
    <row r="8991" spans="7:8">
      <c r="G8991" s="87"/>
      <c r="H8991" s="90"/>
    </row>
    <row r="8992" spans="7:8">
      <c r="G8992" s="87"/>
      <c r="H8992" s="90"/>
    </row>
    <row r="8993" spans="7:8">
      <c r="G8993" s="87"/>
      <c r="H8993" s="90"/>
    </row>
    <row r="8994" spans="7:8">
      <c r="G8994" s="87"/>
      <c r="H8994" s="90"/>
    </row>
    <row r="8995" spans="7:8">
      <c r="G8995" s="87"/>
      <c r="H8995" s="90"/>
    </row>
    <row r="8996" spans="7:8">
      <c r="G8996" s="87"/>
      <c r="H8996" s="90"/>
    </row>
    <row r="8997" spans="7:8">
      <c r="G8997" s="87"/>
      <c r="H8997" s="90"/>
    </row>
    <row r="8998" spans="7:8">
      <c r="G8998" s="87"/>
      <c r="H8998" s="90"/>
    </row>
    <row r="8999" spans="7:8">
      <c r="G8999" s="87"/>
      <c r="H8999" s="90"/>
    </row>
    <row r="9000" spans="7:8">
      <c r="G9000" s="87"/>
      <c r="H9000" s="90"/>
    </row>
    <row r="9001" spans="7:8">
      <c r="G9001" s="87"/>
      <c r="H9001" s="90"/>
    </row>
    <row r="9002" spans="7:8">
      <c r="G9002" s="87"/>
      <c r="H9002" s="90"/>
    </row>
    <row r="9003" spans="7:8">
      <c r="G9003" s="87"/>
      <c r="H9003" s="90"/>
    </row>
    <row r="9004" spans="7:8">
      <c r="G9004" s="87"/>
      <c r="H9004" s="90"/>
    </row>
    <row r="9005" spans="7:8">
      <c r="G9005" s="87"/>
      <c r="H9005" s="90"/>
    </row>
    <row r="9006" spans="7:8">
      <c r="G9006" s="87"/>
      <c r="H9006" s="90"/>
    </row>
    <row r="9007" spans="7:8">
      <c r="G9007" s="87"/>
      <c r="H9007" s="90"/>
    </row>
    <row r="9008" spans="7:8">
      <c r="G9008" s="87"/>
      <c r="H9008" s="90"/>
    </row>
    <row r="9009" spans="7:8">
      <c r="G9009" s="87"/>
      <c r="H9009" s="90"/>
    </row>
    <row r="9010" spans="7:8">
      <c r="G9010" s="87"/>
      <c r="H9010" s="90"/>
    </row>
    <row r="9011" spans="7:8">
      <c r="G9011" s="87"/>
      <c r="H9011" s="90"/>
    </row>
    <row r="9012" spans="7:8">
      <c r="G9012" s="87"/>
      <c r="H9012" s="90"/>
    </row>
    <row r="9013" spans="7:8">
      <c r="G9013" s="87"/>
      <c r="H9013" s="90"/>
    </row>
    <row r="9014" spans="7:8">
      <c r="G9014" s="87"/>
      <c r="H9014" s="90"/>
    </row>
    <row r="9015" spans="7:8">
      <c r="G9015" s="87"/>
      <c r="H9015" s="90"/>
    </row>
    <row r="9016" spans="7:8">
      <c r="G9016" s="87"/>
      <c r="H9016" s="90"/>
    </row>
    <row r="9017" spans="7:8">
      <c r="G9017" s="87"/>
      <c r="H9017" s="90"/>
    </row>
    <row r="9018" spans="7:8">
      <c r="G9018" s="87"/>
      <c r="H9018" s="90"/>
    </row>
    <row r="9019" spans="7:8">
      <c r="G9019" s="87"/>
      <c r="H9019" s="90"/>
    </row>
    <row r="9020" spans="7:8">
      <c r="G9020" s="87"/>
      <c r="H9020" s="90"/>
    </row>
    <row r="9021" spans="7:8">
      <c r="G9021" s="87"/>
      <c r="H9021" s="90"/>
    </row>
    <row r="9022" spans="7:8">
      <c r="G9022" s="87"/>
      <c r="H9022" s="90"/>
    </row>
    <row r="9023" spans="7:8">
      <c r="G9023" s="87"/>
      <c r="H9023" s="90"/>
    </row>
    <row r="9024" spans="7:8">
      <c r="G9024" s="87"/>
      <c r="H9024" s="90"/>
    </row>
    <row r="9025" spans="7:8">
      <c r="G9025" s="87"/>
      <c r="H9025" s="90"/>
    </row>
    <row r="9026" spans="7:8">
      <c r="G9026" s="87"/>
      <c r="H9026" s="90"/>
    </row>
    <row r="9027" spans="7:8">
      <c r="G9027" s="87"/>
      <c r="H9027" s="90"/>
    </row>
    <row r="9028" spans="7:8">
      <c r="G9028" s="87"/>
      <c r="H9028" s="90"/>
    </row>
    <row r="9029" spans="7:8">
      <c r="G9029" s="87"/>
      <c r="H9029" s="90"/>
    </row>
    <row r="9030" spans="7:8">
      <c r="G9030" s="87"/>
      <c r="H9030" s="90"/>
    </row>
    <row r="9031" spans="7:8">
      <c r="G9031" s="87"/>
      <c r="H9031" s="90"/>
    </row>
    <row r="9032" spans="7:8">
      <c r="G9032" s="87"/>
      <c r="H9032" s="90"/>
    </row>
    <row r="9033" spans="7:8">
      <c r="G9033" s="87"/>
      <c r="H9033" s="90"/>
    </row>
    <row r="9034" spans="7:8">
      <c r="G9034" s="87"/>
      <c r="H9034" s="90"/>
    </row>
    <row r="9035" spans="7:8">
      <c r="G9035" s="87"/>
      <c r="H9035" s="90"/>
    </row>
    <row r="9036" spans="7:8">
      <c r="G9036" s="87"/>
      <c r="H9036" s="90"/>
    </row>
    <row r="9037" spans="7:8">
      <c r="G9037" s="87"/>
      <c r="H9037" s="90"/>
    </row>
    <row r="9038" spans="7:8">
      <c r="G9038" s="87"/>
      <c r="H9038" s="90"/>
    </row>
    <row r="9039" spans="7:8">
      <c r="G9039" s="87"/>
      <c r="H9039" s="90"/>
    </row>
    <row r="9040" spans="7:8">
      <c r="G9040" s="87"/>
      <c r="H9040" s="90"/>
    </row>
    <row r="9041" spans="7:8">
      <c r="G9041" s="87"/>
      <c r="H9041" s="90"/>
    </row>
    <row r="9042" spans="7:8">
      <c r="G9042" s="87"/>
      <c r="H9042" s="90"/>
    </row>
    <row r="9043" spans="7:8">
      <c r="G9043" s="87"/>
      <c r="H9043" s="90"/>
    </row>
    <row r="9044" spans="7:8">
      <c r="G9044" s="87"/>
      <c r="H9044" s="90"/>
    </row>
    <row r="9045" spans="7:8">
      <c r="G9045" s="87"/>
      <c r="H9045" s="90"/>
    </row>
    <row r="9046" spans="7:8">
      <c r="G9046" s="87"/>
      <c r="H9046" s="90"/>
    </row>
    <row r="9047" spans="7:8">
      <c r="G9047" s="87"/>
      <c r="H9047" s="90"/>
    </row>
    <row r="9048" spans="7:8">
      <c r="G9048" s="87"/>
      <c r="H9048" s="90"/>
    </row>
    <row r="9049" spans="7:8">
      <c r="G9049" s="87"/>
      <c r="H9049" s="90"/>
    </row>
    <row r="9050" spans="7:8">
      <c r="G9050" s="87"/>
      <c r="H9050" s="90"/>
    </row>
    <row r="9051" spans="7:8">
      <c r="G9051" s="87"/>
      <c r="H9051" s="90"/>
    </row>
    <row r="9052" spans="7:8">
      <c r="G9052" s="87"/>
      <c r="H9052" s="90"/>
    </row>
    <row r="9053" spans="7:8">
      <c r="G9053" s="87"/>
      <c r="H9053" s="90"/>
    </row>
    <row r="9054" spans="7:8">
      <c r="G9054" s="87"/>
      <c r="H9054" s="90"/>
    </row>
    <row r="9055" spans="7:8">
      <c r="G9055" s="87"/>
      <c r="H9055" s="90"/>
    </row>
    <row r="9056" spans="7:8">
      <c r="G9056" s="87"/>
      <c r="H9056" s="90"/>
    </row>
    <row r="9057" spans="7:8">
      <c r="G9057" s="87"/>
      <c r="H9057" s="90"/>
    </row>
    <row r="9058" spans="7:8">
      <c r="G9058" s="87"/>
      <c r="H9058" s="90"/>
    </row>
    <row r="9059" spans="7:8">
      <c r="G9059" s="87"/>
      <c r="H9059" s="90"/>
    </row>
    <row r="9060" spans="7:8">
      <c r="G9060" s="87"/>
      <c r="H9060" s="90"/>
    </row>
    <row r="9061" spans="7:8">
      <c r="G9061" s="87"/>
      <c r="H9061" s="90"/>
    </row>
    <row r="9062" spans="7:8">
      <c r="G9062" s="87"/>
      <c r="H9062" s="90"/>
    </row>
    <row r="9063" spans="7:8">
      <c r="G9063" s="87"/>
      <c r="H9063" s="90"/>
    </row>
    <row r="9064" spans="7:8">
      <c r="G9064" s="87"/>
      <c r="H9064" s="90"/>
    </row>
    <row r="9065" spans="7:8">
      <c r="G9065" s="87"/>
      <c r="H9065" s="90"/>
    </row>
    <row r="9066" spans="7:8">
      <c r="G9066" s="87"/>
      <c r="H9066" s="90"/>
    </row>
    <row r="9067" spans="7:8">
      <c r="G9067" s="87"/>
      <c r="H9067" s="90"/>
    </row>
    <row r="9068" spans="7:8">
      <c r="G9068" s="87"/>
      <c r="H9068" s="90"/>
    </row>
    <row r="9069" spans="7:8">
      <c r="G9069" s="87"/>
      <c r="H9069" s="90"/>
    </row>
    <row r="9070" spans="7:8">
      <c r="G9070" s="87"/>
      <c r="H9070" s="90"/>
    </row>
    <row r="9071" spans="7:8">
      <c r="G9071" s="87"/>
      <c r="H9071" s="90"/>
    </row>
    <row r="9072" spans="7:8">
      <c r="G9072" s="87"/>
      <c r="H9072" s="90"/>
    </row>
    <row r="9073" spans="7:8">
      <c r="G9073" s="87"/>
      <c r="H9073" s="90"/>
    </row>
    <row r="9074" spans="7:8">
      <c r="G9074" s="87"/>
      <c r="H9074" s="90"/>
    </row>
    <row r="9075" spans="7:8">
      <c r="G9075" s="87"/>
      <c r="H9075" s="90"/>
    </row>
    <row r="9076" spans="7:8">
      <c r="G9076" s="87"/>
      <c r="H9076" s="90"/>
    </row>
    <row r="9077" spans="7:8">
      <c r="G9077" s="87"/>
      <c r="H9077" s="90"/>
    </row>
    <row r="9078" spans="7:8">
      <c r="G9078" s="87"/>
      <c r="H9078" s="90"/>
    </row>
    <row r="9079" spans="7:8">
      <c r="G9079" s="87"/>
      <c r="H9079" s="90"/>
    </row>
    <row r="9080" spans="7:8">
      <c r="G9080" s="87"/>
      <c r="H9080" s="90"/>
    </row>
    <row r="9081" spans="7:8">
      <c r="G9081" s="87"/>
      <c r="H9081" s="90"/>
    </row>
    <row r="9082" spans="7:8">
      <c r="G9082" s="87"/>
      <c r="H9082" s="90"/>
    </row>
    <row r="9083" spans="7:8">
      <c r="G9083" s="87"/>
      <c r="H9083" s="90"/>
    </row>
    <row r="9084" spans="7:8">
      <c r="G9084" s="87"/>
      <c r="H9084" s="90"/>
    </row>
    <row r="9085" spans="7:8">
      <c r="G9085" s="87"/>
      <c r="H9085" s="90"/>
    </row>
    <row r="9086" spans="7:8">
      <c r="G9086" s="87"/>
      <c r="H9086" s="90"/>
    </row>
    <row r="9087" spans="7:8">
      <c r="G9087" s="87"/>
      <c r="H9087" s="90"/>
    </row>
    <row r="9088" spans="7:8">
      <c r="G9088" s="87"/>
      <c r="H9088" s="90"/>
    </row>
    <row r="9089" spans="7:8">
      <c r="G9089" s="87"/>
      <c r="H9089" s="90"/>
    </row>
    <row r="9090" spans="7:8">
      <c r="G9090" s="87"/>
      <c r="H9090" s="90"/>
    </row>
    <row r="9091" spans="7:8">
      <c r="G9091" s="87"/>
      <c r="H9091" s="90"/>
    </row>
    <row r="9092" spans="7:8">
      <c r="G9092" s="87"/>
      <c r="H9092" s="90"/>
    </row>
    <row r="9093" spans="7:8">
      <c r="G9093" s="87"/>
      <c r="H9093" s="90"/>
    </row>
    <row r="9094" spans="7:8">
      <c r="G9094" s="87"/>
      <c r="H9094" s="90"/>
    </row>
    <row r="9095" spans="7:8">
      <c r="G9095" s="87"/>
      <c r="H9095" s="90"/>
    </row>
    <row r="9096" spans="7:8">
      <c r="G9096" s="87"/>
      <c r="H9096" s="90"/>
    </row>
    <row r="9097" spans="7:8">
      <c r="G9097" s="87"/>
      <c r="H9097" s="90"/>
    </row>
    <row r="9098" spans="7:8">
      <c r="G9098" s="87"/>
      <c r="H9098" s="90"/>
    </row>
    <row r="9099" spans="7:8">
      <c r="G9099" s="87"/>
      <c r="H9099" s="90"/>
    </row>
    <row r="9100" spans="7:8">
      <c r="G9100" s="87"/>
      <c r="H9100" s="90"/>
    </row>
    <row r="9101" spans="7:8">
      <c r="G9101" s="87"/>
      <c r="H9101" s="90"/>
    </row>
    <row r="9102" spans="7:8">
      <c r="G9102" s="87"/>
      <c r="H9102" s="90"/>
    </row>
    <row r="9103" spans="7:8">
      <c r="G9103" s="87"/>
      <c r="H9103" s="90"/>
    </row>
    <row r="9104" spans="7:8">
      <c r="G9104" s="87"/>
      <c r="H9104" s="90"/>
    </row>
    <row r="9105" spans="7:8">
      <c r="G9105" s="87"/>
      <c r="H9105" s="90"/>
    </row>
    <row r="9106" spans="7:8">
      <c r="G9106" s="87"/>
      <c r="H9106" s="90"/>
    </row>
    <row r="9107" spans="7:8">
      <c r="G9107" s="87"/>
      <c r="H9107" s="90"/>
    </row>
    <row r="9108" spans="7:8">
      <c r="G9108" s="87"/>
      <c r="H9108" s="90"/>
    </row>
    <row r="9109" spans="7:8">
      <c r="G9109" s="87"/>
      <c r="H9109" s="90"/>
    </row>
    <row r="9110" spans="7:8">
      <c r="G9110" s="87"/>
      <c r="H9110" s="90"/>
    </row>
    <row r="9111" spans="7:8">
      <c r="G9111" s="87"/>
      <c r="H9111" s="90"/>
    </row>
    <row r="9112" spans="7:8">
      <c r="G9112" s="87"/>
      <c r="H9112" s="90"/>
    </row>
    <row r="9113" spans="7:8">
      <c r="G9113" s="87"/>
      <c r="H9113" s="90"/>
    </row>
    <row r="9114" spans="7:8">
      <c r="G9114" s="87"/>
      <c r="H9114" s="90"/>
    </row>
    <row r="9115" spans="7:8">
      <c r="G9115" s="87"/>
      <c r="H9115" s="90"/>
    </row>
    <row r="9116" spans="7:8">
      <c r="G9116" s="87"/>
      <c r="H9116" s="90"/>
    </row>
    <row r="9117" spans="7:8">
      <c r="G9117" s="87"/>
      <c r="H9117" s="90"/>
    </row>
    <row r="9118" spans="7:8">
      <c r="G9118" s="87"/>
      <c r="H9118" s="90"/>
    </row>
    <row r="9119" spans="7:8">
      <c r="G9119" s="87"/>
      <c r="H9119" s="90"/>
    </row>
    <row r="9120" spans="7:8">
      <c r="G9120" s="87"/>
      <c r="H9120" s="90"/>
    </row>
    <row r="9121" spans="7:8">
      <c r="G9121" s="87"/>
      <c r="H9121" s="90"/>
    </row>
    <row r="9122" spans="7:8">
      <c r="G9122" s="87"/>
      <c r="H9122" s="90"/>
    </row>
    <row r="9123" spans="7:8">
      <c r="G9123" s="87"/>
      <c r="H9123" s="90"/>
    </row>
    <row r="9124" spans="7:8">
      <c r="G9124" s="87"/>
      <c r="H9124" s="90"/>
    </row>
    <row r="9125" spans="7:8">
      <c r="G9125" s="87"/>
      <c r="H9125" s="90"/>
    </row>
    <row r="9126" spans="7:8">
      <c r="G9126" s="87"/>
      <c r="H9126" s="90"/>
    </row>
    <row r="9127" spans="7:8">
      <c r="G9127" s="87"/>
      <c r="H9127" s="90"/>
    </row>
    <row r="9128" spans="7:8">
      <c r="G9128" s="87"/>
      <c r="H9128" s="90"/>
    </row>
    <row r="9129" spans="7:8">
      <c r="G9129" s="87"/>
      <c r="H9129" s="90"/>
    </row>
    <row r="9130" spans="7:8">
      <c r="G9130" s="87"/>
      <c r="H9130" s="90"/>
    </row>
    <row r="9131" spans="7:8">
      <c r="G9131" s="87"/>
      <c r="H9131" s="90"/>
    </row>
    <row r="9132" spans="7:8">
      <c r="G9132" s="87"/>
      <c r="H9132" s="90"/>
    </row>
    <row r="9133" spans="7:8">
      <c r="G9133" s="87"/>
      <c r="H9133" s="90"/>
    </row>
    <row r="9134" spans="7:8">
      <c r="G9134" s="87"/>
      <c r="H9134" s="90"/>
    </row>
    <row r="9135" spans="7:8">
      <c r="G9135" s="87"/>
      <c r="H9135" s="90"/>
    </row>
    <row r="9136" spans="7:8">
      <c r="G9136" s="87"/>
      <c r="H9136" s="90"/>
    </row>
    <row r="9137" spans="7:8">
      <c r="G9137" s="87"/>
      <c r="H9137" s="90"/>
    </row>
    <row r="9138" spans="7:8">
      <c r="G9138" s="87"/>
      <c r="H9138" s="90"/>
    </row>
    <row r="9139" spans="7:8">
      <c r="G9139" s="87"/>
      <c r="H9139" s="90"/>
    </row>
    <row r="9140" spans="7:8">
      <c r="G9140" s="87"/>
      <c r="H9140" s="90"/>
    </row>
    <row r="9141" spans="7:8">
      <c r="G9141" s="87"/>
      <c r="H9141" s="90"/>
    </row>
    <row r="9142" spans="7:8">
      <c r="G9142" s="87"/>
      <c r="H9142" s="90"/>
    </row>
    <row r="9143" spans="7:8">
      <c r="G9143" s="87"/>
      <c r="H9143" s="90"/>
    </row>
    <row r="9144" spans="7:8">
      <c r="G9144" s="87"/>
      <c r="H9144" s="90"/>
    </row>
    <row r="9145" spans="7:8">
      <c r="G9145" s="87"/>
      <c r="H9145" s="90"/>
    </row>
    <row r="9146" spans="7:8">
      <c r="G9146" s="87"/>
      <c r="H9146" s="90"/>
    </row>
    <row r="9147" spans="7:8">
      <c r="G9147" s="87"/>
      <c r="H9147" s="90"/>
    </row>
    <row r="9148" spans="7:8">
      <c r="G9148" s="87"/>
      <c r="H9148" s="90"/>
    </row>
    <row r="9149" spans="7:8">
      <c r="G9149" s="87"/>
      <c r="H9149" s="90"/>
    </row>
    <row r="9150" spans="7:8">
      <c r="G9150" s="87"/>
      <c r="H9150" s="90"/>
    </row>
    <row r="9151" spans="7:8">
      <c r="G9151" s="87"/>
      <c r="H9151" s="90"/>
    </row>
    <row r="9152" spans="7:8">
      <c r="G9152" s="87"/>
      <c r="H9152" s="90"/>
    </row>
    <row r="9153" spans="7:8">
      <c r="G9153" s="87"/>
      <c r="H9153" s="90"/>
    </row>
    <row r="9154" spans="7:8">
      <c r="G9154" s="87"/>
      <c r="H9154" s="90"/>
    </row>
    <row r="9155" spans="7:8">
      <c r="G9155" s="87"/>
      <c r="H9155" s="90"/>
    </row>
    <row r="9156" spans="7:8">
      <c r="G9156" s="87"/>
      <c r="H9156" s="90"/>
    </row>
    <row r="9157" spans="7:8">
      <c r="G9157" s="87"/>
      <c r="H9157" s="90"/>
    </row>
    <row r="9158" spans="7:8">
      <c r="G9158" s="87"/>
      <c r="H9158" s="90"/>
    </row>
    <row r="9159" spans="7:8">
      <c r="G9159" s="87"/>
      <c r="H9159" s="90"/>
    </row>
    <row r="9160" spans="7:8">
      <c r="G9160" s="87"/>
      <c r="H9160" s="90"/>
    </row>
    <row r="9161" spans="7:8">
      <c r="G9161" s="87"/>
      <c r="H9161" s="90"/>
    </row>
    <row r="9162" spans="7:8">
      <c r="G9162" s="87"/>
      <c r="H9162" s="90"/>
    </row>
    <row r="9163" spans="7:8">
      <c r="G9163" s="87"/>
      <c r="H9163" s="90"/>
    </row>
    <row r="9164" spans="7:8">
      <c r="G9164" s="87"/>
      <c r="H9164" s="90"/>
    </row>
    <row r="9165" spans="7:8">
      <c r="G9165" s="87"/>
      <c r="H9165" s="90"/>
    </row>
    <row r="9166" spans="7:8">
      <c r="G9166" s="87"/>
      <c r="H9166" s="90"/>
    </row>
    <row r="9167" spans="7:8">
      <c r="G9167" s="87"/>
      <c r="H9167" s="90"/>
    </row>
    <row r="9168" spans="7:8">
      <c r="G9168" s="87"/>
      <c r="H9168" s="90"/>
    </row>
    <row r="9169" spans="7:8">
      <c r="G9169" s="87"/>
      <c r="H9169" s="90"/>
    </row>
    <row r="9170" spans="7:8">
      <c r="G9170" s="87"/>
      <c r="H9170" s="90"/>
    </row>
    <row r="9171" spans="7:8">
      <c r="G9171" s="87"/>
      <c r="H9171" s="90"/>
    </row>
    <row r="9172" spans="7:8">
      <c r="G9172" s="87"/>
      <c r="H9172" s="90"/>
    </row>
    <row r="9173" spans="7:8">
      <c r="G9173" s="87"/>
      <c r="H9173" s="90"/>
    </row>
    <row r="9174" spans="7:8">
      <c r="G9174" s="87"/>
      <c r="H9174" s="90"/>
    </row>
    <row r="9175" spans="7:8">
      <c r="G9175" s="87"/>
      <c r="H9175" s="90"/>
    </row>
    <row r="9176" spans="7:8">
      <c r="G9176" s="87"/>
      <c r="H9176" s="90"/>
    </row>
    <row r="9177" spans="7:8">
      <c r="G9177" s="87"/>
      <c r="H9177" s="90"/>
    </row>
    <row r="9178" spans="7:8">
      <c r="G9178" s="87"/>
      <c r="H9178" s="90"/>
    </row>
    <row r="9179" spans="7:8">
      <c r="G9179" s="87"/>
      <c r="H9179" s="90"/>
    </row>
    <row r="9180" spans="7:8">
      <c r="G9180" s="87"/>
      <c r="H9180" s="90"/>
    </row>
    <row r="9181" spans="7:8">
      <c r="G9181" s="87"/>
      <c r="H9181" s="90"/>
    </row>
    <row r="9182" spans="7:8">
      <c r="G9182" s="87"/>
      <c r="H9182" s="90"/>
    </row>
    <row r="9183" spans="7:8">
      <c r="G9183" s="87"/>
      <c r="H9183" s="90"/>
    </row>
    <row r="9184" spans="7:8">
      <c r="G9184" s="87"/>
      <c r="H9184" s="90"/>
    </row>
    <row r="9185" spans="7:8">
      <c r="G9185" s="87"/>
      <c r="H9185" s="90"/>
    </row>
    <row r="9186" spans="7:8">
      <c r="G9186" s="87"/>
      <c r="H9186" s="90"/>
    </row>
    <row r="9187" spans="7:8">
      <c r="G9187" s="87"/>
      <c r="H9187" s="90"/>
    </row>
    <row r="9188" spans="7:8">
      <c r="G9188" s="87"/>
      <c r="H9188" s="90"/>
    </row>
    <row r="9189" spans="7:8">
      <c r="G9189" s="87"/>
      <c r="H9189" s="90"/>
    </row>
    <row r="9190" spans="7:8">
      <c r="G9190" s="87"/>
      <c r="H9190" s="90"/>
    </row>
    <row r="9191" spans="7:8">
      <c r="G9191" s="87"/>
      <c r="H9191" s="90"/>
    </row>
    <row r="9192" spans="7:8">
      <c r="G9192" s="87"/>
      <c r="H9192" s="90"/>
    </row>
    <row r="9193" spans="7:8">
      <c r="G9193" s="87"/>
      <c r="H9193" s="90"/>
    </row>
    <row r="9194" spans="7:8">
      <c r="G9194" s="87"/>
      <c r="H9194" s="90"/>
    </row>
    <row r="9195" spans="7:8">
      <c r="G9195" s="87"/>
      <c r="H9195" s="90"/>
    </row>
    <row r="9196" spans="7:8">
      <c r="G9196" s="87"/>
      <c r="H9196" s="90"/>
    </row>
    <row r="9197" spans="7:8">
      <c r="G9197" s="87"/>
      <c r="H9197" s="90"/>
    </row>
    <row r="9198" spans="7:8">
      <c r="G9198" s="87"/>
      <c r="H9198" s="90"/>
    </row>
    <row r="9199" spans="7:8">
      <c r="G9199" s="87"/>
      <c r="H9199" s="90"/>
    </row>
    <row r="9200" spans="7:8">
      <c r="G9200" s="87"/>
      <c r="H9200" s="90"/>
    </row>
    <row r="9201" spans="7:8">
      <c r="G9201" s="87"/>
      <c r="H9201" s="90"/>
    </row>
    <row r="9202" spans="7:8">
      <c r="G9202" s="87"/>
      <c r="H9202" s="90"/>
    </row>
    <row r="9203" spans="7:8">
      <c r="G9203" s="87"/>
      <c r="H9203" s="90"/>
    </row>
    <row r="9204" spans="7:8">
      <c r="G9204" s="87"/>
      <c r="H9204" s="90"/>
    </row>
    <row r="9205" spans="7:8">
      <c r="G9205" s="87"/>
      <c r="H9205" s="90"/>
    </row>
    <row r="9206" spans="7:8">
      <c r="G9206" s="87"/>
      <c r="H9206" s="90"/>
    </row>
    <row r="9207" spans="7:8">
      <c r="G9207" s="87"/>
      <c r="H9207" s="90"/>
    </row>
    <row r="9208" spans="7:8">
      <c r="G9208" s="87"/>
      <c r="H9208" s="90"/>
    </row>
    <row r="9209" spans="7:8">
      <c r="G9209" s="87"/>
      <c r="H9209" s="90"/>
    </row>
    <row r="9210" spans="7:8">
      <c r="G9210" s="87"/>
      <c r="H9210" s="90"/>
    </row>
    <row r="9211" spans="7:8">
      <c r="G9211" s="87"/>
      <c r="H9211" s="90"/>
    </row>
    <row r="9212" spans="7:8">
      <c r="G9212" s="87"/>
      <c r="H9212" s="90"/>
    </row>
    <row r="9213" spans="7:8">
      <c r="G9213" s="87"/>
      <c r="H9213" s="90"/>
    </row>
    <row r="9214" spans="7:8">
      <c r="G9214" s="87"/>
      <c r="H9214" s="90"/>
    </row>
    <row r="9215" spans="7:8">
      <c r="G9215" s="87"/>
      <c r="H9215" s="90"/>
    </row>
    <row r="9216" spans="7:8">
      <c r="G9216" s="87"/>
      <c r="H9216" s="90"/>
    </row>
    <row r="9217" spans="7:8">
      <c r="G9217" s="87"/>
      <c r="H9217" s="90"/>
    </row>
    <row r="9218" spans="7:8">
      <c r="G9218" s="87"/>
      <c r="H9218" s="90"/>
    </row>
    <row r="9219" spans="7:8">
      <c r="G9219" s="87"/>
      <c r="H9219" s="90"/>
    </row>
    <row r="9220" spans="7:8">
      <c r="G9220" s="87"/>
      <c r="H9220" s="90"/>
    </row>
    <row r="9221" spans="7:8">
      <c r="G9221" s="87"/>
      <c r="H9221" s="90"/>
    </row>
    <row r="9222" spans="7:8">
      <c r="G9222" s="87"/>
      <c r="H9222" s="90"/>
    </row>
    <row r="9223" spans="7:8">
      <c r="G9223" s="87"/>
      <c r="H9223" s="90"/>
    </row>
    <row r="9224" spans="7:8">
      <c r="G9224" s="87"/>
      <c r="H9224" s="90"/>
    </row>
    <row r="9225" spans="7:8">
      <c r="G9225" s="87"/>
      <c r="H9225" s="90"/>
    </row>
    <row r="9226" spans="7:8">
      <c r="G9226" s="87"/>
      <c r="H9226" s="90"/>
    </row>
    <row r="9227" spans="7:8">
      <c r="G9227" s="87"/>
      <c r="H9227" s="90"/>
    </row>
    <row r="9228" spans="7:8">
      <c r="G9228" s="87"/>
      <c r="H9228" s="90"/>
    </row>
    <row r="9229" spans="7:8">
      <c r="G9229" s="87"/>
      <c r="H9229" s="90"/>
    </row>
    <row r="9230" spans="7:8">
      <c r="G9230" s="87"/>
      <c r="H9230" s="90"/>
    </row>
    <row r="9231" spans="7:8">
      <c r="G9231" s="87"/>
      <c r="H9231" s="90"/>
    </row>
    <row r="9232" spans="7:8">
      <c r="G9232" s="87"/>
      <c r="H9232" s="90"/>
    </row>
    <row r="9233" spans="7:8">
      <c r="G9233" s="87"/>
      <c r="H9233" s="90"/>
    </row>
    <row r="9234" spans="7:8">
      <c r="G9234" s="87"/>
      <c r="H9234" s="90"/>
    </row>
    <row r="9235" spans="7:8">
      <c r="G9235" s="87"/>
      <c r="H9235" s="90"/>
    </row>
    <row r="9236" spans="7:8">
      <c r="G9236" s="87"/>
      <c r="H9236" s="90"/>
    </row>
    <row r="9237" spans="7:8">
      <c r="G9237" s="87"/>
      <c r="H9237" s="90"/>
    </row>
    <row r="9238" spans="7:8">
      <c r="G9238" s="87"/>
      <c r="H9238" s="90"/>
    </row>
    <row r="9239" spans="7:8">
      <c r="G9239" s="87"/>
      <c r="H9239" s="90"/>
    </row>
    <row r="9240" spans="7:8">
      <c r="G9240" s="87"/>
      <c r="H9240" s="90"/>
    </row>
    <row r="9241" spans="7:8">
      <c r="G9241" s="87"/>
      <c r="H9241" s="90"/>
    </row>
    <row r="9242" spans="7:8">
      <c r="G9242" s="87"/>
      <c r="H9242" s="90"/>
    </row>
    <row r="9243" spans="7:8">
      <c r="G9243" s="87"/>
      <c r="H9243" s="90"/>
    </row>
    <row r="9244" spans="7:8">
      <c r="G9244" s="87"/>
      <c r="H9244" s="90"/>
    </row>
    <row r="9245" spans="7:8">
      <c r="G9245" s="87"/>
      <c r="H9245" s="90"/>
    </row>
    <row r="9246" spans="7:8">
      <c r="G9246" s="87"/>
      <c r="H9246" s="90"/>
    </row>
    <row r="9247" spans="7:8">
      <c r="G9247" s="87"/>
      <c r="H9247" s="90"/>
    </row>
    <row r="9248" spans="7:8">
      <c r="G9248" s="87"/>
      <c r="H9248" s="90"/>
    </row>
    <row r="9249" spans="7:8">
      <c r="G9249" s="87"/>
      <c r="H9249" s="90"/>
    </row>
    <row r="9250" spans="7:8">
      <c r="G9250" s="87"/>
      <c r="H9250" s="90"/>
    </row>
    <row r="9251" spans="7:8">
      <c r="G9251" s="87"/>
      <c r="H9251" s="90"/>
    </row>
    <row r="9252" spans="7:8">
      <c r="G9252" s="87"/>
      <c r="H9252" s="90"/>
    </row>
    <row r="9253" spans="7:8">
      <c r="G9253" s="87"/>
      <c r="H9253" s="90"/>
    </row>
    <row r="9254" spans="7:8">
      <c r="G9254" s="87"/>
      <c r="H9254" s="90"/>
    </row>
    <row r="9255" spans="7:8">
      <c r="G9255" s="87"/>
      <c r="H9255" s="90"/>
    </row>
    <row r="9256" spans="7:8">
      <c r="G9256" s="87"/>
      <c r="H9256" s="90"/>
    </row>
    <row r="9257" spans="7:8">
      <c r="G9257" s="87"/>
      <c r="H9257" s="90"/>
    </row>
    <row r="9258" spans="7:8">
      <c r="G9258" s="87"/>
      <c r="H9258" s="90"/>
    </row>
    <row r="9259" spans="7:8">
      <c r="G9259" s="87"/>
      <c r="H9259" s="90"/>
    </row>
    <row r="9260" spans="7:8">
      <c r="G9260" s="87"/>
      <c r="H9260" s="90"/>
    </row>
    <row r="9261" spans="7:8">
      <c r="G9261" s="87"/>
      <c r="H9261" s="90"/>
    </row>
    <row r="9262" spans="7:8">
      <c r="G9262" s="87"/>
      <c r="H9262" s="90"/>
    </row>
    <row r="9263" spans="7:8">
      <c r="G9263" s="87"/>
      <c r="H9263" s="90"/>
    </row>
    <row r="9264" spans="7:8">
      <c r="G9264" s="87"/>
      <c r="H9264" s="90"/>
    </row>
    <row r="9265" spans="7:8">
      <c r="G9265" s="87"/>
      <c r="H9265" s="90"/>
    </row>
    <row r="9266" spans="7:8">
      <c r="G9266" s="87"/>
      <c r="H9266" s="90"/>
    </row>
    <row r="9267" spans="7:8">
      <c r="G9267" s="87"/>
      <c r="H9267" s="90"/>
    </row>
    <row r="9268" spans="7:8">
      <c r="G9268" s="87"/>
      <c r="H9268" s="90"/>
    </row>
    <row r="9269" spans="7:8">
      <c r="G9269" s="87"/>
      <c r="H9269" s="90"/>
    </row>
    <row r="9270" spans="7:8">
      <c r="G9270" s="87"/>
      <c r="H9270" s="90"/>
    </row>
    <row r="9271" spans="7:8">
      <c r="G9271" s="87"/>
      <c r="H9271" s="90"/>
    </row>
    <row r="9272" spans="7:8">
      <c r="G9272" s="87"/>
      <c r="H9272" s="90"/>
    </row>
    <row r="9273" spans="7:8">
      <c r="G9273" s="87"/>
      <c r="H9273" s="90"/>
    </row>
    <row r="9274" spans="7:8">
      <c r="G9274" s="87"/>
      <c r="H9274" s="90"/>
    </row>
    <row r="9275" spans="7:8">
      <c r="G9275" s="87"/>
      <c r="H9275" s="90"/>
    </row>
    <row r="9276" spans="7:8">
      <c r="G9276" s="87"/>
      <c r="H9276" s="90"/>
    </row>
    <row r="9277" spans="7:8">
      <c r="G9277" s="87"/>
      <c r="H9277" s="90"/>
    </row>
    <row r="9278" spans="7:8">
      <c r="G9278" s="87"/>
      <c r="H9278" s="90"/>
    </row>
    <row r="9279" spans="7:8">
      <c r="G9279" s="87"/>
      <c r="H9279" s="90"/>
    </row>
    <row r="9280" spans="7:8">
      <c r="G9280" s="87"/>
      <c r="H9280" s="90"/>
    </row>
    <row r="9281" spans="7:8">
      <c r="G9281" s="87"/>
      <c r="H9281" s="90"/>
    </row>
    <row r="9282" spans="7:8">
      <c r="G9282" s="87"/>
      <c r="H9282" s="90"/>
    </row>
    <row r="9283" spans="7:8">
      <c r="G9283" s="87"/>
      <c r="H9283" s="90"/>
    </row>
    <row r="9284" spans="7:8">
      <c r="G9284" s="87"/>
      <c r="H9284" s="90"/>
    </row>
    <row r="9285" spans="7:8">
      <c r="G9285" s="87"/>
      <c r="H9285" s="90"/>
    </row>
    <row r="9286" spans="7:8">
      <c r="G9286" s="87"/>
      <c r="H9286" s="90"/>
    </row>
    <row r="9287" spans="7:8">
      <c r="G9287" s="87"/>
      <c r="H9287" s="90"/>
    </row>
    <row r="9288" spans="7:8">
      <c r="G9288" s="87"/>
      <c r="H9288" s="90"/>
    </row>
    <row r="9289" spans="7:8">
      <c r="G9289" s="87"/>
      <c r="H9289" s="90"/>
    </row>
    <row r="9290" spans="7:8">
      <c r="G9290" s="87"/>
      <c r="H9290" s="90"/>
    </row>
    <row r="9291" spans="7:8">
      <c r="G9291" s="87"/>
      <c r="H9291" s="90"/>
    </row>
    <row r="9292" spans="7:8">
      <c r="G9292" s="87"/>
      <c r="H9292" s="90"/>
    </row>
    <row r="9293" spans="7:8">
      <c r="G9293" s="87"/>
      <c r="H9293" s="90"/>
    </row>
    <row r="9294" spans="7:8">
      <c r="G9294" s="87"/>
      <c r="H9294" s="90"/>
    </row>
    <row r="9295" spans="7:8">
      <c r="G9295" s="87"/>
      <c r="H9295" s="90"/>
    </row>
    <row r="9296" spans="7:8">
      <c r="G9296" s="87"/>
      <c r="H9296" s="90"/>
    </row>
    <row r="9297" spans="7:8">
      <c r="G9297" s="87"/>
      <c r="H9297" s="90"/>
    </row>
    <row r="9298" spans="7:8">
      <c r="G9298" s="87"/>
      <c r="H9298" s="90"/>
    </row>
    <row r="9299" spans="7:8">
      <c r="G9299" s="87"/>
      <c r="H9299" s="90"/>
    </row>
    <row r="9300" spans="7:8">
      <c r="G9300" s="87"/>
      <c r="H9300" s="90"/>
    </row>
    <row r="9301" spans="7:8">
      <c r="G9301" s="87"/>
      <c r="H9301" s="90"/>
    </row>
    <row r="9302" spans="7:8">
      <c r="G9302" s="87"/>
      <c r="H9302" s="90"/>
    </row>
    <row r="9303" spans="7:8">
      <c r="G9303" s="87"/>
      <c r="H9303" s="90"/>
    </row>
    <row r="9304" spans="7:8">
      <c r="G9304" s="87"/>
      <c r="H9304" s="90"/>
    </row>
    <row r="9305" spans="7:8">
      <c r="G9305" s="87"/>
      <c r="H9305" s="90"/>
    </row>
    <row r="9306" spans="7:8">
      <c r="G9306" s="87"/>
      <c r="H9306" s="90"/>
    </row>
    <row r="9307" spans="7:8">
      <c r="G9307" s="87"/>
      <c r="H9307" s="90"/>
    </row>
    <row r="9308" spans="7:8">
      <c r="G9308" s="87"/>
      <c r="H9308" s="90"/>
    </row>
    <row r="9309" spans="7:8">
      <c r="G9309" s="87"/>
      <c r="H9309" s="90"/>
    </row>
    <row r="9310" spans="7:8">
      <c r="G9310" s="87"/>
      <c r="H9310" s="90"/>
    </row>
    <row r="9311" spans="7:8">
      <c r="G9311" s="87"/>
      <c r="H9311" s="90"/>
    </row>
    <row r="9312" spans="7:8">
      <c r="G9312" s="87"/>
      <c r="H9312" s="90"/>
    </row>
    <row r="9313" spans="7:8">
      <c r="G9313" s="87"/>
      <c r="H9313" s="90"/>
    </row>
    <row r="9314" spans="7:8">
      <c r="G9314" s="87"/>
      <c r="H9314" s="90"/>
    </row>
    <row r="9315" spans="7:8">
      <c r="G9315" s="87"/>
      <c r="H9315" s="90"/>
    </row>
    <row r="9316" spans="7:8">
      <c r="G9316" s="87"/>
      <c r="H9316" s="90"/>
    </row>
    <row r="9317" spans="7:8">
      <c r="G9317" s="87"/>
      <c r="H9317" s="90"/>
    </row>
    <row r="9318" spans="7:8">
      <c r="G9318" s="87"/>
      <c r="H9318" s="90"/>
    </row>
    <row r="9319" spans="7:8">
      <c r="G9319" s="87"/>
      <c r="H9319" s="90"/>
    </row>
    <row r="9320" spans="7:8">
      <c r="G9320" s="87"/>
      <c r="H9320" s="90"/>
    </row>
    <row r="9321" spans="7:8">
      <c r="G9321" s="87"/>
      <c r="H9321" s="90"/>
    </row>
    <row r="9322" spans="7:8">
      <c r="G9322" s="87"/>
      <c r="H9322" s="90"/>
    </row>
    <row r="9323" spans="7:8">
      <c r="G9323" s="87"/>
      <c r="H9323" s="90"/>
    </row>
    <row r="9324" spans="7:8">
      <c r="G9324" s="87"/>
      <c r="H9324" s="90"/>
    </row>
    <row r="9325" spans="7:8">
      <c r="G9325" s="87"/>
      <c r="H9325" s="90"/>
    </row>
    <row r="9326" spans="7:8">
      <c r="G9326" s="87"/>
      <c r="H9326" s="90"/>
    </row>
    <row r="9327" spans="7:8">
      <c r="G9327" s="87"/>
      <c r="H9327" s="90"/>
    </row>
    <row r="9328" spans="7:8">
      <c r="G9328" s="87"/>
      <c r="H9328" s="90"/>
    </row>
    <row r="9329" spans="7:8">
      <c r="G9329" s="87"/>
      <c r="H9329" s="90"/>
    </row>
    <row r="9330" spans="7:8">
      <c r="G9330" s="87"/>
      <c r="H9330" s="90"/>
    </row>
    <row r="9331" spans="7:8">
      <c r="G9331" s="87"/>
      <c r="H9331" s="90"/>
    </row>
    <row r="9332" spans="7:8">
      <c r="G9332" s="87"/>
      <c r="H9332" s="90"/>
    </row>
    <row r="9333" spans="7:8">
      <c r="G9333" s="87"/>
      <c r="H9333" s="90"/>
    </row>
    <row r="9334" spans="7:8">
      <c r="G9334" s="87"/>
      <c r="H9334" s="90"/>
    </row>
    <row r="9335" spans="7:8">
      <c r="G9335" s="87"/>
      <c r="H9335" s="90"/>
    </row>
    <row r="9336" spans="7:8">
      <c r="G9336" s="87"/>
      <c r="H9336" s="90"/>
    </row>
    <row r="9337" spans="7:8">
      <c r="G9337" s="87"/>
      <c r="H9337" s="90"/>
    </row>
    <row r="9338" spans="7:8">
      <c r="G9338" s="87"/>
      <c r="H9338" s="90"/>
    </row>
    <row r="9339" spans="7:8">
      <c r="G9339" s="87"/>
      <c r="H9339" s="90"/>
    </row>
    <row r="9340" spans="7:8">
      <c r="G9340" s="87"/>
      <c r="H9340" s="90"/>
    </row>
    <row r="9341" spans="7:8">
      <c r="G9341" s="87"/>
      <c r="H9341" s="90"/>
    </row>
    <row r="9342" spans="7:8">
      <c r="G9342" s="87"/>
      <c r="H9342" s="90"/>
    </row>
    <row r="9343" spans="7:8">
      <c r="G9343" s="87"/>
      <c r="H9343" s="90"/>
    </row>
    <row r="9344" spans="7:8">
      <c r="G9344" s="87"/>
      <c r="H9344" s="90"/>
    </row>
    <row r="9345" spans="7:8">
      <c r="G9345" s="87"/>
      <c r="H9345" s="90"/>
    </row>
    <row r="9346" spans="7:8">
      <c r="G9346" s="87"/>
      <c r="H9346" s="90"/>
    </row>
    <row r="9347" spans="7:8">
      <c r="G9347" s="87"/>
      <c r="H9347" s="90"/>
    </row>
    <row r="9348" spans="7:8">
      <c r="G9348" s="87"/>
      <c r="H9348" s="90"/>
    </row>
    <row r="9349" spans="7:8">
      <c r="G9349" s="87"/>
      <c r="H9349" s="90"/>
    </row>
    <row r="9350" spans="7:8">
      <c r="G9350" s="87"/>
      <c r="H9350" s="90"/>
    </row>
    <row r="9351" spans="7:8">
      <c r="G9351" s="87"/>
      <c r="H9351" s="90"/>
    </row>
    <row r="9352" spans="7:8">
      <c r="G9352" s="87"/>
      <c r="H9352" s="90"/>
    </row>
    <row r="9353" spans="7:8">
      <c r="G9353" s="87"/>
      <c r="H9353" s="90"/>
    </row>
    <row r="9354" spans="7:8">
      <c r="G9354" s="87"/>
      <c r="H9354" s="90"/>
    </row>
    <row r="9355" spans="7:8">
      <c r="G9355" s="87"/>
      <c r="H9355" s="90"/>
    </row>
    <row r="9356" spans="7:8">
      <c r="G9356" s="87"/>
      <c r="H9356" s="90"/>
    </row>
    <row r="9357" spans="7:8">
      <c r="G9357" s="87"/>
      <c r="H9357" s="90"/>
    </row>
    <row r="9358" spans="7:8">
      <c r="G9358" s="87"/>
      <c r="H9358" s="90"/>
    </row>
    <row r="9359" spans="7:8">
      <c r="G9359" s="87"/>
      <c r="H9359" s="90"/>
    </row>
    <row r="9360" spans="7:8">
      <c r="G9360" s="87"/>
      <c r="H9360" s="90"/>
    </row>
    <row r="9361" spans="7:8">
      <c r="G9361" s="87"/>
      <c r="H9361" s="90"/>
    </row>
    <row r="9362" spans="7:8">
      <c r="G9362" s="87"/>
      <c r="H9362" s="90"/>
    </row>
    <row r="9363" spans="7:8">
      <c r="G9363" s="87"/>
      <c r="H9363" s="90"/>
    </row>
    <row r="9364" spans="7:8">
      <c r="G9364" s="87"/>
      <c r="H9364" s="90"/>
    </row>
    <row r="9365" spans="7:8">
      <c r="G9365" s="87"/>
      <c r="H9365" s="90"/>
    </row>
    <row r="9366" spans="7:8">
      <c r="G9366" s="87"/>
      <c r="H9366" s="90"/>
    </row>
    <row r="9367" spans="7:8">
      <c r="G9367" s="87"/>
      <c r="H9367" s="90"/>
    </row>
    <row r="9368" spans="7:8">
      <c r="G9368" s="87"/>
      <c r="H9368" s="90"/>
    </row>
    <row r="9369" spans="7:8">
      <c r="G9369" s="87"/>
      <c r="H9369" s="90"/>
    </row>
    <row r="9370" spans="7:8">
      <c r="G9370" s="87"/>
      <c r="H9370" s="90"/>
    </row>
    <row r="9371" spans="7:8">
      <c r="G9371" s="87"/>
      <c r="H9371" s="90"/>
    </row>
    <row r="9372" spans="7:8">
      <c r="G9372" s="87"/>
      <c r="H9372" s="90"/>
    </row>
    <row r="9373" spans="7:8">
      <c r="G9373" s="87"/>
      <c r="H9373" s="90"/>
    </row>
    <row r="9374" spans="7:8">
      <c r="G9374" s="87"/>
      <c r="H9374" s="90"/>
    </row>
    <row r="9375" spans="7:8">
      <c r="G9375" s="87"/>
      <c r="H9375" s="90"/>
    </row>
    <row r="9376" spans="7:8">
      <c r="G9376" s="87"/>
      <c r="H9376" s="90"/>
    </row>
    <row r="9377" spans="7:8">
      <c r="G9377" s="87"/>
      <c r="H9377" s="90"/>
    </row>
    <row r="9378" spans="7:8">
      <c r="G9378" s="87"/>
      <c r="H9378" s="90"/>
    </row>
    <row r="9379" spans="7:8">
      <c r="G9379" s="87"/>
      <c r="H9379" s="90"/>
    </row>
    <row r="9380" spans="7:8">
      <c r="G9380" s="87"/>
      <c r="H9380" s="90"/>
    </row>
    <row r="9381" spans="7:8">
      <c r="G9381" s="87"/>
      <c r="H9381" s="90"/>
    </row>
    <row r="9382" spans="7:8">
      <c r="G9382" s="87"/>
      <c r="H9382" s="90"/>
    </row>
    <row r="9383" spans="7:8">
      <c r="G9383" s="87"/>
      <c r="H9383" s="90"/>
    </row>
    <row r="9384" spans="7:8">
      <c r="G9384" s="87"/>
      <c r="H9384" s="90"/>
    </row>
    <row r="9385" spans="7:8">
      <c r="G9385" s="87"/>
      <c r="H9385" s="90"/>
    </row>
    <row r="9386" spans="7:8">
      <c r="G9386" s="87"/>
      <c r="H9386" s="90"/>
    </row>
    <row r="9387" spans="7:8">
      <c r="G9387" s="87"/>
      <c r="H9387" s="90"/>
    </row>
    <row r="9388" spans="7:8">
      <c r="G9388" s="87"/>
      <c r="H9388" s="90"/>
    </row>
    <row r="9389" spans="7:8">
      <c r="G9389" s="87"/>
      <c r="H9389" s="90"/>
    </row>
    <row r="9390" spans="7:8">
      <c r="G9390" s="87"/>
      <c r="H9390" s="90"/>
    </row>
    <row r="9391" spans="7:8">
      <c r="G9391" s="87"/>
      <c r="H9391" s="90"/>
    </row>
    <row r="9392" spans="7:8">
      <c r="G9392" s="87"/>
      <c r="H9392" s="90"/>
    </row>
    <row r="9393" spans="7:8">
      <c r="G9393" s="87"/>
      <c r="H9393" s="90"/>
    </row>
    <row r="9394" spans="7:8">
      <c r="G9394" s="87"/>
      <c r="H9394" s="90"/>
    </row>
    <row r="9395" spans="7:8">
      <c r="G9395" s="87"/>
      <c r="H9395" s="90"/>
    </row>
    <row r="9396" spans="7:8">
      <c r="G9396" s="87"/>
      <c r="H9396" s="90"/>
    </row>
    <row r="9397" spans="7:8">
      <c r="G9397" s="87"/>
      <c r="H9397" s="90"/>
    </row>
    <row r="9398" spans="7:8">
      <c r="G9398" s="87"/>
      <c r="H9398" s="90"/>
    </row>
    <row r="9399" spans="7:8">
      <c r="G9399" s="87"/>
      <c r="H9399" s="90"/>
    </row>
    <row r="9400" spans="7:8">
      <c r="G9400" s="87"/>
      <c r="H9400" s="90"/>
    </row>
    <row r="9401" spans="7:8">
      <c r="G9401" s="87"/>
      <c r="H9401" s="90"/>
    </row>
    <row r="9402" spans="7:8">
      <c r="G9402" s="87"/>
      <c r="H9402" s="90"/>
    </row>
    <row r="9403" spans="7:8">
      <c r="G9403" s="87"/>
      <c r="H9403" s="90"/>
    </row>
    <row r="9404" spans="7:8">
      <c r="G9404" s="87"/>
      <c r="H9404" s="90"/>
    </row>
    <row r="9405" spans="7:8">
      <c r="G9405" s="87"/>
      <c r="H9405" s="90"/>
    </row>
    <row r="9406" spans="7:8">
      <c r="G9406" s="87"/>
      <c r="H9406" s="90"/>
    </row>
    <row r="9407" spans="7:8">
      <c r="G9407" s="87"/>
      <c r="H9407" s="90"/>
    </row>
    <row r="9408" spans="7:8">
      <c r="G9408" s="87"/>
      <c r="H9408" s="90"/>
    </row>
    <row r="9409" spans="7:8">
      <c r="G9409" s="87"/>
      <c r="H9409" s="90"/>
    </row>
    <row r="9410" spans="7:8">
      <c r="G9410" s="87"/>
      <c r="H9410" s="90"/>
    </row>
    <row r="9411" spans="7:8">
      <c r="G9411" s="87"/>
      <c r="H9411" s="90"/>
    </row>
    <row r="9412" spans="7:8">
      <c r="G9412" s="87"/>
      <c r="H9412" s="90"/>
    </row>
    <row r="9413" spans="7:8">
      <c r="G9413" s="87"/>
      <c r="H9413" s="90"/>
    </row>
    <row r="9414" spans="7:8">
      <c r="G9414" s="87"/>
      <c r="H9414" s="90"/>
    </row>
    <row r="9415" spans="7:8">
      <c r="G9415" s="87"/>
      <c r="H9415" s="90"/>
    </row>
    <row r="9416" spans="7:8">
      <c r="G9416" s="87"/>
      <c r="H9416" s="90"/>
    </row>
    <row r="9417" spans="7:8">
      <c r="G9417" s="87"/>
      <c r="H9417" s="90"/>
    </row>
    <row r="9418" spans="7:8">
      <c r="G9418" s="87"/>
      <c r="H9418" s="90"/>
    </row>
    <row r="9419" spans="7:8">
      <c r="G9419" s="87"/>
      <c r="H9419" s="90"/>
    </row>
    <row r="9420" spans="7:8">
      <c r="G9420" s="87"/>
      <c r="H9420" s="90"/>
    </row>
    <row r="9421" spans="7:8">
      <c r="G9421" s="87"/>
      <c r="H9421" s="90"/>
    </row>
    <row r="9422" spans="7:8">
      <c r="G9422" s="87"/>
      <c r="H9422" s="90"/>
    </row>
    <row r="9423" spans="7:8">
      <c r="G9423" s="87"/>
      <c r="H9423" s="90"/>
    </row>
    <row r="9424" spans="7:8">
      <c r="G9424" s="87"/>
      <c r="H9424" s="90"/>
    </row>
    <row r="9425" spans="7:8">
      <c r="G9425" s="87"/>
      <c r="H9425" s="90"/>
    </row>
    <row r="9426" spans="7:8">
      <c r="G9426" s="87"/>
      <c r="H9426" s="90"/>
    </row>
    <row r="9427" spans="7:8">
      <c r="G9427" s="87"/>
      <c r="H9427" s="90"/>
    </row>
    <row r="9428" spans="7:8">
      <c r="G9428" s="87"/>
      <c r="H9428" s="90"/>
    </row>
    <row r="9429" spans="7:8">
      <c r="G9429" s="87"/>
      <c r="H9429" s="90"/>
    </row>
    <row r="9430" spans="7:8">
      <c r="G9430" s="87"/>
      <c r="H9430" s="90"/>
    </row>
    <row r="9431" spans="7:8">
      <c r="G9431" s="87"/>
      <c r="H9431" s="90"/>
    </row>
    <row r="9432" spans="7:8">
      <c r="G9432" s="87"/>
      <c r="H9432" s="90"/>
    </row>
    <row r="9433" spans="7:8">
      <c r="G9433" s="87"/>
      <c r="H9433" s="90"/>
    </row>
    <row r="9434" spans="7:8">
      <c r="G9434" s="87"/>
      <c r="H9434" s="90"/>
    </row>
    <row r="9435" spans="7:8">
      <c r="G9435" s="87"/>
      <c r="H9435" s="90"/>
    </row>
    <row r="9436" spans="7:8">
      <c r="G9436" s="87"/>
      <c r="H9436" s="90"/>
    </row>
    <row r="9437" spans="7:8">
      <c r="G9437" s="87"/>
      <c r="H9437" s="90"/>
    </row>
    <row r="9438" spans="7:8">
      <c r="G9438" s="87"/>
      <c r="H9438" s="90"/>
    </row>
    <row r="9439" spans="7:8">
      <c r="G9439" s="87"/>
      <c r="H9439" s="90"/>
    </row>
    <row r="9440" spans="7:8">
      <c r="G9440" s="87"/>
      <c r="H9440" s="90"/>
    </row>
    <row r="9441" spans="7:8">
      <c r="G9441" s="87"/>
      <c r="H9441" s="90"/>
    </row>
    <row r="9442" spans="7:8">
      <c r="G9442" s="87"/>
      <c r="H9442" s="90"/>
    </row>
    <row r="9443" spans="7:8">
      <c r="G9443" s="87"/>
      <c r="H9443" s="90"/>
    </row>
    <row r="9444" spans="7:8">
      <c r="G9444" s="87"/>
      <c r="H9444" s="90"/>
    </row>
    <row r="9445" spans="7:8">
      <c r="G9445" s="87"/>
      <c r="H9445" s="90"/>
    </row>
    <row r="9446" spans="7:8">
      <c r="G9446" s="87"/>
      <c r="H9446" s="90"/>
    </row>
    <row r="9447" spans="7:8">
      <c r="G9447" s="87"/>
      <c r="H9447" s="90"/>
    </row>
    <row r="9448" spans="7:8">
      <c r="G9448" s="87"/>
      <c r="H9448" s="90"/>
    </row>
    <row r="9449" spans="7:8">
      <c r="G9449" s="87"/>
      <c r="H9449" s="90"/>
    </row>
    <row r="9450" spans="7:8">
      <c r="G9450" s="87"/>
      <c r="H9450" s="90"/>
    </row>
    <row r="9451" spans="7:8">
      <c r="G9451" s="87"/>
      <c r="H9451" s="90"/>
    </row>
    <row r="9452" spans="7:8">
      <c r="G9452" s="87"/>
      <c r="H9452" s="90"/>
    </row>
    <row r="9453" spans="7:8">
      <c r="G9453" s="87"/>
      <c r="H9453" s="90"/>
    </row>
    <row r="9454" spans="7:8">
      <c r="G9454" s="87"/>
      <c r="H9454" s="90"/>
    </row>
    <row r="9455" spans="7:8">
      <c r="G9455" s="87"/>
      <c r="H9455" s="90"/>
    </row>
    <row r="9456" spans="7:8">
      <c r="G9456" s="87"/>
      <c r="H9456" s="90"/>
    </row>
    <row r="9457" spans="7:8">
      <c r="G9457" s="87"/>
      <c r="H9457" s="90"/>
    </row>
    <row r="9458" spans="7:8">
      <c r="G9458" s="87"/>
      <c r="H9458" s="90"/>
    </row>
    <row r="9459" spans="7:8">
      <c r="G9459" s="87"/>
      <c r="H9459" s="90"/>
    </row>
    <row r="9460" spans="7:8">
      <c r="G9460" s="87"/>
      <c r="H9460" s="90"/>
    </row>
    <row r="9461" spans="7:8">
      <c r="G9461" s="87"/>
      <c r="H9461" s="90"/>
    </row>
    <row r="9462" spans="7:8">
      <c r="G9462" s="87"/>
      <c r="H9462" s="90"/>
    </row>
    <row r="9463" spans="7:8">
      <c r="G9463" s="87"/>
      <c r="H9463" s="90"/>
    </row>
    <row r="9464" spans="7:8">
      <c r="G9464" s="87"/>
      <c r="H9464" s="90"/>
    </row>
    <row r="9465" spans="7:8">
      <c r="G9465" s="87"/>
      <c r="H9465" s="90"/>
    </row>
    <row r="9466" spans="7:8">
      <c r="G9466" s="87"/>
      <c r="H9466" s="90"/>
    </row>
    <row r="9467" spans="7:8">
      <c r="G9467" s="87"/>
      <c r="H9467" s="90"/>
    </row>
    <row r="9468" spans="7:8">
      <c r="G9468" s="87"/>
      <c r="H9468" s="90"/>
    </row>
    <row r="9469" spans="7:8">
      <c r="G9469" s="87"/>
      <c r="H9469" s="90"/>
    </row>
    <row r="9470" spans="7:8">
      <c r="G9470" s="87"/>
      <c r="H9470" s="90"/>
    </row>
    <row r="9471" spans="7:8">
      <c r="G9471" s="87"/>
      <c r="H9471" s="90"/>
    </row>
    <row r="9472" spans="7:8">
      <c r="G9472" s="87"/>
      <c r="H9472" s="90"/>
    </row>
    <row r="9473" spans="7:8">
      <c r="G9473" s="87"/>
      <c r="H9473" s="90"/>
    </row>
    <row r="9474" spans="7:8">
      <c r="G9474" s="87"/>
      <c r="H9474" s="90"/>
    </row>
    <row r="9475" spans="7:8">
      <c r="G9475" s="87"/>
      <c r="H9475" s="90"/>
    </row>
    <row r="9476" spans="7:8">
      <c r="G9476" s="87"/>
      <c r="H9476" s="90"/>
    </row>
    <row r="9477" spans="7:8">
      <c r="G9477" s="87"/>
      <c r="H9477" s="90"/>
    </row>
    <row r="9478" spans="7:8">
      <c r="G9478" s="87"/>
      <c r="H9478" s="90"/>
    </row>
    <row r="9479" spans="7:8">
      <c r="G9479" s="87"/>
      <c r="H9479" s="90"/>
    </row>
    <row r="9480" spans="7:8">
      <c r="G9480" s="87"/>
      <c r="H9480" s="90"/>
    </row>
    <row r="9481" spans="7:8">
      <c r="G9481" s="87"/>
      <c r="H9481" s="90"/>
    </row>
    <row r="9482" spans="7:8">
      <c r="G9482" s="87"/>
      <c r="H9482" s="90"/>
    </row>
    <row r="9483" spans="7:8">
      <c r="G9483" s="87"/>
      <c r="H9483" s="90"/>
    </row>
    <row r="9484" spans="7:8">
      <c r="G9484" s="87"/>
      <c r="H9484" s="90"/>
    </row>
    <row r="9485" spans="7:8">
      <c r="G9485" s="87"/>
      <c r="H9485" s="90"/>
    </row>
    <row r="9486" spans="7:8">
      <c r="G9486" s="87"/>
      <c r="H9486" s="90"/>
    </row>
    <row r="9487" spans="7:8">
      <c r="G9487" s="87"/>
      <c r="H9487" s="90"/>
    </row>
    <row r="9488" spans="7:8">
      <c r="G9488" s="87"/>
      <c r="H9488" s="90"/>
    </row>
    <row r="9489" spans="7:8">
      <c r="G9489" s="87"/>
      <c r="H9489" s="90"/>
    </row>
    <row r="9490" spans="7:8">
      <c r="G9490" s="87"/>
      <c r="H9490" s="90"/>
    </row>
    <row r="9491" spans="7:8">
      <c r="G9491" s="87"/>
      <c r="H9491" s="90"/>
    </row>
    <row r="9492" spans="7:8">
      <c r="G9492" s="87"/>
      <c r="H9492" s="90"/>
    </row>
    <row r="9493" spans="7:8">
      <c r="G9493" s="87"/>
      <c r="H9493" s="90"/>
    </row>
    <row r="9494" spans="7:8">
      <c r="G9494" s="87"/>
      <c r="H9494" s="90"/>
    </row>
    <row r="9495" spans="7:8">
      <c r="G9495" s="87"/>
      <c r="H9495" s="90"/>
    </row>
    <row r="9496" spans="7:8">
      <c r="G9496" s="87"/>
      <c r="H9496" s="90"/>
    </row>
    <row r="9497" spans="7:8">
      <c r="G9497" s="87"/>
      <c r="H9497" s="90"/>
    </row>
    <row r="9498" spans="7:8">
      <c r="G9498" s="87"/>
      <c r="H9498" s="90"/>
    </row>
    <row r="9499" spans="7:8">
      <c r="G9499" s="87"/>
      <c r="H9499" s="90"/>
    </row>
    <row r="9500" spans="7:8">
      <c r="G9500" s="87"/>
      <c r="H9500" s="90"/>
    </row>
    <row r="9501" spans="7:8">
      <c r="G9501" s="87"/>
      <c r="H9501" s="90"/>
    </row>
    <row r="9502" spans="7:8">
      <c r="G9502" s="87"/>
      <c r="H9502" s="90"/>
    </row>
    <row r="9503" spans="7:8">
      <c r="G9503" s="87"/>
      <c r="H9503" s="90"/>
    </row>
    <row r="9504" spans="7:8">
      <c r="G9504" s="87"/>
      <c r="H9504" s="90"/>
    </row>
    <row r="9505" spans="7:8">
      <c r="G9505" s="87"/>
      <c r="H9505" s="90"/>
    </row>
    <row r="9506" spans="7:8">
      <c r="G9506" s="87"/>
      <c r="H9506" s="90"/>
    </row>
    <row r="9507" spans="7:8">
      <c r="G9507" s="87"/>
      <c r="H9507" s="90"/>
    </row>
    <row r="9508" spans="7:8">
      <c r="G9508" s="87"/>
      <c r="H9508" s="90"/>
    </row>
    <row r="9509" spans="7:8">
      <c r="G9509" s="87"/>
      <c r="H9509" s="90"/>
    </row>
    <row r="9510" spans="7:8">
      <c r="G9510" s="87"/>
      <c r="H9510" s="90"/>
    </row>
    <row r="9511" spans="7:8">
      <c r="G9511" s="87"/>
      <c r="H9511" s="90"/>
    </row>
    <row r="9512" spans="7:8">
      <c r="G9512" s="87"/>
      <c r="H9512" s="90"/>
    </row>
    <row r="9513" spans="7:8">
      <c r="G9513" s="87"/>
      <c r="H9513" s="90"/>
    </row>
    <row r="9514" spans="7:8">
      <c r="G9514" s="87"/>
      <c r="H9514" s="90"/>
    </row>
    <row r="9515" spans="7:8">
      <c r="G9515" s="87"/>
      <c r="H9515" s="90"/>
    </row>
    <row r="9516" spans="7:8">
      <c r="G9516" s="87"/>
      <c r="H9516" s="90"/>
    </row>
    <row r="9517" spans="7:8">
      <c r="G9517" s="87"/>
      <c r="H9517" s="90"/>
    </row>
    <row r="9518" spans="7:8">
      <c r="G9518" s="87"/>
      <c r="H9518" s="90"/>
    </row>
    <row r="9519" spans="7:8">
      <c r="G9519" s="87"/>
      <c r="H9519" s="90"/>
    </row>
    <row r="9520" spans="7:8">
      <c r="G9520" s="87"/>
      <c r="H9520" s="90"/>
    </row>
    <row r="9521" spans="7:8">
      <c r="G9521" s="87"/>
      <c r="H9521" s="90"/>
    </row>
    <row r="9522" spans="7:8">
      <c r="G9522" s="87"/>
      <c r="H9522" s="90"/>
    </row>
    <row r="9523" spans="7:8">
      <c r="G9523" s="87"/>
      <c r="H9523" s="90"/>
    </row>
    <row r="9524" spans="7:8">
      <c r="G9524" s="87"/>
      <c r="H9524" s="90"/>
    </row>
    <row r="9525" spans="7:8">
      <c r="G9525" s="87"/>
      <c r="H9525" s="90"/>
    </row>
    <row r="9526" spans="7:8">
      <c r="G9526" s="87"/>
      <c r="H9526" s="90"/>
    </row>
    <row r="9527" spans="7:8">
      <c r="G9527" s="87"/>
      <c r="H9527" s="90"/>
    </row>
    <row r="9528" spans="7:8">
      <c r="G9528" s="87"/>
      <c r="H9528" s="90"/>
    </row>
    <row r="9529" spans="7:8">
      <c r="G9529" s="87"/>
      <c r="H9529" s="90"/>
    </row>
    <row r="9530" spans="7:8">
      <c r="G9530" s="87"/>
      <c r="H9530" s="90"/>
    </row>
    <row r="9531" spans="7:8">
      <c r="G9531" s="87"/>
      <c r="H9531" s="90"/>
    </row>
    <row r="9532" spans="7:8">
      <c r="G9532" s="87"/>
      <c r="H9532" s="90"/>
    </row>
    <row r="9533" spans="7:8">
      <c r="G9533" s="87"/>
      <c r="H9533" s="90"/>
    </row>
    <row r="9534" spans="7:8">
      <c r="G9534" s="87"/>
      <c r="H9534" s="90"/>
    </row>
    <row r="9535" spans="7:8">
      <c r="G9535" s="87"/>
      <c r="H9535" s="90"/>
    </row>
    <row r="9536" spans="7:8">
      <c r="G9536" s="87"/>
      <c r="H9536" s="90"/>
    </row>
    <row r="9537" spans="7:8">
      <c r="G9537" s="87"/>
      <c r="H9537" s="90"/>
    </row>
    <row r="9538" spans="7:8">
      <c r="G9538" s="87"/>
      <c r="H9538" s="90"/>
    </row>
    <row r="9539" spans="7:8">
      <c r="G9539" s="87"/>
      <c r="H9539" s="90"/>
    </row>
    <row r="9540" spans="7:8">
      <c r="G9540" s="87"/>
      <c r="H9540" s="90"/>
    </row>
    <row r="9541" spans="7:8">
      <c r="G9541" s="87"/>
      <c r="H9541" s="90"/>
    </row>
    <row r="9542" spans="7:8">
      <c r="G9542" s="87"/>
      <c r="H9542" s="90"/>
    </row>
    <row r="9543" spans="7:8">
      <c r="G9543" s="87"/>
      <c r="H9543" s="90"/>
    </row>
    <row r="9544" spans="7:8">
      <c r="G9544" s="87"/>
      <c r="H9544" s="90"/>
    </row>
    <row r="9545" spans="7:8">
      <c r="G9545" s="87"/>
      <c r="H9545" s="90"/>
    </row>
    <row r="9546" spans="7:8">
      <c r="G9546" s="87"/>
      <c r="H9546" s="90"/>
    </row>
    <row r="9547" spans="7:8">
      <c r="G9547" s="87"/>
      <c r="H9547" s="90"/>
    </row>
    <row r="9548" spans="7:8">
      <c r="G9548" s="87"/>
      <c r="H9548" s="90"/>
    </row>
    <row r="9549" spans="7:8">
      <c r="G9549" s="87"/>
      <c r="H9549" s="90"/>
    </row>
    <row r="9550" spans="7:8">
      <c r="G9550" s="87"/>
      <c r="H9550" s="90"/>
    </row>
    <row r="9551" spans="7:8">
      <c r="G9551" s="87"/>
      <c r="H9551" s="90"/>
    </row>
    <row r="9552" spans="7:8">
      <c r="G9552" s="87"/>
      <c r="H9552" s="90"/>
    </row>
    <row r="9553" spans="7:8">
      <c r="G9553" s="87"/>
      <c r="H9553" s="90"/>
    </row>
    <row r="9554" spans="7:8">
      <c r="G9554" s="87"/>
      <c r="H9554" s="90"/>
    </row>
    <row r="9555" spans="7:8">
      <c r="G9555" s="87"/>
      <c r="H9555" s="90"/>
    </row>
    <row r="9556" spans="7:8">
      <c r="G9556" s="87"/>
      <c r="H9556" s="90"/>
    </row>
    <row r="9557" spans="7:8">
      <c r="G9557" s="87"/>
      <c r="H9557" s="90"/>
    </row>
    <row r="9558" spans="7:8">
      <c r="G9558" s="87"/>
      <c r="H9558" s="90"/>
    </row>
    <row r="9559" spans="7:8">
      <c r="G9559" s="87"/>
      <c r="H9559" s="90"/>
    </row>
    <row r="9560" spans="7:8">
      <c r="G9560" s="87"/>
      <c r="H9560" s="90"/>
    </row>
    <row r="9561" spans="7:8">
      <c r="G9561" s="87"/>
      <c r="H9561" s="90"/>
    </row>
    <row r="9562" spans="7:8">
      <c r="G9562" s="87"/>
      <c r="H9562" s="90"/>
    </row>
    <row r="9563" spans="7:8">
      <c r="G9563" s="87"/>
      <c r="H9563" s="90"/>
    </row>
    <row r="9564" spans="7:8">
      <c r="G9564" s="87"/>
      <c r="H9564" s="90"/>
    </row>
    <row r="9565" spans="7:8">
      <c r="G9565" s="87"/>
      <c r="H9565" s="90"/>
    </row>
    <row r="9566" spans="7:8">
      <c r="G9566" s="87"/>
      <c r="H9566" s="90"/>
    </row>
    <row r="9567" spans="7:8">
      <c r="G9567" s="87"/>
      <c r="H9567" s="90"/>
    </row>
    <row r="9568" spans="7:8">
      <c r="G9568" s="87"/>
      <c r="H9568" s="90"/>
    </row>
    <row r="9569" spans="7:8">
      <c r="G9569" s="87"/>
      <c r="H9569" s="90"/>
    </row>
    <row r="9570" spans="7:8">
      <c r="G9570" s="87"/>
      <c r="H9570" s="90"/>
    </row>
    <row r="9571" spans="7:8">
      <c r="G9571" s="87"/>
      <c r="H9571" s="90"/>
    </row>
    <row r="9572" spans="7:8">
      <c r="G9572" s="87"/>
      <c r="H9572" s="90"/>
    </row>
    <row r="9573" spans="7:8">
      <c r="G9573" s="87"/>
      <c r="H9573" s="90"/>
    </row>
    <row r="9574" spans="7:8">
      <c r="G9574" s="87"/>
      <c r="H9574" s="90"/>
    </row>
    <row r="9575" spans="7:8">
      <c r="G9575" s="87"/>
      <c r="H9575" s="90"/>
    </row>
    <row r="9576" spans="7:8">
      <c r="G9576" s="87"/>
      <c r="H9576" s="90"/>
    </row>
    <row r="9577" spans="7:8">
      <c r="G9577" s="87"/>
      <c r="H9577" s="90"/>
    </row>
    <row r="9578" spans="7:8">
      <c r="G9578" s="87"/>
      <c r="H9578" s="90"/>
    </row>
    <row r="9579" spans="7:8">
      <c r="G9579" s="87"/>
      <c r="H9579" s="90"/>
    </row>
    <row r="9580" spans="7:8">
      <c r="G9580" s="87"/>
      <c r="H9580" s="90"/>
    </row>
    <row r="9581" spans="7:8">
      <c r="G9581" s="87"/>
      <c r="H9581" s="90"/>
    </row>
    <row r="9582" spans="7:8">
      <c r="G9582" s="87"/>
      <c r="H9582" s="90"/>
    </row>
    <row r="9583" spans="7:8">
      <c r="G9583" s="87"/>
      <c r="H9583" s="90"/>
    </row>
    <row r="9584" spans="7:8">
      <c r="G9584" s="87"/>
      <c r="H9584" s="90"/>
    </row>
    <row r="9585" spans="7:8">
      <c r="G9585" s="87"/>
      <c r="H9585" s="90"/>
    </row>
    <row r="9586" spans="7:8">
      <c r="G9586" s="87"/>
      <c r="H9586" s="90"/>
    </row>
    <row r="9587" spans="7:8">
      <c r="G9587" s="87"/>
      <c r="H9587" s="90"/>
    </row>
    <row r="9588" spans="7:8">
      <c r="G9588" s="87"/>
      <c r="H9588" s="90"/>
    </row>
    <row r="9589" spans="7:8">
      <c r="G9589" s="87"/>
      <c r="H9589" s="90"/>
    </row>
    <row r="9590" spans="7:8">
      <c r="G9590" s="87"/>
      <c r="H9590" s="90"/>
    </row>
    <row r="9591" spans="7:8">
      <c r="G9591" s="87"/>
      <c r="H9591" s="90"/>
    </row>
    <row r="9592" spans="7:8">
      <c r="G9592" s="87"/>
      <c r="H9592" s="90"/>
    </row>
    <row r="9593" spans="7:8">
      <c r="G9593" s="87"/>
      <c r="H9593" s="90"/>
    </row>
    <row r="9594" spans="7:8">
      <c r="G9594" s="87"/>
      <c r="H9594" s="90"/>
    </row>
    <row r="9595" spans="7:8">
      <c r="G9595" s="87"/>
      <c r="H9595" s="90"/>
    </row>
    <row r="9596" spans="7:8">
      <c r="G9596" s="87"/>
      <c r="H9596" s="90"/>
    </row>
    <row r="9597" spans="7:8">
      <c r="G9597" s="87"/>
      <c r="H9597" s="90"/>
    </row>
    <row r="9598" spans="7:8">
      <c r="G9598" s="87"/>
      <c r="H9598" s="90"/>
    </row>
    <row r="9599" spans="7:8">
      <c r="G9599" s="87"/>
      <c r="H9599" s="90"/>
    </row>
    <row r="9600" spans="7:8">
      <c r="G9600" s="87"/>
      <c r="H9600" s="90"/>
    </row>
    <row r="9601" spans="7:8">
      <c r="G9601" s="87"/>
      <c r="H9601" s="90"/>
    </row>
    <row r="9602" spans="7:8">
      <c r="G9602" s="87"/>
      <c r="H9602" s="90"/>
    </row>
    <row r="9603" spans="7:8">
      <c r="G9603" s="87"/>
      <c r="H9603" s="90"/>
    </row>
    <row r="9604" spans="7:8">
      <c r="G9604" s="87"/>
      <c r="H9604" s="90"/>
    </row>
    <row r="9605" spans="7:8">
      <c r="G9605" s="87"/>
      <c r="H9605" s="90"/>
    </row>
    <row r="9606" spans="7:8">
      <c r="G9606" s="87"/>
      <c r="H9606" s="90"/>
    </row>
    <row r="9607" spans="7:8">
      <c r="G9607" s="87"/>
      <c r="H9607" s="90"/>
    </row>
    <row r="9608" spans="7:8">
      <c r="G9608" s="87"/>
      <c r="H9608" s="90"/>
    </row>
    <row r="9609" spans="7:8">
      <c r="G9609" s="87"/>
      <c r="H9609" s="90"/>
    </row>
    <row r="9610" spans="7:8">
      <c r="G9610" s="87"/>
      <c r="H9610" s="90"/>
    </row>
    <row r="9611" spans="7:8">
      <c r="G9611" s="87"/>
      <c r="H9611" s="90"/>
    </row>
    <row r="9612" spans="7:8">
      <c r="G9612" s="87"/>
      <c r="H9612" s="90"/>
    </row>
    <row r="9613" spans="7:8">
      <c r="G9613" s="87"/>
      <c r="H9613" s="90"/>
    </row>
    <row r="9614" spans="7:8">
      <c r="G9614" s="87"/>
      <c r="H9614" s="90"/>
    </row>
    <row r="9615" spans="7:8">
      <c r="G9615" s="87"/>
      <c r="H9615" s="90"/>
    </row>
    <row r="9616" spans="7:8">
      <c r="G9616" s="87"/>
      <c r="H9616" s="90"/>
    </row>
    <row r="9617" spans="7:8">
      <c r="G9617" s="87"/>
      <c r="H9617" s="90"/>
    </row>
    <row r="9618" spans="7:8">
      <c r="G9618" s="87"/>
      <c r="H9618" s="90"/>
    </row>
    <row r="9619" spans="7:8">
      <c r="G9619" s="87"/>
      <c r="H9619" s="90"/>
    </row>
    <row r="9620" spans="7:8">
      <c r="G9620" s="87"/>
      <c r="H9620" s="90"/>
    </row>
    <row r="9621" spans="7:8">
      <c r="G9621" s="87"/>
      <c r="H9621" s="90"/>
    </row>
    <row r="9622" spans="7:8">
      <c r="G9622" s="87"/>
      <c r="H9622" s="90"/>
    </row>
    <row r="9623" spans="7:8">
      <c r="G9623" s="87"/>
      <c r="H9623" s="90"/>
    </row>
    <row r="9624" spans="7:8">
      <c r="G9624" s="87"/>
      <c r="H9624" s="90"/>
    </row>
    <row r="9625" spans="7:8">
      <c r="G9625" s="87"/>
      <c r="H9625" s="90"/>
    </row>
    <row r="9626" spans="7:8">
      <c r="G9626" s="87"/>
      <c r="H9626" s="90"/>
    </row>
    <row r="9627" spans="7:8">
      <c r="G9627" s="87"/>
      <c r="H9627" s="90"/>
    </row>
    <row r="9628" spans="7:8">
      <c r="G9628" s="87"/>
      <c r="H9628" s="90"/>
    </row>
    <row r="9629" spans="7:8">
      <c r="G9629" s="87"/>
      <c r="H9629" s="90"/>
    </row>
    <row r="9630" spans="7:8">
      <c r="G9630" s="87"/>
      <c r="H9630" s="90"/>
    </row>
    <row r="9631" spans="7:8">
      <c r="G9631" s="87"/>
      <c r="H9631" s="90"/>
    </row>
    <row r="9632" spans="7:8">
      <c r="G9632" s="87"/>
      <c r="H9632" s="90"/>
    </row>
    <row r="9633" spans="7:8">
      <c r="G9633" s="87"/>
      <c r="H9633" s="90"/>
    </row>
    <row r="9634" spans="7:8">
      <c r="G9634" s="87"/>
      <c r="H9634" s="90"/>
    </row>
    <row r="9635" spans="7:8">
      <c r="G9635" s="87"/>
      <c r="H9635" s="90"/>
    </row>
    <row r="9636" spans="7:8">
      <c r="G9636" s="87"/>
      <c r="H9636" s="90"/>
    </row>
    <row r="9637" spans="7:8">
      <c r="G9637" s="87"/>
      <c r="H9637" s="90"/>
    </row>
    <row r="9638" spans="7:8">
      <c r="G9638" s="87"/>
      <c r="H9638" s="90"/>
    </row>
    <row r="9639" spans="7:8">
      <c r="G9639" s="87"/>
      <c r="H9639" s="90"/>
    </row>
    <row r="9640" spans="7:8">
      <c r="G9640" s="87"/>
      <c r="H9640" s="90"/>
    </row>
    <row r="9641" spans="7:8">
      <c r="G9641" s="87"/>
      <c r="H9641" s="90"/>
    </row>
    <row r="9642" spans="7:8">
      <c r="G9642" s="87"/>
      <c r="H9642" s="90"/>
    </row>
    <row r="9643" spans="7:8">
      <c r="G9643" s="87"/>
      <c r="H9643" s="90"/>
    </row>
    <row r="9644" spans="7:8">
      <c r="G9644" s="87"/>
      <c r="H9644" s="90"/>
    </row>
    <row r="9645" spans="7:8">
      <c r="G9645" s="87"/>
      <c r="H9645" s="90"/>
    </row>
    <row r="9646" spans="7:8">
      <c r="G9646" s="87"/>
      <c r="H9646" s="90"/>
    </row>
    <row r="9647" spans="7:8">
      <c r="G9647" s="87"/>
      <c r="H9647" s="90"/>
    </row>
    <row r="9648" spans="7:8">
      <c r="G9648" s="87"/>
      <c r="H9648" s="90"/>
    </row>
    <row r="9649" spans="7:8">
      <c r="G9649" s="87"/>
      <c r="H9649" s="90"/>
    </row>
    <row r="9650" spans="7:8">
      <c r="G9650" s="87"/>
      <c r="H9650" s="90"/>
    </row>
    <row r="9651" spans="7:8">
      <c r="G9651" s="87"/>
      <c r="H9651" s="90"/>
    </row>
    <row r="9652" spans="7:8">
      <c r="G9652" s="87"/>
      <c r="H9652" s="90"/>
    </row>
    <row r="9653" spans="7:8">
      <c r="G9653" s="87"/>
      <c r="H9653" s="90"/>
    </row>
    <row r="9654" spans="7:8">
      <c r="G9654" s="87"/>
      <c r="H9654" s="90"/>
    </row>
    <row r="9655" spans="7:8">
      <c r="G9655" s="87"/>
      <c r="H9655" s="90"/>
    </row>
    <row r="9656" spans="7:8">
      <c r="G9656" s="87"/>
      <c r="H9656" s="90"/>
    </row>
    <row r="9657" spans="7:8">
      <c r="G9657" s="87"/>
      <c r="H9657" s="90"/>
    </row>
    <row r="9658" spans="7:8">
      <c r="G9658" s="87"/>
      <c r="H9658" s="90"/>
    </row>
    <row r="9659" spans="7:8">
      <c r="G9659" s="87"/>
      <c r="H9659" s="90"/>
    </row>
    <row r="9660" spans="7:8">
      <c r="G9660" s="87"/>
      <c r="H9660" s="90"/>
    </row>
    <row r="9661" spans="7:8">
      <c r="G9661" s="87"/>
      <c r="H9661" s="90"/>
    </row>
    <row r="9662" spans="7:8">
      <c r="G9662" s="87"/>
      <c r="H9662" s="90"/>
    </row>
    <row r="9663" spans="7:8">
      <c r="G9663" s="87"/>
      <c r="H9663" s="90"/>
    </row>
    <row r="9664" spans="7:8">
      <c r="G9664" s="87"/>
      <c r="H9664" s="90"/>
    </row>
    <row r="9665" spans="7:8">
      <c r="G9665" s="87"/>
      <c r="H9665" s="90"/>
    </row>
    <row r="9666" spans="7:8">
      <c r="G9666" s="87"/>
      <c r="H9666" s="90"/>
    </row>
    <row r="9667" spans="7:8">
      <c r="G9667" s="87"/>
      <c r="H9667" s="90"/>
    </row>
    <row r="9668" spans="7:8">
      <c r="G9668" s="87"/>
      <c r="H9668" s="90"/>
    </row>
    <row r="9669" spans="7:8">
      <c r="G9669" s="87"/>
      <c r="H9669" s="90"/>
    </row>
    <row r="9670" spans="7:8">
      <c r="G9670" s="87"/>
      <c r="H9670" s="90"/>
    </row>
    <row r="9671" spans="7:8">
      <c r="G9671" s="87"/>
      <c r="H9671" s="90"/>
    </row>
    <row r="9672" spans="7:8">
      <c r="G9672" s="87"/>
      <c r="H9672" s="90"/>
    </row>
    <row r="9673" spans="7:8">
      <c r="G9673" s="87"/>
      <c r="H9673" s="90"/>
    </row>
    <row r="9674" spans="7:8">
      <c r="G9674" s="87"/>
      <c r="H9674" s="90"/>
    </row>
    <row r="9675" spans="7:8">
      <c r="G9675" s="87"/>
      <c r="H9675" s="90"/>
    </row>
    <row r="9676" spans="7:8">
      <c r="G9676" s="87"/>
      <c r="H9676" s="90"/>
    </row>
    <row r="9677" spans="7:8">
      <c r="G9677" s="87"/>
      <c r="H9677" s="90"/>
    </row>
    <row r="9678" spans="7:8">
      <c r="G9678" s="87"/>
      <c r="H9678" s="90"/>
    </row>
    <row r="9679" spans="7:8">
      <c r="G9679" s="87"/>
      <c r="H9679" s="90"/>
    </row>
    <row r="9680" spans="7:8">
      <c r="G9680" s="87"/>
      <c r="H9680" s="90"/>
    </row>
    <row r="9681" spans="7:8">
      <c r="G9681" s="87"/>
      <c r="H9681" s="90"/>
    </row>
    <row r="9682" spans="7:8">
      <c r="G9682" s="87"/>
      <c r="H9682" s="90"/>
    </row>
    <row r="9683" spans="7:8">
      <c r="G9683" s="87"/>
      <c r="H9683" s="90"/>
    </row>
    <row r="9684" spans="7:8">
      <c r="G9684" s="87"/>
      <c r="H9684" s="90"/>
    </row>
    <row r="9685" spans="7:8">
      <c r="G9685" s="87"/>
      <c r="H9685" s="90"/>
    </row>
    <row r="9686" spans="7:8">
      <c r="G9686" s="87"/>
      <c r="H9686" s="90"/>
    </row>
    <row r="9687" spans="7:8">
      <c r="G9687" s="87"/>
      <c r="H9687" s="90"/>
    </row>
    <row r="9688" spans="7:8">
      <c r="G9688" s="87"/>
      <c r="H9688" s="90"/>
    </row>
    <row r="9689" spans="7:8">
      <c r="G9689" s="87"/>
      <c r="H9689" s="90"/>
    </row>
    <row r="9690" spans="7:8">
      <c r="G9690" s="87"/>
      <c r="H9690" s="90"/>
    </row>
    <row r="9691" spans="7:8">
      <c r="G9691" s="87"/>
      <c r="H9691" s="90"/>
    </row>
    <row r="9692" spans="7:8">
      <c r="G9692" s="87"/>
      <c r="H9692" s="90"/>
    </row>
    <row r="9693" spans="7:8">
      <c r="G9693" s="87"/>
      <c r="H9693" s="90"/>
    </row>
    <row r="9694" spans="7:8">
      <c r="G9694" s="87"/>
      <c r="H9694" s="90"/>
    </row>
    <row r="9695" spans="7:8">
      <c r="G9695" s="87"/>
      <c r="H9695" s="90"/>
    </row>
    <row r="9696" spans="7:8">
      <c r="G9696" s="87"/>
      <c r="H9696" s="90"/>
    </row>
    <row r="9697" spans="7:8">
      <c r="G9697" s="87"/>
      <c r="H9697" s="90"/>
    </row>
    <row r="9698" spans="7:8">
      <c r="G9698" s="87"/>
      <c r="H9698" s="90"/>
    </row>
    <row r="9699" spans="7:8">
      <c r="G9699" s="87"/>
      <c r="H9699" s="90"/>
    </row>
    <row r="9700" spans="7:8">
      <c r="G9700" s="87"/>
      <c r="H9700" s="90"/>
    </row>
    <row r="9701" spans="7:8">
      <c r="G9701" s="87"/>
      <c r="H9701" s="90"/>
    </row>
    <row r="9702" spans="7:8">
      <c r="G9702" s="87"/>
      <c r="H9702" s="90"/>
    </row>
    <row r="9703" spans="7:8">
      <c r="G9703" s="87"/>
      <c r="H9703" s="90"/>
    </row>
    <row r="9704" spans="7:8">
      <c r="G9704" s="87"/>
      <c r="H9704" s="90"/>
    </row>
    <row r="9705" spans="7:8">
      <c r="G9705" s="87"/>
      <c r="H9705" s="90"/>
    </row>
    <row r="9706" spans="7:8">
      <c r="G9706" s="87"/>
      <c r="H9706" s="90"/>
    </row>
    <row r="9707" spans="7:8">
      <c r="G9707" s="87"/>
      <c r="H9707" s="90"/>
    </row>
    <row r="9708" spans="7:8">
      <c r="G9708" s="87"/>
      <c r="H9708" s="90"/>
    </row>
    <row r="9709" spans="7:8">
      <c r="G9709" s="87"/>
      <c r="H9709" s="90"/>
    </row>
    <row r="9710" spans="7:8">
      <c r="G9710" s="87"/>
      <c r="H9710" s="90"/>
    </row>
    <row r="9711" spans="7:8">
      <c r="G9711" s="87"/>
      <c r="H9711" s="90"/>
    </row>
    <row r="9712" spans="7:8">
      <c r="G9712" s="87"/>
      <c r="H9712" s="90"/>
    </row>
    <row r="9713" spans="7:8">
      <c r="G9713" s="87"/>
      <c r="H9713" s="90"/>
    </row>
    <row r="9714" spans="7:8">
      <c r="G9714" s="87"/>
      <c r="H9714" s="90"/>
    </row>
    <row r="9715" spans="7:8">
      <c r="G9715" s="87"/>
      <c r="H9715" s="90"/>
    </row>
    <row r="9716" spans="7:8">
      <c r="G9716" s="87"/>
      <c r="H9716" s="90"/>
    </row>
    <row r="9717" spans="7:8">
      <c r="G9717" s="87"/>
      <c r="H9717" s="90"/>
    </row>
    <row r="9718" spans="7:8">
      <c r="G9718" s="87"/>
      <c r="H9718" s="90"/>
    </row>
    <row r="9719" spans="7:8">
      <c r="G9719" s="87"/>
      <c r="H9719" s="90"/>
    </row>
    <row r="9720" spans="7:8">
      <c r="G9720" s="87"/>
      <c r="H9720" s="90"/>
    </row>
    <row r="9721" spans="7:8">
      <c r="G9721" s="87"/>
      <c r="H9721" s="90"/>
    </row>
    <row r="9722" spans="7:8">
      <c r="G9722" s="87"/>
      <c r="H9722" s="90"/>
    </row>
    <row r="9723" spans="7:8">
      <c r="G9723" s="87"/>
      <c r="H9723" s="90"/>
    </row>
    <row r="9724" spans="7:8">
      <c r="G9724" s="87"/>
      <c r="H9724" s="90"/>
    </row>
    <row r="9725" spans="7:8">
      <c r="G9725" s="87"/>
      <c r="H9725" s="90"/>
    </row>
    <row r="9726" spans="7:8">
      <c r="G9726" s="87"/>
      <c r="H9726" s="90"/>
    </row>
    <row r="9727" spans="7:8">
      <c r="G9727" s="87"/>
      <c r="H9727" s="90"/>
    </row>
    <row r="9728" spans="7:8">
      <c r="G9728" s="87"/>
      <c r="H9728" s="90"/>
    </row>
    <row r="9729" spans="7:8">
      <c r="G9729" s="87"/>
      <c r="H9729" s="90"/>
    </row>
    <row r="9730" spans="7:8">
      <c r="G9730" s="87"/>
      <c r="H9730" s="90"/>
    </row>
    <row r="9731" spans="7:8">
      <c r="G9731" s="87"/>
      <c r="H9731" s="90"/>
    </row>
    <row r="9732" spans="7:8">
      <c r="G9732" s="87"/>
      <c r="H9732" s="90"/>
    </row>
    <row r="9733" spans="7:8">
      <c r="G9733" s="87"/>
      <c r="H9733" s="90"/>
    </row>
    <row r="9734" spans="7:8">
      <c r="G9734" s="87"/>
      <c r="H9734" s="90"/>
    </row>
    <row r="9735" spans="7:8">
      <c r="G9735" s="87"/>
      <c r="H9735" s="90"/>
    </row>
    <row r="9736" spans="7:8">
      <c r="G9736" s="87"/>
      <c r="H9736" s="90"/>
    </row>
    <row r="9737" spans="7:8">
      <c r="G9737" s="87"/>
      <c r="H9737" s="90"/>
    </row>
    <row r="9738" spans="7:8">
      <c r="G9738" s="87"/>
      <c r="H9738" s="90"/>
    </row>
    <row r="9739" spans="7:8">
      <c r="G9739" s="87"/>
      <c r="H9739" s="90"/>
    </row>
    <row r="9740" spans="7:8">
      <c r="G9740" s="87"/>
      <c r="H9740" s="90"/>
    </row>
    <row r="9741" spans="7:8">
      <c r="G9741" s="87"/>
      <c r="H9741" s="90"/>
    </row>
    <row r="9742" spans="7:8">
      <c r="G9742" s="87"/>
      <c r="H9742" s="90"/>
    </row>
    <row r="9743" spans="7:8">
      <c r="G9743" s="87"/>
      <c r="H9743" s="90"/>
    </row>
    <row r="9744" spans="7:8">
      <c r="G9744" s="87"/>
      <c r="H9744" s="90"/>
    </row>
    <row r="9745" spans="7:8">
      <c r="G9745" s="87"/>
      <c r="H9745" s="90"/>
    </row>
    <row r="9746" spans="7:8">
      <c r="G9746" s="87"/>
      <c r="H9746" s="90"/>
    </row>
    <row r="9747" spans="7:8">
      <c r="G9747" s="87"/>
      <c r="H9747" s="90"/>
    </row>
    <row r="9748" spans="7:8">
      <c r="G9748" s="87"/>
      <c r="H9748" s="90"/>
    </row>
    <row r="9749" spans="7:8">
      <c r="G9749" s="87"/>
      <c r="H9749" s="90"/>
    </row>
    <row r="9750" spans="7:8">
      <c r="G9750" s="87"/>
      <c r="H9750" s="90"/>
    </row>
    <row r="9751" spans="7:8">
      <c r="G9751" s="87"/>
      <c r="H9751" s="90"/>
    </row>
    <row r="9752" spans="7:8">
      <c r="G9752" s="87"/>
      <c r="H9752" s="90"/>
    </row>
    <row r="9753" spans="7:8">
      <c r="G9753" s="87"/>
      <c r="H9753" s="90"/>
    </row>
    <row r="9754" spans="7:8">
      <c r="G9754" s="87"/>
      <c r="H9754" s="90"/>
    </row>
    <row r="9755" spans="7:8">
      <c r="G9755" s="87"/>
      <c r="H9755" s="90"/>
    </row>
    <row r="9756" spans="7:8">
      <c r="G9756" s="87"/>
      <c r="H9756" s="90"/>
    </row>
    <row r="9757" spans="7:8">
      <c r="G9757" s="87"/>
      <c r="H9757" s="90"/>
    </row>
    <row r="9758" spans="7:8">
      <c r="G9758" s="87"/>
      <c r="H9758" s="90"/>
    </row>
    <row r="9759" spans="7:8">
      <c r="G9759" s="87"/>
      <c r="H9759" s="90"/>
    </row>
    <row r="9760" spans="7:8">
      <c r="G9760" s="87"/>
      <c r="H9760" s="90"/>
    </row>
    <row r="9761" spans="7:8">
      <c r="G9761" s="87"/>
      <c r="H9761" s="90"/>
    </row>
    <row r="9762" spans="7:8">
      <c r="G9762" s="87"/>
      <c r="H9762" s="90"/>
    </row>
    <row r="9763" spans="7:8">
      <c r="G9763" s="87"/>
      <c r="H9763" s="90"/>
    </row>
    <row r="9764" spans="7:8">
      <c r="G9764" s="87"/>
      <c r="H9764" s="90"/>
    </row>
    <row r="9765" spans="7:8">
      <c r="G9765" s="87"/>
      <c r="H9765" s="90"/>
    </row>
    <row r="9766" spans="7:8">
      <c r="G9766" s="87"/>
      <c r="H9766" s="90"/>
    </row>
    <row r="9767" spans="7:8">
      <c r="G9767" s="87"/>
      <c r="H9767" s="90"/>
    </row>
    <row r="9768" spans="7:8">
      <c r="G9768" s="87"/>
      <c r="H9768" s="90"/>
    </row>
    <row r="9769" spans="7:8">
      <c r="G9769" s="87"/>
      <c r="H9769" s="90"/>
    </row>
    <row r="9770" spans="7:8">
      <c r="G9770" s="87"/>
      <c r="H9770" s="90"/>
    </row>
    <row r="9771" spans="7:8">
      <c r="G9771" s="87"/>
      <c r="H9771" s="90"/>
    </row>
    <row r="9772" spans="7:8">
      <c r="G9772" s="87"/>
      <c r="H9772" s="90"/>
    </row>
    <row r="9773" spans="7:8">
      <c r="G9773" s="87"/>
      <c r="H9773" s="90"/>
    </row>
    <row r="9774" spans="7:8">
      <c r="G9774" s="87"/>
      <c r="H9774" s="90"/>
    </row>
    <row r="9775" spans="7:8">
      <c r="G9775" s="87"/>
      <c r="H9775" s="90"/>
    </row>
    <row r="9776" spans="7:8">
      <c r="G9776" s="87"/>
      <c r="H9776" s="90"/>
    </row>
    <row r="9777" spans="7:8">
      <c r="G9777" s="87"/>
      <c r="H9777" s="90"/>
    </row>
    <row r="9778" spans="7:8">
      <c r="G9778" s="87"/>
      <c r="H9778" s="90"/>
    </row>
    <row r="9779" spans="7:8">
      <c r="G9779" s="87"/>
      <c r="H9779" s="90"/>
    </row>
    <row r="9780" spans="7:8">
      <c r="G9780" s="87"/>
      <c r="H9780" s="90"/>
    </row>
    <row r="9781" spans="7:8">
      <c r="G9781" s="87"/>
      <c r="H9781" s="90"/>
    </row>
    <row r="9782" spans="7:8">
      <c r="G9782" s="87"/>
      <c r="H9782" s="90"/>
    </row>
    <row r="9783" spans="7:8">
      <c r="G9783" s="87"/>
      <c r="H9783" s="90"/>
    </row>
    <row r="9784" spans="7:8">
      <c r="G9784" s="87"/>
      <c r="H9784" s="90"/>
    </row>
    <row r="9785" spans="7:8">
      <c r="G9785" s="87"/>
      <c r="H9785" s="90"/>
    </row>
    <row r="9786" spans="7:8">
      <c r="G9786" s="87"/>
      <c r="H9786" s="90"/>
    </row>
    <row r="9787" spans="7:8">
      <c r="G9787" s="87"/>
      <c r="H9787" s="90"/>
    </row>
    <row r="9788" spans="7:8">
      <c r="G9788" s="87"/>
      <c r="H9788" s="90"/>
    </row>
    <row r="9789" spans="7:8">
      <c r="G9789" s="87"/>
      <c r="H9789" s="90"/>
    </row>
    <row r="9790" spans="7:8">
      <c r="G9790" s="87"/>
      <c r="H9790" s="90"/>
    </row>
    <row r="9791" spans="7:8">
      <c r="G9791" s="87"/>
      <c r="H9791" s="90"/>
    </row>
    <row r="9792" spans="7:8">
      <c r="G9792" s="87"/>
      <c r="H9792" s="90"/>
    </row>
    <row r="9793" spans="7:8">
      <c r="G9793" s="87"/>
      <c r="H9793" s="90"/>
    </row>
    <row r="9794" spans="7:8">
      <c r="G9794" s="87"/>
      <c r="H9794" s="90"/>
    </row>
    <row r="9795" spans="7:8">
      <c r="G9795" s="87"/>
      <c r="H9795" s="90"/>
    </row>
    <row r="9796" spans="7:8">
      <c r="G9796" s="87"/>
      <c r="H9796" s="90"/>
    </row>
    <row r="9797" spans="7:8">
      <c r="G9797" s="87"/>
      <c r="H9797" s="90"/>
    </row>
    <row r="9798" spans="7:8">
      <c r="G9798" s="87"/>
      <c r="H9798" s="90"/>
    </row>
    <row r="9799" spans="7:8">
      <c r="G9799" s="87"/>
      <c r="H9799" s="90"/>
    </row>
    <row r="9800" spans="7:8">
      <c r="G9800" s="87"/>
      <c r="H9800" s="90"/>
    </row>
    <row r="9801" spans="7:8">
      <c r="G9801" s="87"/>
      <c r="H9801" s="90"/>
    </row>
    <row r="9802" spans="7:8">
      <c r="G9802" s="87"/>
      <c r="H9802" s="90"/>
    </row>
    <row r="9803" spans="7:8">
      <c r="G9803" s="87"/>
      <c r="H9803" s="90"/>
    </row>
    <row r="9804" spans="7:8">
      <c r="G9804" s="87"/>
      <c r="H9804" s="90"/>
    </row>
    <row r="9805" spans="7:8">
      <c r="G9805" s="87"/>
      <c r="H9805" s="90"/>
    </row>
    <row r="9806" spans="7:8">
      <c r="G9806" s="87"/>
      <c r="H9806" s="90"/>
    </row>
    <row r="9807" spans="7:8">
      <c r="G9807" s="87"/>
      <c r="H9807" s="90"/>
    </row>
    <row r="9808" spans="7:8">
      <c r="G9808" s="87"/>
      <c r="H9808" s="90"/>
    </row>
    <row r="9809" spans="7:8">
      <c r="G9809" s="87"/>
      <c r="H9809" s="90"/>
    </row>
    <row r="9810" spans="7:8">
      <c r="G9810" s="87"/>
      <c r="H9810" s="90"/>
    </row>
    <row r="9811" spans="7:8">
      <c r="G9811" s="87"/>
      <c r="H9811" s="90"/>
    </row>
    <row r="9812" spans="7:8">
      <c r="G9812" s="87"/>
      <c r="H9812" s="90"/>
    </row>
    <row r="9813" spans="7:8">
      <c r="G9813" s="87"/>
      <c r="H9813" s="90"/>
    </row>
    <row r="9814" spans="7:8">
      <c r="G9814" s="87"/>
      <c r="H9814" s="90"/>
    </row>
    <row r="9815" spans="7:8">
      <c r="G9815" s="87"/>
      <c r="H9815" s="90"/>
    </row>
    <row r="9816" spans="7:8">
      <c r="G9816" s="87"/>
      <c r="H9816" s="90"/>
    </row>
    <row r="9817" spans="7:8">
      <c r="G9817" s="87"/>
      <c r="H9817" s="90"/>
    </row>
    <row r="9818" spans="7:8">
      <c r="G9818" s="87"/>
      <c r="H9818" s="90"/>
    </row>
    <row r="9819" spans="7:8">
      <c r="G9819" s="87"/>
      <c r="H9819" s="90"/>
    </row>
    <row r="9820" spans="7:8">
      <c r="G9820" s="87"/>
      <c r="H9820" s="90"/>
    </row>
    <row r="9821" spans="7:8">
      <c r="G9821" s="87"/>
      <c r="H9821" s="90"/>
    </row>
    <row r="9822" spans="7:8">
      <c r="G9822" s="87"/>
      <c r="H9822" s="90"/>
    </row>
    <row r="9823" spans="7:8">
      <c r="G9823" s="87"/>
      <c r="H9823" s="90"/>
    </row>
    <row r="9824" spans="7:8">
      <c r="G9824" s="87"/>
      <c r="H9824" s="90"/>
    </row>
    <row r="9825" spans="7:8">
      <c r="G9825" s="87"/>
      <c r="H9825" s="90"/>
    </row>
    <row r="9826" spans="7:8">
      <c r="G9826" s="87"/>
      <c r="H9826" s="90"/>
    </row>
    <row r="9827" spans="7:8">
      <c r="G9827" s="87"/>
      <c r="H9827" s="90"/>
    </row>
    <row r="9828" spans="7:8">
      <c r="G9828" s="87"/>
      <c r="H9828" s="90"/>
    </row>
    <row r="9829" spans="7:8">
      <c r="G9829" s="87"/>
      <c r="H9829" s="90"/>
    </row>
    <row r="9830" spans="7:8">
      <c r="G9830" s="87"/>
      <c r="H9830" s="90"/>
    </row>
    <row r="9831" spans="7:8">
      <c r="G9831" s="87"/>
      <c r="H9831" s="90"/>
    </row>
    <row r="9832" spans="7:8">
      <c r="G9832" s="87"/>
      <c r="H9832" s="90"/>
    </row>
    <row r="9833" spans="7:8">
      <c r="G9833" s="87"/>
      <c r="H9833" s="90"/>
    </row>
    <row r="9834" spans="7:8">
      <c r="G9834" s="87"/>
      <c r="H9834" s="90"/>
    </row>
    <row r="9835" spans="7:8">
      <c r="G9835" s="87"/>
      <c r="H9835" s="90"/>
    </row>
    <row r="9836" spans="7:8">
      <c r="G9836" s="87"/>
      <c r="H9836" s="90"/>
    </row>
    <row r="9837" spans="7:8">
      <c r="G9837" s="87"/>
      <c r="H9837" s="90"/>
    </row>
    <row r="9838" spans="7:8">
      <c r="G9838" s="87"/>
      <c r="H9838" s="90"/>
    </row>
    <row r="9839" spans="7:8">
      <c r="G9839" s="87"/>
      <c r="H9839" s="90"/>
    </row>
    <row r="9840" spans="7:8">
      <c r="G9840" s="87"/>
      <c r="H9840" s="90"/>
    </row>
    <row r="9841" spans="7:8">
      <c r="G9841" s="87"/>
      <c r="H9841" s="90"/>
    </row>
    <row r="9842" spans="7:8">
      <c r="G9842" s="87"/>
      <c r="H9842" s="90"/>
    </row>
    <row r="9843" spans="7:8">
      <c r="G9843" s="87"/>
      <c r="H9843" s="90"/>
    </row>
    <row r="9844" spans="7:8">
      <c r="G9844" s="87"/>
      <c r="H9844" s="90"/>
    </row>
    <row r="9845" spans="7:8">
      <c r="G9845" s="87"/>
      <c r="H9845" s="90"/>
    </row>
    <row r="9846" spans="7:8">
      <c r="G9846" s="87"/>
      <c r="H9846" s="90"/>
    </row>
    <row r="9847" spans="7:8">
      <c r="G9847" s="87"/>
      <c r="H9847" s="90"/>
    </row>
    <row r="9848" spans="7:8">
      <c r="G9848" s="87"/>
      <c r="H9848" s="90"/>
    </row>
    <row r="9849" spans="7:8">
      <c r="G9849" s="87"/>
      <c r="H9849" s="90"/>
    </row>
    <row r="9850" spans="7:8">
      <c r="G9850" s="87"/>
      <c r="H9850" s="90"/>
    </row>
    <row r="9851" spans="7:8">
      <c r="G9851" s="87"/>
      <c r="H9851" s="90"/>
    </row>
    <row r="9852" spans="7:8">
      <c r="G9852" s="87"/>
      <c r="H9852" s="90"/>
    </row>
    <row r="9853" spans="7:8">
      <c r="G9853" s="87"/>
      <c r="H9853" s="90"/>
    </row>
    <row r="9854" spans="7:8">
      <c r="G9854" s="87"/>
      <c r="H9854" s="90"/>
    </row>
    <row r="9855" spans="7:8">
      <c r="G9855" s="87"/>
      <c r="H9855" s="90"/>
    </row>
    <row r="9856" spans="7:8">
      <c r="G9856" s="87"/>
      <c r="H9856" s="90"/>
    </row>
    <row r="9857" spans="7:8">
      <c r="G9857" s="87"/>
      <c r="H9857" s="90"/>
    </row>
    <row r="9858" spans="7:8">
      <c r="G9858" s="87"/>
      <c r="H9858" s="90"/>
    </row>
    <row r="9859" spans="7:8">
      <c r="G9859" s="87"/>
      <c r="H9859" s="90"/>
    </row>
    <row r="9860" spans="7:8">
      <c r="G9860" s="87"/>
      <c r="H9860" s="90"/>
    </row>
    <row r="9861" spans="7:8">
      <c r="G9861" s="87"/>
      <c r="H9861" s="90"/>
    </row>
    <row r="9862" spans="7:8">
      <c r="G9862" s="87"/>
      <c r="H9862" s="90"/>
    </row>
    <row r="9863" spans="7:8">
      <c r="G9863" s="87"/>
      <c r="H9863" s="90"/>
    </row>
    <row r="9864" spans="7:8">
      <c r="G9864" s="87"/>
      <c r="H9864" s="90"/>
    </row>
    <row r="9865" spans="7:8">
      <c r="G9865" s="87"/>
      <c r="H9865" s="90"/>
    </row>
    <row r="9866" spans="7:8">
      <c r="G9866" s="87"/>
      <c r="H9866" s="90"/>
    </row>
    <row r="9867" spans="7:8">
      <c r="G9867" s="87"/>
      <c r="H9867" s="90"/>
    </row>
    <row r="9868" spans="7:8">
      <c r="G9868" s="87"/>
      <c r="H9868" s="90"/>
    </row>
    <row r="9869" spans="7:8">
      <c r="G9869" s="87"/>
      <c r="H9869" s="90"/>
    </row>
    <row r="9870" spans="7:8">
      <c r="G9870" s="87"/>
      <c r="H9870" s="90"/>
    </row>
    <row r="9871" spans="7:8">
      <c r="G9871" s="87"/>
      <c r="H9871" s="90"/>
    </row>
    <row r="9872" spans="7:8">
      <c r="G9872" s="87"/>
      <c r="H9872" s="90"/>
    </row>
    <row r="9873" spans="7:8">
      <c r="G9873" s="87"/>
      <c r="H9873" s="90"/>
    </row>
    <row r="9874" spans="7:8">
      <c r="G9874" s="87"/>
      <c r="H9874" s="90"/>
    </row>
    <row r="9875" spans="7:8">
      <c r="G9875" s="87"/>
      <c r="H9875" s="90"/>
    </row>
    <row r="9876" spans="7:8">
      <c r="G9876" s="87"/>
      <c r="H9876" s="90"/>
    </row>
    <row r="9877" spans="7:8">
      <c r="G9877" s="87"/>
      <c r="H9877" s="90"/>
    </row>
    <row r="9878" spans="7:8">
      <c r="G9878" s="87"/>
      <c r="H9878" s="90"/>
    </row>
    <row r="9879" spans="7:8">
      <c r="G9879" s="87"/>
      <c r="H9879" s="90"/>
    </row>
    <row r="9880" spans="7:8">
      <c r="G9880" s="87"/>
      <c r="H9880" s="90"/>
    </row>
    <row r="9881" spans="7:8">
      <c r="G9881" s="87"/>
      <c r="H9881" s="90"/>
    </row>
    <row r="9882" spans="7:8">
      <c r="G9882" s="87"/>
      <c r="H9882" s="90"/>
    </row>
    <row r="9883" spans="7:8">
      <c r="G9883" s="87"/>
      <c r="H9883" s="90"/>
    </row>
    <row r="9884" spans="7:8">
      <c r="G9884" s="87"/>
      <c r="H9884" s="90"/>
    </row>
    <row r="9885" spans="7:8">
      <c r="G9885" s="87"/>
      <c r="H9885" s="90"/>
    </row>
    <row r="9886" spans="7:8">
      <c r="G9886" s="87"/>
      <c r="H9886" s="90"/>
    </row>
    <row r="9887" spans="7:8">
      <c r="G9887" s="87"/>
      <c r="H9887" s="90"/>
    </row>
    <row r="9888" spans="7:8">
      <c r="G9888" s="87"/>
      <c r="H9888" s="90"/>
    </row>
    <row r="9889" spans="7:8">
      <c r="G9889" s="87"/>
      <c r="H9889" s="90"/>
    </row>
    <row r="9890" spans="7:8">
      <c r="G9890" s="87"/>
      <c r="H9890" s="90"/>
    </row>
    <row r="9891" spans="7:8">
      <c r="G9891" s="87"/>
      <c r="H9891" s="90"/>
    </row>
    <row r="9892" spans="7:8">
      <c r="G9892" s="87"/>
      <c r="H9892" s="90"/>
    </row>
    <row r="9893" spans="7:8">
      <c r="G9893" s="87"/>
      <c r="H9893" s="90"/>
    </row>
    <row r="9894" spans="7:8">
      <c r="G9894" s="87"/>
      <c r="H9894" s="90"/>
    </row>
    <row r="9895" spans="7:8">
      <c r="G9895" s="87"/>
      <c r="H9895" s="90"/>
    </row>
    <row r="9896" spans="7:8">
      <c r="G9896" s="87"/>
      <c r="H9896" s="90"/>
    </row>
    <row r="9897" spans="7:8">
      <c r="G9897" s="87"/>
      <c r="H9897" s="90"/>
    </row>
    <row r="9898" spans="7:8">
      <c r="G9898" s="87"/>
      <c r="H9898" s="90"/>
    </row>
    <row r="9899" spans="7:8">
      <c r="G9899" s="87"/>
      <c r="H9899" s="90"/>
    </row>
    <row r="9900" spans="7:8">
      <c r="G9900" s="87"/>
      <c r="H9900" s="90"/>
    </row>
    <row r="9901" spans="7:8">
      <c r="G9901" s="87"/>
      <c r="H9901" s="90"/>
    </row>
    <row r="9902" spans="7:8">
      <c r="G9902" s="87"/>
      <c r="H9902" s="90"/>
    </row>
    <row r="9903" spans="7:8">
      <c r="G9903" s="87"/>
      <c r="H9903" s="90"/>
    </row>
    <row r="9904" spans="7:8">
      <c r="G9904" s="87"/>
      <c r="H9904" s="90"/>
    </row>
    <row r="9905" spans="7:8">
      <c r="G9905" s="87"/>
      <c r="H9905" s="90"/>
    </row>
    <row r="9906" spans="7:8">
      <c r="G9906" s="87"/>
      <c r="H9906" s="90"/>
    </row>
    <row r="9907" spans="7:8">
      <c r="G9907" s="87"/>
      <c r="H9907" s="90"/>
    </row>
    <row r="9908" spans="7:8">
      <c r="G9908" s="87"/>
      <c r="H9908" s="90"/>
    </row>
    <row r="9909" spans="7:8">
      <c r="G9909" s="87"/>
      <c r="H9909" s="90"/>
    </row>
    <row r="9910" spans="7:8">
      <c r="G9910" s="87"/>
      <c r="H9910" s="90"/>
    </row>
    <row r="9911" spans="7:8">
      <c r="G9911" s="87"/>
      <c r="H9911" s="90"/>
    </row>
    <row r="9912" spans="7:8">
      <c r="G9912" s="87"/>
      <c r="H9912" s="90"/>
    </row>
    <row r="9913" spans="7:8">
      <c r="G9913" s="87"/>
      <c r="H9913" s="90"/>
    </row>
    <row r="9914" spans="7:8">
      <c r="G9914" s="87"/>
      <c r="H9914" s="90"/>
    </row>
    <row r="9915" spans="7:8">
      <c r="G9915" s="87"/>
      <c r="H9915" s="90"/>
    </row>
    <row r="9916" spans="7:8">
      <c r="G9916" s="87"/>
      <c r="H9916" s="90"/>
    </row>
    <row r="9917" spans="7:8">
      <c r="G9917" s="87"/>
      <c r="H9917" s="90"/>
    </row>
    <row r="9918" spans="7:8">
      <c r="G9918" s="87"/>
      <c r="H9918" s="90"/>
    </row>
    <row r="9919" spans="7:8">
      <c r="G9919" s="87"/>
      <c r="H9919" s="90"/>
    </row>
    <row r="9920" spans="7:8">
      <c r="G9920" s="87"/>
      <c r="H9920" s="90"/>
    </row>
    <row r="9921" spans="7:8">
      <c r="G9921" s="87"/>
      <c r="H9921" s="90"/>
    </row>
    <row r="9922" spans="7:8">
      <c r="G9922" s="87"/>
      <c r="H9922" s="90"/>
    </row>
    <row r="9923" spans="7:8">
      <c r="G9923" s="87"/>
      <c r="H9923" s="90"/>
    </row>
    <row r="9924" spans="7:8">
      <c r="G9924" s="87"/>
      <c r="H9924" s="90"/>
    </row>
    <row r="9925" spans="7:8">
      <c r="G9925" s="87"/>
      <c r="H9925" s="90"/>
    </row>
    <row r="9926" spans="7:8">
      <c r="G9926" s="87"/>
      <c r="H9926" s="90"/>
    </row>
    <row r="9927" spans="7:8">
      <c r="G9927" s="87"/>
      <c r="H9927" s="90"/>
    </row>
    <row r="9928" spans="7:8">
      <c r="G9928" s="87"/>
      <c r="H9928" s="90"/>
    </row>
    <row r="9929" spans="7:8">
      <c r="G9929" s="87"/>
      <c r="H9929" s="90"/>
    </row>
    <row r="9930" spans="7:8">
      <c r="G9930" s="87"/>
      <c r="H9930" s="90"/>
    </row>
    <row r="9931" spans="7:8">
      <c r="G9931" s="87"/>
      <c r="H9931" s="90"/>
    </row>
    <row r="9932" spans="7:8">
      <c r="G9932" s="87"/>
      <c r="H9932" s="90"/>
    </row>
    <row r="9933" spans="7:8">
      <c r="G9933" s="87"/>
      <c r="H9933" s="90"/>
    </row>
    <row r="9934" spans="7:8">
      <c r="G9934" s="87"/>
      <c r="H9934" s="90"/>
    </row>
    <row r="9935" spans="7:8">
      <c r="G9935" s="87"/>
      <c r="H9935" s="90"/>
    </row>
    <row r="9936" spans="7:8">
      <c r="G9936" s="87"/>
      <c r="H9936" s="90"/>
    </row>
    <row r="9937" spans="7:8">
      <c r="G9937" s="87"/>
      <c r="H9937" s="90"/>
    </row>
    <row r="9938" spans="7:8">
      <c r="G9938" s="87"/>
      <c r="H9938" s="90"/>
    </row>
    <row r="9939" spans="7:8">
      <c r="G9939" s="87"/>
      <c r="H9939" s="90"/>
    </row>
    <row r="9940" spans="7:8">
      <c r="G9940" s="87"/>
      <c r="H9940" s="90"/>
    </row>
    <row r="9941" spans="7:8">
      <c r="G9941" s="87"/>
      <c r="H9941" s="90"/>
    </row>
    <row r="9942" spans="7:8">
      <c r="G9942" s="87"/>
      <c r="H9942" s="90"/>
    </row>
    <row r="9943" spans="7:8">
      <c r="G9943" s="87"/>
      <c r="H9943" s="90"/>
    </row>
    <row r="9944" spans="7:8">
      <c r="G9944" s="87"/>
      <c r="H9944" s="90"/>
    </row>
    <row r="9945" spans="7:8">
      <c r="G9945" s="87"/>
      <c r="H9945" s="90"/>
    </row>
    <row r="9946" spans="7:8">
      <c r="G9946" s="87"/>
      <c r="H9946" s="90"/>
    </row>
    <row r="9947" spans="7:8">
      <c r="G9947" s="87"/>
      <c r="H9947" s="90"/>
    </row>
    <row r="9948" spans="7:8">
      <c r="G9948" s="87"/>
      <c r="H9948" s="90"/>
    </row>
    <row r="9949" spans="7:8">
      <c r="G9949" s="87"/>
      <c r="H9949" s="90"/>
    </row>
    <row r="9950" spans="7:8">
      <c r="G9950" s="87"/>
      <c r="H9950" s="90"/>
    </row>
    <row r="9951" spans="7:8">
      <c r="G9951" s="87"/>
      <c r="H9951" s="90"/>
    </row>
    <row r="9952" spans="7:8">
      <c r="G9952" s="87"/>
      <c r="H9952" s="90"/>
    </row>
    <row r="9953" spans="7:8">
      <c r="G9953" s="87"/>
      <c r="H9953" s="90"/>
    </row>
    <row r="9954" spans="7:8">
      <c r="G9954" s="87"/>
      <c r="H9954" s="90"/>
    </row>
    <row r="9955" spans="7:8">
      <c r="G9955" s="87"/>
      <c r="H9955" s="90"/>
    </row>
    <row r="9956" spans="7:8">
      <c r="G9956" s="87"/>
      <c r="H9956" s="90"/>
    </row>
    <row r="9957" spans="7:8">
      <c r="G9957" s="87"/>
      <c r="H9957" s="90"/>
    </row>
    <row r="9958" spans="7:8">
      <c r="G9958" s="87"/>
      <c r="H9958" s="90"/>
    </row>
    <row r="9959" spans="7:8">
      <c r="G9959" s="87"/>
      <c r="H9959" s="90"/>
    </row>
    <row r="9960" spans="7:8">
      <c r="G9960" s="87"/>
      <c r="H9960" s="90"/>
    </row>
    <row r="9961" spans="7:8">
      <c r="G9961" s="87"/>
      <c r="H9961" s="90"/>
    </row>
    <row r="9962" spans="7:8">
      <c r="G9962" s="87"/>
      <c r="H9962" s="90"/>
    </row>
    <row r="9963" spans="7:8">
      <c r="G9963" s="87"/>
      <c r="H9963" s="90"/>
    </row>
    <row r="9964" spans="7:8">
      <c r="G9964" s="87"/>
      <c r="H9964" s="90"/>
    </row>
    <row r="9965" spans="7:8">
      <c r="G9965" s="87"/>
      <c r="H9965" s="90"/>
    </row>
    <row r="9966" spans="7:8">
      <c r="G9966" s="87"/>
      <c r="H9966" s="90"/>
    </row>
    <row r="9967" spans="7:8">
      <c r="G9967" s="87"/>
      <c r="H9967" s="90"/>
    </row>
    <row r="9968" spans="7:8">
      <c r="G9968" s="87"/>
      <c r="H9968" s="90"/>
    </row>
    <row r="9969" spans="7:8">
      <c r="G9969" s="87"/>
      <c r="H9969" s="90"/>
    </row>
    <row r="9970" spans="7:8">
      <c r="G9970" s="87"/>
      <c r="H9970" s="90"/>
    </row>
    <row r="9971" spans="7:8">
      <c r="G9971" s="87"/>
      <c r="H9971" s="90"/>
    </row>
    <row r="9972" spans="7:8">
      <c r="G9972" s="87"/>
      <c r="H9972" s="90"/>
    </row>
    <row r="9973" spans="7:8">
      <c r="G9973" s="87"/>
      <c r="H9973" s="90"/>
    </row>
    <row r="9974" spans="7:8">
      <c r="G9974" s="87"/>
      <c r="H9974" s="90"/>
    </row>
    <row r="9975" spans="7:8">
      <c r="G9975" s="87"/>
      <c r="H9975" s="90"/>
    </row>
    <row r="9976" spans="7:8">
      <c r="G9976" s="87"/>
      <c r="H9976" s="90"/>
    </row>
    <row r="9977" spans="7:8">
      <c r="G9977" s="87"/>
      <c r="H9977" s="90"/>
    </row>
    <row r="9978" spans="7:8">
      <c r="G9978" s="87"/>
      <c r="H9978" s="90"/>
    </row>
    <row r="9979" spans="7:8">
      <c r="G9979" s="87"/>
      <c r="H9979" s="90"/>
    </row>
    <row r="9980" spans="7:8">
      <c r="G9980" s="87"/>
      <c r="H9980" s="90"/>
    </row>
    <row r="9981" spans="7:8">
      <c r="G9981" s="87"/>
      <c r="H9981" s="90"/>
    </row>
    <row r="9982" spans="7:8">
      <c r="G9982" s="87"/>
      <c r="H9982" s="90"/>
    </row>
    <row r="9983" spans="7:8">
      <c r="G9983" s="87"/>
      <c r="H9983" s="90"/>
    </row>
    <row r="9984" spans="7:8">
      <c r="G9984" s="87"/>
      <c r="H9984" s="90"/>
    </row>
    <row r="9985" spans="7:8">
      <c r="G9985" s="87"/>
      <c r="H9985" s="90"/>
    </row>
    <row r="9986" spans="7:8">
      <c r="G9986" s="87"/>
      <c r="H9986" s="90"/>
    </row>
    <row r="9987" spans="7:8">
      <c r="G9987" s="87"/>
      <c r="H9987" s="90"/>
    </row>
    <row r="9988" spans="7:8">
      <c r="G9988" s="87"/>
      <c r="H9988" s="90"/>
    </row>
    <row r="9989" spans="7:8">
      <c r="G9989" s="87"/>
      <c r="H9989" s="90"/>
    </row>
    <row r="9990" spans="7:8">
      <c r="G9990" s="87"/>
      <c r="H9990" s="90"/>
    </row>
    <row r="9991" spans="7:8">
      <c r="G9991" s="87"/>
      <c r="H9991" s="90"/>
    </row>
    <row r="9992" spans="7:8">
      <c r="G9992" s="87"/>
      <c r="H9992" s="90"/>
    </row>
    <row r="9993" spans="7:8">
      <c r="G9993" s="87"/>
      <c r="H9993" s="90"/>
    </row>
    <row r="9994" spans="7:8">
      <c r="G9994" s="87"/>
      <c r="H9994" s="90"/>
    </row>
    <row r="9995" spans="7:8">
      <c r="G9995" s="87"/>
      <c r="H9995" s="90"/>
    </row>
    <row r="9996" spans="7:8">
      <c r="G9996" s="87"/>
      <c r="H9996" s="90"/>
    </row>
    <row r="9997" spans="7:8">
      <c r="G9997" s="87"/>
      <c r="H9997" s="90"/>
    </row>
    <row r="9998" spans="7:8">
      <c r="G9998" s="87"/>
      <c r="H9998" s="90"/>
    </row>
    <row r="9999" spans="7:8">
      <c r="G9999" s="87"/>
      <c r="H9999" s="90"/>
    </row>
    <row r="10000" spans="7:8">
      <c r="G10000" s="87"/>
      <c r="H10000" s="90"/>
    </row>
    <row r="10001" spans="7:8">
      <c r="G10001" s="87"/>
      <c r="H10001" s="90"/>
    </row>
    <row r="10002" spans="7:8">
      <c r="G10002" s="87"/>
      <c r="H10002" s="90"/>
    </row>
    <row r="10003" spans="7:8">
      <c r="G10003" s="87"/>
      <c r="H10003" s="90"/>
    </row>
    <row r="10004" spans="7:8">
      <c r="G10004" s="87"/>
      <c r="H10004" s="90"/>
    </row>
    <row r="10005" spans="7:8">
      <c r="G10005" s="87"/>
      <c r="H10005" s="90"/>
    </row>
    <row r="10006" spans="7:8">
      <c r="G10006" s="87"/>
      <c r="H10006" s="90"/>
    </row>
    <row r="10007" spans="7:8">
      <c r="G10007" s="87"/>
      <c r="H10007" s="90"/>
    </row>
    <row r="10008" spans="7:8">
      <c r="G10008" s="87"/>
      <c r="H10008" s="90"/>
    </row>
    <row r="10009" spans="7:8">
      <c r="G10009" s="87"/>
      <c r="H10009" s="90"/>
    </row>
    <row r="10010" spans="7:8">
      <c r="G10010" s="87"/>
      <c r="H10010" s="90"/>
    </row>
    <row r="10011" spans="7:8">
      <c r="G10011" s="87"/>
      <c r="H10011" s="90"/>
    </row>
    <row r="10012" spans="7:8">
      <c r="G10012" s="87"/>
      <c r="H10012" s="90"/>
    </row>
    <row r="10013" spans="7:8">
      <c r="G10013" s="87"/>
      <c r="H10013" s="90"/>
    </row>
    <row r="10014" spans="7:8">
      <c r="G10014" s="87"/>
      <c r="H10014" s="90"/>
    </row>
    <row r="10015" spans="7:8">
      <c r="G10015" s="87"/>
      <c r="H10015" s="90"/>
    </row>
    <row r="10016" spans="7:8">
      <c r="G10016" s="87"/>
      <c r="H10016" s="90"/>
    </row>
    <row r="10017" spans="7:8">
      <c r="G10017" s="87"/>
      <c r="H10017" s="90"/>
    </row>
    <row r="10018" spans="7:8">
      <c r="G10018" s="87"/>
      <c r="H10018" s="90"/>
    </row>
    <row r="10019" spans="7:8">
      <c r="G10019" s="87"/>
      <c r="H10019" s="90"/>
    </row>
    <row r="10020" spans="7:8">
      <c r="G10020" s="87"/>
      <c r="H10020" s="90"/>
    </row>
    <row r="10021" spans="7:8">
      <c r="G10021" s="87"/>
      <c r="H10021" s="90"/>
    </row>
    <row r="10022" spans="7:8">
      <c r="G10022" s="87"/>
      <c r="H10022" s="90"/>
    </row>
    <row r="10023" spans="7:8">
      <c r="G10023" s="87"/>
      <c r="H10023" s="90"/>
    </row>
    <row r="10024" spans="7:8">
      <c r="G10024" s="87"/>
      <c r="H10024" s="90"/>
    </row>
    <row r="10025" spans="7:8">
      <c r="G10025" s="87"/>
      <c r="H10025" s="90"/>
    </row>
    <row r="10026" spans="7:8">
      <c r="G10026" s="87"/>
      <c r="H10026" s="90"/>
    </row>
    <row r="10027" spans="7:8">
      <c r="G10027" s="87"/>
      <c r="H10027" s="90"/>
    </row>
    <row r="10028" spans="7:8">
      <c r="G10028" s="87"/>
      <c r="H10028" s="90"/>
    </row>
    <row r="10029" spans="7:8">
      <c r="G10029" s="87"/>
      <c r="H10029" s="90"/>
    </row>
    <row r="10030" spans="7:8">
      <c r="G10030" s="87"/>
      <c r="H10030" s="90"/>
    </row>
    <row r="10031" spans="7:8">
      <c r="G10031" s="87"/>
      <c r="H10031" s="90"/>
    </row>
    <row r="10032" spans="7:8">
      <c r="G10032" s="87"/>
      <c r="H10032" s="90"/>
    </row>
    <row r="10033" spans="7:8">
      <c r="G10033" s="87"/>
      <c r="H10033" s="90"/>
    </row>
    <row r="10034" spans="7:8">
      <c r="G10034" s="87"/>
      <c r="H10034" s="90"/>
    </row>
    <row r="10035" spans="7:8">
      <c r="G10035" s="87"/>
      <c r="H10035" s="90"/>
    </row>
    <row r="10036" spans="7:8">
      <c r="G10036" s="87"/>
      <c r="H10036" s="90"/>
    </row>
    <row r="10037" spans="7:8">
      <c r="G10037" s="87"/>
      <c r="H10037" s="90"/>
    </row>
    <row r="10038" spans="7:8">
      <c r="G10038" s="87"/>
      <c r="H10038" s="90"/>
    </row>
    <row r="10039" spans="7:8">
      <c r="G10039" s="87"/>
      <c r="H10039" s="90"/>
    </row>
    <row r="10040" spans="7:8">
      <c r="G10040" s="87"/>
      <c r="H10040" s="90"/>
    </row>
    <row r="10041" spans="7:8">
      <c r="G10041" s="87"/>
      <c r="H10041" s="90"/>
    </row>
    <row r="10042" spans="7:8">
      <c r="G10042" s="87"/>
      <c r="H10042" s="90"/>
    </row>
    <row r="10043" spans="7:8">
      <c r="G10043" s="87"/>
      <c r="H10043" s="90"/>
    </row>
    <row r="10044" spans="7:8">
      <c r="G10044" s="87"/>
      <c r="H10044" s="90"/>
    </row>
    <row r="10045" spans="7:8">
      <c r="G10045" s="87"/>
      <c r="H10045" s="90"/>
    </row>
    <row r="10046" spans="7:8">
      <c r="G10046" s="87"/>
      <c r="H10046" s="90"/>
    </row>
    <row r="10047" spans="7:8">
      <c r="G10047" s="87"/>
      <c r="H10047" s="90"/>
    </row>
    <row r="10048" spans="7:8">
      <c r="G10048" s="87"/>
      <c r="H10048" s="90"/>
    </row>
    <row r="10049" spans="7:8">
      <c r="G10049" s="87"/>
      <c r="H10049" s="90"/>
    </row>
    <row r="10050" spans="7:8">
      <c r="G10050" s="87"/>
      <c r="H10050" s="90"/>
    </row>
    <row r="10051" spans="7:8">
      <c r="G10051" s="87"/>
      <c r="H10051" s="90"/>
    </row>
    <row r="10052" spans="7:8">
      <c r="G10052" s="87"/>
      <c r="H10052" s="90"/>
    </row>
    <row r="10053" spans="7:8">
      <c r="G10053" s="87"/>
      <c r="H10053" s="90"/>
    </row>
    <row r="10054" spans="7:8">
      <c r="G10054" s="87"/>
      <c r="H10054" s="90"/>
    </row>
    <row r="10055" spans="7:8">
      <c r="G10055" s="87"/>
      <c r="H10055" s="90"/>
    </row>
    <row r="10056" spans="7:8">
      <c r="G10056" s="87"/>
      <c r="H10056" s="90"/>
    </row>
    <row r="10057" spans="7:8">
      <c r="G10057" s="87"/>
      <c r="H10057" s="90"/>
    </row>
    <row r="10058" spans="7:8">
      <c r="G10058" s="87"/>
      <c r="H10058" s="90"/>
    </row>
    <row r="10059" spans="7:8">
      <c r="G10059" s="87"/>
      <c r="H10059" s="90"/>
    </row>
    <row r="10060" spans="7:8">
      <c r="G10060" s="87"/>
      <c r="H10060" s="90"/>
    </row>
    <row r="10061" spans="7:8">
      <c r="G10061" s="87"/>
      <c r="H10061" s="90"/>
    </row>
    <row r="10062" spans="7:8">
      <c r="G10062" s="87"/>
      <c r="H10062" s="90"/>
    </row>
    <row r="10063" spans="7:8">
      <c r="G10063" s="87"/>
      <c r="H10063" s="90"/>
    </row>
    <row r="10064" spans="7:8">
      <c r="G10064" s="87"/>
      <c r="H10064" s="90"/>
    </row>
    <row r="10065" spans="7:8">
      <c r="G10065" s="87"/>
      <c r="H10065" s="90"/>
    </row>
    <row r="10066" spans="7:8">
      <c r="G10066" s="87"/>
      <c r="H10066" s="90"/>
    </row>
    <row r="10067" spans="7:8">
      <c r="G10067" s="87"/>
      <c r="H10067" s="90"/>
    </row>
    <row r="10068" spans="7:8">
      <c r="G10068" s="87"/>
      <c r="H10068" s="90"/>
    </row>
    <row r="10069" spans="7:8">
      <c r="G10069" s="87"/>
      <c r="H10069" s="90"/>
    </row>
    <row r="10070" spans="7:8">
      <c r="G10070" s="87"/>
      <c r="H10070" s="90"/>
    </row>
    <row r="10071" spans="7:8">
      <c r="G10071" s="87"/>
      <c r="H10071" s="90"/>
    </row>
    <row r="10072" spans="7:8">
      <c r="G10072" s="87"/>
      <c r="H10072" s="90"/>
    </row>
    <row r="10073" spans="7:8">
      <c r="G10073" s="87"/>
      <c r="H10073" s="90"/>
    </row>
    <row r="10074" spans="7:8">
      <c r="G10074" s="87"/>
      <c r="H10074" s="90"/>
    </row>
    <row r="10075" spans="7:8">
      <c r="G10075" s="87"/>
      <c r="H10075" s="90"/>
    </row>
    <row r="10076" spans="7:8">
      <c r="G10076" s="87"/>
      <c r="H10076" s="90"/>
    </row>
    <row r="10077" spans="7:8">
      <c r="G10077" s="87"/>
      <c r="H10077" s="90"/>
    </row>
    <row r="10078" spans="7:8">
      <c r="G10078" s="87"/>
      <c r="H10078" s="90"/>
    </row>
    <row r="10079" spans="7:8">
      <c r="G10079" s="87"/>
      <c r="H10079" s="90"/>
    </row>
    <row r="10080" spans="7:8">
      <c r="G10080" s="87"/>
      <c r="H10080" s="90"/>
    </row>
    <row r="10081" spans="7:8">
      <c r="G10081" s="87"/>
      <c r="H10081" s="90"/>
    </row>
    <row r="10082" spans="7:8">
      <c r="G10082" s="87"/>
      <c r="H10082" s="90"/>
    </row>
    <row r="10083" spans="7:8">
      <c r="G10083" s="87"/>
      <c r="H10083" s="90"/>
    </row>
    <row r="10084" spans="7:8">
      <c r="G10084" s="87"/>
      <c r="H10084" s="90"/>
    </row>
    <row r="10085" spans="7:8">
      <c r="G10085" s="87"/>
      <c r="H10085" s="90"/>
    </row>
    <row r="10086" spans="7:8">
      <c r="G10086" s="87"/>
      <c r="H10086" s="90"/>
    </row>
    <row r="10087" spans="7:8">
      <c r="G10087" s="87"/>
      <c r="H10087" s="90"/>
    </row>
    <row r="10088" spans="7:8">
      <c r="G10088" s="87"/>
      <c r="H10088" s="90"/>
    </row>
    <row r="10089" spans="7:8">
      <c r="G10089" s="87"/>
      <c r="H10089" s="90"/>
    </row>
    <row r="10090" spans="7:8">
      <c r="G10090" s="87"/>
      <c r="H10090" s="90"/>
    </row>
    <row r="10091" spans="7:8">
      <c r="G10091" s="87"/>
      <c r="H10091" s="90"/>
    </row>
    <row r="10092" spans="7:8">
      <c r="G10092" s="87"/>
      <c r="H10092" s="90"/>
    </row>
    <row r="10093" spans="7:8">
      <c r="G10093" s="87"/>
      <c r="H10093" s="90"/>
    </row>
    <row r="10094" spans="7:8">
      <c r="G10094" s="87"/>
      <c r="H10094" s="90"/>
    </row>
    <row r="10095" spans="7:8">
      <c r="G10095" s="87"/>
      <c r="H10095" s="90"/>
    </row>
    <row r="10096" spans="7:8">
      <c r="G10096" s="87"/>
      <c r="H10096" s="90"/>
    </row>
    <row r="10097" spans="7:8">
      <c r="G10097" s="87"/>
      <c r="H10097" s="90"/>
    </row>
    <row r="10098" spans="7:8">
      <c r="G10098" s="87"/>
      <c r="H10098" s="90"/>
    </row>
    <row r="10099" spans="7:8">
      <c r="G10099" s="87"/>
      <c r="H10099" s="90"/>
    </row>
    <row r="10100" spans="7:8">
      <c r="G10100" s="87"/>
      <c r="H10100" s="90"/>
    </row>
    <row r="10101" spans="7:8">
      <c r="G10101" s="87"/>
      <c r="H10101" s="90"/>
    </row>
    <row r="10102" spans="7:8">
      <c r="G10102" s="87"/>
      <c r="H10102" s="90"/>
    </row>
    <row r="10103" spans="7:8">
      <c r="G10103" s="87"/>
      <c r="H10103" s="90"/>
    </row>
    <row r="10104" spans="7:8">
      <c r="G10104" s="87"/>
      <c r="H10104" s="90"/>
    </row>
    <row r="10105" spans="7:8">
      <c r="G10105" s="87"/>
      <c r="H10105" s="90"/>
    </row>
    <row r="10106" spans="7:8">
      <c r="G10106" s="87"/>
      <c r="H10106" s="90"/>
    </row>
    <row r="10107" spans="7:8">
      <c r="G10107" s="87"/>
      <c r="H10107" s="90"/>
    </row>
    <row r="10108" spans="7:8">
      <c r="G10108" s="87"/>
      <c r="H10108" s="90"/>
    </row>
    <row r="10109" spans="7:8">
      <c r="G10109" s="87"/>
      <c r="H10109" s="90"/>
    </row>
    <row r="10110" spans="7:8">
      <c r="G10110" s="87"/>
      <c r="H10110" s="90"/>
    </row>
    <row r="10111" spans="7:8">
      <c r="G10111" s="87"/>
      <c r="H10111" s="90"/>
    </row>
    <row r="10112" spans="7:8">
      <c r="G10112" s="87"/>
      <c r="H10112" s="90"/>
    </row>
    <row r="10113" spans="7:8">
      <c r="G10113" s="87"/>
      <c r="H10113" s="90"/>
    </row>
    <row r="10114" spans="7:8">
      <c r="G10114" s="87"/>
      <c r="H10114" s="90"/>
    </row>
    <row r="10115" spans="7:8">
      <c r="G10115" s="87"/>
      <c r="H10115" s="90"/>
    </row>
    <row r="10116" spans="7:8">
      <c r="G10116" s="87"/>
      <c r="H10116" s="90"/>
    </row>
    <row r="10117" spans="7:8">
      <c r="G10117" s="87"/>
      <c r="H10117" s="90"/>
    </row>
    <row r="10118" spans="7:8">
      <c r="G10118" s="87"/>
      <c r="H10118" s="90"/>
    </row>
    <row r="10119" spans="7:8">
      <c r="G10119" s="87"/>
      <c r="H10119" s="90"/>
    </row>
    <row r="10120" spans="7:8">
      <c r="G10120" s="87"/>
      <c r="H10120" s="90"/>
    </row>
    <row r="10121" spans="7:8">
      <c r="G10121" s="87"/>
      <c r="H10121" s="90"/>
    </row>
    <row r="10122" spans="7:8">
      <c r="G10122" s="87"/>
      <c r="H10122" s="90"/>
    </row>
    <row r="10123" spans="7:8">
      <c r="G10123" s="87"/>
      <c r="H10123" s="90"/>
    </row>
    <row r="10124" spans="7:8">
      <c r="G10124" s="87"/>
      <c r="H10124" s="90"/>
    </row>
    <row r="10125" spans="7:8">
      <c r="G10125" s="87"/>
      <c r="H10125" s="90"/>
    </row>
    <row r="10126" spans="7:8">
      <c r="G10126" s="87"/>
      <c r="H10126" s="90"/>
    </row>
    <row r="10127" spans="7:8">
      <c r="G10127" s="87"/>
      <c r="H10127" s="90"/>
    </row>
    <row r="10128" spans="7:8">
      <c r="G10128" s="87"/>
      <c r="H10128" s="90"/>
    </row>
    <row r="10129" spans="7:8">
      <c r="G10129" s="87"/>
      <c r="H10129" s="90"/>
    </row>
    <row r="10130" spans="7:8">
      <c r="G10130" s="87"/>
      <c r="H10130" s="90"/>
    </row>
    <row r="10131" spans="7:8">
      <c r="G10131" s="87"/>
      <c r="H10131" s="90"/>
    </row>
    <row r="10132" spans="7:8">
      <c r="G10132" s="87"/>
      <c r="H10132" s="90"/>
    </row>
    <row r="10133" spans="7:8">
      <c r="G10133" s="87"/>
      <c r="H10133" s="90"/>
    </row>
    <row r="10134" spans="7:8">
      <c r="G10134" s="87"/>
      <c r="H10134" s="90"/>
    </row>
    <row r="10135" spans="7:8">
      <c r="G10135" s="87"/>
      <c r="H10135" s="90"/>
    </row>
    <row r="10136" spans="7:8">
      <c r="G10136" s="87"/>
      <c r="H10136" s="90"/>
    </row>
    <row r="10137" spans="7:8">
      <c r="G10137" s="87"/>
      <c r="H10137" s="90"/>
    </row>
    <row r="10138" spans="7:8">
      <c r="G10138" s="87"/>
      <c r="H10138" s="90"/>
    </row>
    <row r="10139" spans="7:8">
      <c r="G10139" s="87"/>
      <c r="H10139" s="90"/>
    </row>
    <row r="10140" spans="7:8">
      <c r="G10140" s="87"/>
      <c r="H10140" s="90"/>
    </row>
    <row r="10141" spans="7:8">
      <c r="G10141" s="87"/>
      <c r="H10141" s="90"/>
    </row>
    <row r="10142" spans="7:8">
      <c r="G10142" s="87"/>
      <c r="H10142" s="90"/>
    </row>
    <row r="10143" spans="7:8">
      <c r="G10143" s="87"/>
      <c r="H10143" s="90"/>
    </row>
    <row r="10144" spans="7:8">
      <c r="G10144" s="87"/>
      <c r="H10144" s="90"/>
    </row>
    <row r="10145" spans="7:8">
      <c r="G10145" s="87"/>
      <c r="H10145" s="90"/>
    </row>
    <row r="10146" spans="7:8">
      <c r="G10146" s="87"/>
      <c r="H10146" s="90"/>
    </row>
    <row r="10147" spans="7:8">
      <c r="G10147" s="87"/>
      <c r="H10147" s="90"/>
    </row>
    <row r="10148" spans="7:8">
      <c r="G10148" s="87"/>
      <c r="H10148" s="90"/>
    </row>
    <row r="10149" spans="7:8">
      <c r="G10149" s="87"/>
      <c r="H10149" s="90"/>
    </row>
    <row r="10150" spans="7:8">
      <c r="G10150" s="87"/>
      <c r="H10150" s="90"/>
    </row>
    <row r="10151" spans="7:8">
      <c r="G10151" s="87"/>
      <c r="H10151" s="90"/>
    </row>
    <row r="10152" spans="7:8">
      <c r="G10152" s="87"/>
      <c r="H10152" s="90"/>
    </row>
    <row r="10153" spans="7:8">
      <c r="G10153" s="87"/>
      <c r="H10153" s="90"/>
    </row>
    <row r="10154" spans="7:8">
      <c r="G10154" s="87"/>
      <c r="H10154" s="90"/>
    </row>
    <row r="10155" spans="7:8">
      <c r="G10155" s="87"/>
      <c r="H10155" s="90"/>
    </row>
    <row r="10156" spans="7:8">
      <c r="G10156" s="87"/>
      <c r="H10156" s="90"/>
    </row>
    <row r="10157" spans="7:8">
      <c r="G10157" s="87"/>
      <c r="H10157" s="90"/>
    </row>
    <row r="10158" spans="7:8">
      <c r="G10158" s="87"/>
      <c r="H10158" s="90"/>
    </row>
    <row r="10159" spans="7:8">
      <c r="G10159" s="87"/>
      <c r="H10159" s="90"/>
    </row>
    <row r="10160" spans="7:8">
      <c r="G10160" s="87"/>
      <c r="H10160" s="90"/>
    </row>
    <row r="10161" spans="7:8">
      <c r="G10161" s="87"/>
      <c r="H10161" s="90"/>
    </row>
    <row r="10162" spans="7:8">
      <c r="G10162" s="87"/>
      <c r="H10162" s="90"/>
    </row>
    <row r="10163" spans="7:8">
      <c r="G10163" s="87"/>
      <c r="H10163" s="90"/>
    </row>
    <row r="10164" spans="7:8">
      <c r="G10164" s="87"/>
      <c r="H10164" s="90"/>
    </row>
    <row r="10165" spans="7:8">
      <c r="G10165" s="87"/>
      <c r="H10165" s="90"/>
    </row>
    <row r="10166" spans="7:8">
      <c r="G10166" s="87"/>
      <c r="H10166" s="90"/>
    </row>
    <row r="10167" spans="7:8">
      <c r="G10167" s="87"/>
      <c r="H10167" s="90"/>
    </row>
    <row r="10168" spans="7:8">
      <c r="G10168" s="87"/>
      <c r="H10168" s="90"/>
    </row>
    <row r="10169" spans="7:8">
      <c r="G10169" s="87"/>
      <c r="H10169" s="90"/>
    </row>
    <row r="10170" spans="7:8">
      <c r="G10170" s="87"/>
      <c r="H10170" s="90"/>
    </row>
    <row r="10171" spans="7:8">
      <c r="G10171" s="87"/>
      <c r="H10171" s="90"/>
    </row>
    <row r="10172" spans="7:8">
      <c r="G10172" s="87"/>
      <c r="H10172" s="90"/>
    </row>
    <row r="10173" spans="7:8">
      <c r="G10173" s="87"/>
      <c r="H10173" s="90"/>
    </row>
    <row r="10174" spans="7:8">
      <c r="G10174" s="87"/>
      <c r="H10174" s="90"/>
    </row>
    <row r="10175" spans="7:8">
      <c r="G10175" s="87"/>
      <c r="H10175" s="90"/>
    </row>
    <row r="10176" spans="7:8">
      <c r="G10176" s="87"/>
      <c r="H10176" s="90"/>
    </row>
    <row r="10177" spans="7:8">
      <c r="G10177" s="87"/>
      <c r="H10177" s="90"/>
    </row>
    <row r="10178" spans="7:8">
      <c r="G10178" s="87"/>
      <c r="H10178" s="90"/>
    </row>
    <row r="10179" spans="7:8">
      <c r="G10179" s="87"/>
      <c r="H10179" s="90"/>
    </row>
    <row r="10180" spans="7:8">
      <c r="G10180" s="87"/>
      <c r="H10180" s="90"/>
    </row>
    <row r="10181" spans="7:8">
      <c r="G10181" s="87"/>
      <c r="H10181" s="90"/>
    </row>
    <row r="10182" spans="7:8">
      <c r="G10182" s="87"/>
      <c r="H10182" s="90"/>
    </row>
    <row r="10183" spans="7:8">
      <c r="G10183" s="87"/>
      <c r="H10183" s="90"/>
    </row>
    <row r="10184" spans="7:8">
      <c r="G10184" s="87"/>
      <c r="H10184" s="90"/>
    </row>
    <row r="10185" spans="7:8">
      <c r="G10185" s="87"/>
      <c r="H10185" s="90"/>
    </row>
    <row r="10186" spans="7:8">
      <c r="G10186" s="87"/>
      <c r="H10186" s="90"/>
    </row>
    <row r="10187" spans="7:8">
      <c r="G10187" s="87"/>
      <c r="H10187" s="90"/>
    </row>
    <row r="10188" spans="7:8">
      <c r="G10188" s="87"/>
      <c r="H10188" s="90"/>
    </row>
    <row r="10189" spans="7:8">
      <c r="G10189" s="87"/>
      <c r="H10189" s="90"/>
    </row>
    <row r="10190" spans="7:8">
      <c r="G10190" s="87"/>
      <c r="H10190" s="90"/>
    </row>
    <row r="10191" spans="7:8">
      <c r="G10191" s="87"/>
      <c r="H10191" s="90"/>
    </row>
    <row r="10192" spans="7:8">
      <c r="G10192" s="87"/>
      <c r="H10192" s="90"/>
    </row>
    <row r="10193" spans="7:8">
      <c r="G10193" s="87"/>
      <c r="H10193" s="90"/>
    </row>
    <row r="10194" spans="7:8">
      <c r="G10194" s="87"/>
      <c r="H10194" s="90"/>
    </row>
    <row r="10195" spans="7:8">
      <c r="G10195" s="87"/>
      <c r="H10195" s="90"/>
    </row>
    <row r="10196" spans="7:8">
      <c r="G10196" s="87"/>
      <c r="H10196" s="90"/>
    </row>
    <row r="10197" spans="7:8">
      <c r="G10197" s="87"/>
      <c r="H10197" s="90"/>
    </row>
    <row r="10198" spans="7:8">
      <c r="G10198" s="87"/>
      <c r="H10198" s="90"/>
    </row>
    <row r="10199" spans="7:8">
      <c r="G10199" s="87"/>
      <c r="H10199" s="90"/>
    </row>
    <row r="10200" spans="7:8">
      <c r="G10200" s="87"/>
      <c r="H10200" s="90"/>
    </row>
    <row r="10201" spans="7:8">
      <c r="G10201" s="87"/>
      <c r="H10201" s="90"/>
    </row>
    <row r="10202" spans="7:8">
      <c r="G10202" s="87"/>
      <c r="H10202" s="90"/>
    </row>
    <row r="10203" spans="7:8">
      <c r="G10203" s="87"/>
      <c r="H10203" s="90"/>
    </row>
    <row r="10204" spans="7:8">
      <c r="G10204" s="87"/>
      <c r="H10204" s="90"/>
    </row>
    <row r="10205" spans="7:8">
      <c r="G10205" s="87"/>
      <c r="H10205" s="90"/>
    </row>
    <row r="10206" spans="7:8">
      <c r="G10206" s="87"/>
      <c r="H10206" s="90"/>
    </row>
    <row r="10207" spans="7:8">
      <c r="G10207" s="87"/>
      <c r="H10207" s="90"/>
    </row>
    <row r="10208" spans="7:8">
      <c r="G10208" s="87"/>
      <c r="H10208" s="90"/>
    </row>
    <row r="10209" spans="7:8">
      <c r="G10209" s="87"/>
      <c r="H10209" s="90"/>
    </row>
    <row r="10210" spans="7:8">
      <c r="G10210" s="87"/>
      <c r="H10210" s="90"/>
    </row>
    <row r="10211" spans="7:8">
      <c r="G10211" s="87"/>
      <c r="H10211" s="90"/>
    </row>
    <row r="10212" spans="7:8">
      <c r="G10212" s="87"/>
      <c r="H10212" s="90"/>
    </row>
    <row r="10213" spans="7:8">
      <c r="G10213" s="87"/>
      <c r="H10213" s="90"/>
    </row>
    <row r="10214" spans="7:8">
      <c r="G10214" s="87"/>
      <c r="H10214" s="90"/>
    </row>
    <row r="10215" spans="7:8">
      <c r="G10215" s="87"/>
      <c r="H10215" s="90"/>
    </row>
    <row r="10216" spans="7:8">
      <c r="G10216" s="87"/>
      <c r="H10216" s="90"/>
    </row>
    <row r="10217" spans="7:8">
      <c r="G10217" s="87"/>
      <c r="H10217" s="90"/>
    </row>
    <row r="10218" spans="7:8">
      <c r="G10218" s="87"/>
      <c r="H10218" s="90"/>
    </row>
    <row r="10219" spans="7:8">
      <c r="G10219" s="87"/>
      <c r="H10219" s="90"/>
    </row>
    <row r="10220" spans="7:8">
      <c r="G10220" s="87"/>
      <c r="H10220" s="90"/>
    </row>
    <row r="10221" spans="7:8">
      <c r="G10221" s="87"/>
      <c r="H10221" s="90"/>
    </row>
    <row r="10222" spans="7:8">
      <c r="G10222" s="87"/>
      <c r="H10222" s="90"/>
    </row>
    <row r="10223" spans="7:8">
      <c r="G10223" s="87"/>
      <c r="H10223" s="90"/>
    </row>
    <row r="10224" spans="7:8">
      <c r="G10224" s="87"/>
      <c r="H10224" s="90"/>
    </row>
    <row r="10225" spans="7:8">
      <c r="G10225" s="87"/>
      <c r="H10225" s="90"/>
    </row>
    <row r="10226" spans="7:8">
      <c r="G10226" s="87"/>
      <c r="H10226" s="90"/>
    </row>
    <row r="10227" spans="7:8">
      <c r="G10227" s="87"/>
      <c r="H10227" s="90"/>
    </row>
    <row r="10228" spans="7:8">
      <c r="G10228" s="87"/>
      <c r="H10228" s="90"/>
    </row>
    <row r="10229" spans="7:8">
      <c r="G10229" s="87"/>
      <c r="H10229" s="90"/>
    </row>
    <row r="10230" spans="7:8">
      <c r="G10230" s="87"/>
      <c r="H10230" s="90"/>
    </row>
    <row r="10231" spans="7:8">
      <c r="G10231" s="87"/>
      <c r="H10231" s="90"/>
    </row>
    <row r="10232" spans="7:8">
      <c r="G10232" s="87"/>
      <c r="H10232" s="90"/>
    </row>
    <row r="10233" spans="7:8">
      <c r="G10233" s="87"/>
      <c r="H10233" s="90"/>
    </row>
    <row r="10234" spans="7:8">
      <c r="G10234" s="87"/>
      <c r="H10234" s="90"/>
    </row>
    <row r="10235" spans="7:8">
      <c r="G10235" s="87"/>
      <c r="H10235" s="90"/>
    </row>
    <row r="10236" spans="7:8">
      <c r="G10236" s="87"/>
      <c r="H10236" s="90"/>
    </row>
    <row r="10237" spans="7:8">
      <c r="G10237" s="87"/>
      <c r="H10237" s="90"/>
    </row>
    <row r="10238" spans="7:8">
      <c r="G10238" s="87"/>
      <c r="H10238" s="90"/>
    </row>
    <row r="10239" spans="7:8">
      <c r="G10239" s="87"/>
      <c r="H10239" s="90"/>
    </row>
    <row r="10240" spans="7:8">
      <c r="G10240" s="87"/>
      <c r="H10240" s="90"/>
    </row>
    <row r="10241" spans="7:8">
      <c r="G10241" s="87"/>
      <c r="H10241" s="90"/>
    </row>
    <row r="10242" spans="7:8">
      <c r="G10242" s="87"/>
      <c r="H10242" s="90"/>
    </row>
    <row r="10243" spans="7:8">
      <c r="G10243" s="87"/>
      <c r="H10243" s="90"/>
    </row>
    <row r="10244" spans="7:8">
      <c r="G10244" s="87"/>
      <c r="H10244" s="90"/>
    </row>
    <row r="10245" spans="7:8">
      <c r="G10245" s="87"/>
      <c r="H10245" s="90"/>
    </row>
    <row r="10246" spans="7:8">
      <c r="G10246" s="87"/>
      <c r="H10246" s="90"/>
    </row>
    <row r="10247" spans="7:8">
      <c r="G10247" s="87"/>
      <c r="H10247" s="90"/>
    </row>
    <row r="10248" spans="7:8">
      <c r="G10248" s="87"/>
      <c r="H10248" s="90"/>
    </row>
    <row r="10249" spans="7:8">
      <c r="G10249" s="87"/>
      <c r="H10249" s="90"/>
    </row>
    <row r="10250" spans="7:8">
      <c r="G10250" s="87"/>
      <c r="H10250" s="90"/>
    </row>
    <row r="10251" spans="7:8">
      <c r="G10251" s="87"/>
      <c r="H10251" s="90"/>
    </row>
    <row r="10252" spans="7:8">
      <c r="G10252" s="87"/>
      <c r="H10252" s="90"/>
    </row>
    <row r="10253" spans="7:8">
      <c r="G10253" s="87"/>
      <c r="H10253" s="90"/>
    </row>
    <row r="10254" spans="7:8">
      <c r="G10254" s="87"/>
      <c r="H10254" s="90"/>
    </row>
    <row r="10255" spans="7:8">
      <c r="G10255" s="87"/>
      <c r="H10255" s="90"/>
    </row>
    <row r="10256" spans="7:8">
      <c r="G10256" s="87"/>
      <c r="H10256" s="90"/>
    </row>
    <row r="10257" spans="7:8">
      <c r="G10257" s="87"/>
      <c r="H10257" s="90"/>
    </row>
    <row r="10258" spans="7:8">
      <c r="G10258" s="87"/>
      <c r="H10258" s="90"/>
    </row>
    <row r="10259" spans="7:8">
      <c r="G10259" s="87"/>
      <c r="H10259" s="90"/>
    </row>
    <row r="10260" spans="7:8">
      <c r="G10260" s="87"/>
      <c r="H10260" s="90"/>
    </row>
    <row r="10261" spans="7:8">
      <c r="G10261" s="87"/>
      <c r="H10261" s="90"/>
    </row>
    <row r="10262" spans="7:8">
      <c r="G10262" s="87"/>
      <c r="H10262" s="90"/>
    </row>
    <row r="10263" spans="7:8">
      <c r="G10263" s="87"/>
      <c r="H10263" s="90"/>
    </row>
    <row r="10264" spans="7:8">
      <c r="G10264" s="87"/>
      <c r="H10264" s="90"/>
    </row>
    <row r="10265" spans="7:8">
      <c r="G10265" s="87"/>
      <c r="H10265" s="90"/>
    </row>
    <row r="10266" spans="7:8">
      <c r="G10266" s="87"/>
      <c r="H10266" s="90"/>
    </row>
    <row r="10267" spans="7:8">
      <c r="G10267" s="87"/>
      <c r="H10267" s="90"/>
    </row>
    <row r="10268" spans="7:8">
      <c r="G10268" s="87"/>
      <c r="H10268" s="90"/>
    </row>
    <row r="10269" spans="7:8">
      <c r="G10269" s="87"/>
      <c r="H10269" s="90"/>
    </row>
    <row r="10270" spans="7:8">
      <c r="G10270" s="87"/>
      <c r="H10270" s="90"/>
    </row>
    <row r="10271" spans="7:8">
      <c r="G10271" s="87"/>
      <c r="H10271" s="90"/>
    </row>
    <row r="10272" spans="7:8">
      <c r="G10272" s="87"/>
      <c r="H10272" s="90"/>
    </row>
    <row r="10273" spans="7:8">
      <c r="G10273" s="87"/>
      <c r="H10273" s="90"/>
    </row>
    <row r="10274" spans="7:8">
      <c r="G10274" s="87"/>
      <c r="H10274" s="90"/>
    </row>
    <row r="10275" spans="7:8">
      <c r="G10275" s="87"/>
      <c r="H10275" s="90"/>
    </row>
    <row r="10276" spans="7:8">
      <c r="G10276" s="87"/>
      <c r="H10276" s="90"/>
    </row>
    <row r="10277" spans="7:8">
      <c r="G10277" s="87"/>
      <c r="H10277" s="90"/>
    </row>
    <row r="10278" spans="7:8">
      <c r="G10278" s="87"/>
      <c r="H10278" s="90"/>
    </row>
    <row r="10279" spans="7:8">
      <c r="G10279" s="87"/>
      <c r="H10279" s="90"/>
    </row>
    <row r="10280" spans="7:8">
      <c r="G10280" s="87"/>
      <c r="H10280" s="90"/>
    </row>
    <row r="10281" spans="7:8">
      <c r="G10281" s="87"/>
      <c r="H10281" s="90"/>
    </row>
    <row r="10282" spans="7:8">
      <c r="G10282" s="87"/>
      <c r="H10282" s="90"/>
    </row>
    <row r="10283" spans="7:8">
      <c r="G10283" s="87"/>
      <c r="H10283" s="90"/>
    </row>
    <row r="10284" spans="7:8">
      <c r="G10284" s="87"/>
      <c r="H10284" s="90"/>
    </row>
    <row r="10285" spans="7:8">
      <c r="G10285" s="87"/>
      <c r="H10285" s="90"/>
    </row>
    <row r="10286" spans="7:8">
      <c r="G10286" s="87"/>
      <c r="H10286" s="90"/>
    </row>
    <row r="10287" spans="7:8">
      <c r="G10287" s="87"/>
      <c r="H10287" s="90"/>
    </row>
    <row r="10288" spans="7:8">
      <c r="G10288" s="87"/>
      <c r="H10288" s="90"/>
    </row>
    <row r="10289" spans="7:8">
      <c r="G10289" s="87"/>
      <c r="H10289" s="90"/>
    </row>
    <row r="10290" spans="7:8">
      <c r="G10290" s="87"/>
      <c r="H10290" s="90"/>
    </row>
    <row r="10291" spans="7:8">
      <c r="G10291" s="87"/>
      <c r="H10291" s="90"/>
    </row>
    <row r="10292" spans="7:8">
      <c r="G10292" s="87"/>
      <c r="H10292" s="90"/>
    </row>
    <row r="10293" spans="7:8">
      <c r="G10293" s="87"/>
      <c r="H10293" s="90"/>
    </row>
    <row r="10294" spans="7:8">
      <c r="G10294" s="87"/>
      <c r="H10294" s="90"/>
    </row>
    <row r="10295" spans="7:8">
      <c r="G10295" s="87"/>
      <c r="H10295" s="90"/>
    </row>
    <row r="10296" spans="7:8">
      <c r="G10296" s="87"/>
      <c r="H10296" s="90"/>
    </row>
    <row r="10297" spans="7:8">
      <c r="G10297" s="87"/>
      <c r="H10297" s="90"/>
    </row>
    <row r="10298" spans="7:8">
      <c r="G10298" s="87"/>
      <c r="H10298" s="90"/>
    </row>
    <row r="10299" spans="7:8">
      <c r="G10299" s="87"/>
      <c r="H10299" s="90"/>
    </row>
    <row r="10300" spans="7:8">
      <c r="G10300" s="87"/>
      <c r="H10300" s="90"/>
    </row>
    <row r="10301" spans="7:8">
      <c r="G10301" s="87"/>
      <c r="H10301" s="90"/>
    </row>
    <row r="10302" spans="7:8">
      <c r="G10302" s="87"/>
      <c r="H10302" s="90"/>
    </row>
    <row r="10303" spans="7:8">
      <c r="G10303" s="87"/>
      <c r="H10303" s="90"/>
    </row>
    <row r="10304" spans="7:8">
      <c r="G10304" s="87"/>
      <c r="H10304" s="90"/>
    </row>
    <row r="10305" spans="7:8">
      <c r="G10305" s="87"/>
      <c r="H10305" s="90"/>
    </row>
    <row r="10306" spans="7:8">
      <c r="G10306" s="87"/>
      <c r="H10306" s="90"/>
    </row>
    <row r="10307" spans="7:8">
      <c r="G10307" s="87"/>
      <c r="H10307" s="90"/>
    </row>
    <row r="10308" spans="7:8">
      <c r="G10308" s="87"/>
      <c r="H10308" s="90"/>
    </row>
    <row r="10309" spans="7:8">
      <c r="G10309" s="87"/>
      <c r="H10309" s="90"/>
    </row>
    <row r="10310" spans="7:8">
      <c r="G10310" s="87"/>
      <c r="H10310" s="90"/>
    </row>
    <row r="10311" spans="7:8">
      <c r="G10311" s="87"/>
      <c r="H10311" s="90"/>
    </row>
    <row r="10312" spans="7:8">
      <c r="G10312" s="87"/>
      <c r="H10312" s="90"/>
    </row>
    <row r="10313" spans="7:8">
      <c r="G10313" s="87"/>
      <c r="H10313" s="90"/>
    </row>
    <row r="10314" spans="7:8">
      <c r="G10314" s="87"/>
      <c r="H10314" s="90"/>
    </row>
    <row r="10315" spans="7:8">
      <c r="G10315" s="87"/>
      <c r="H10315" s="90"/>
    </row>
    <row r="10316" spans="7:8">
      <c r="G10316" s="87"/>
      <c r="H10316" s="90"/>
    </row>
    <row r="10317" spans="7:8">
      <c r="G10317" s="87"/>
      <c r="H10317" s="90"/>
    </row>
    <row r="10318" spans="7:8">
      <c r="G10318" s="87"/>
      <c r="H10318" s="90"/>
    </row>
    <row r="10319" spans="7:8">
      <c r="G10319" s="87"/>
      <c r="H10319" s="90"/>
    </row>
    <row r="10320" spans="7:8">
      <c r="G10320" s="87"/>
      <c r="H10320" s="90"/>
    </row>
    <row r="10321" spans="7:8">
      <c r="G10321" s="87"/>
      <c r="H10321" s="90"/>
    </row>
    <row r="10322" spans="7:8">
      <c r="G10322" s="87"/>
      <c r="H10322" s="90"/>
    </row>
    <row r="10323" spans="7:8">
      <c r="G10323" s="87"/>
      <c r="H10323" s="90"/>
    </row>
    <row r="10324" spans="7:8">
      <c r="G10324" s="87"/>
      <c r="H10324" s="90"/>
    </row>
    <row r="10325" spans="7:8">
      <c r="G10325" s="87"/>
      <c r="H10325" s="90"/>
    </row>
    <row r="10326" spans="7:8">
      <c r="G10326" s="87"/>
      <c r="H10326" s="90"/>
    </row>
    <row r="10327" spans="7:8">
      <c r="G10327" s="87"/>
      <c r="H10327" s="90"/>
    </row>
    <row r="10328" spans="7:8">
      <c r="G10328" s="87"/>
      <c r="H10328" s="90"/>
    </row>
    <row r="10329" spans="7:8">
      <c r="G10329" s="87"/>
      <c r="H10329" s="90"/>
    </row>
    <row r="10330" spans="7:8">
      <c r="G10330" s="87"/>
      <c r="H10330" s="90"/>
    </row>
    <row r="10331" spans="7:8">
      <c r="G10331" s="87"/>
      <c r="H10331" s="90"/>
    </row>
    <row r="10332" spans="7:8">
      <c r="G10332" s="87"/>
      <c r="H10332" s="90"/>
    </row>
    <row r="10333" spans="7:8">
      <c r="G10333" s="87"/>
      <c r="H10333" s="90"/>
    </row>
    <row r="10334" spans="7:8">
      <c r="G10334" s="87"/>
      <c r="H10334" s="90"/>
    </row>
    <row r="10335" spans="7:8">
      <c r="G10335" s="87"/>
      <c r="H10335" s="90"/>
    </row>
    <row r="10336" spans="7:8">
      <c r="G10336" s="87"/>
      <c r="H10336" s="90"/>
    </row>
    <row r="10337" spans="7:8">
      <c r="G10337" s="87"/>
      <c r="H10337" s="90"/>
    </row>
    <row r="10338" spans="7:8">
      <c r="G10338" s="87"/>
      <c r="H10338" s="90"/>
    </row>
    <row r="10339" spans="7:8">
      <c r="G10339" s="87"/>
      <c r="H10339" s="90"/>
    </row>
    <row r="10340" spans="7:8">
      <c r="G10340" s="87"/>
      <c r="H10340" s="90"/>
    </row>
    <row r="10341" spans="7:8">
      <c r="G10341" s="87"/>
      <c r="H10341" s="90"/>
    </row>
    <row r="10342" spans="7:8">
      <c r="G10342" s="87"/>
      <c r="H10342" s="90"/>
    </row>
    <row r="10343" spans="7:8">
      <c r="G10343" s="87"/>
      <c r="H10343" s="90"/>
    </row>
    <row r="10344" spans="7:8">
      <c r="G10344" s="87"/>
      <c r="H10344" s="90"/>
    </row>
    <row r="10345" spans="7:8">
      <c r="G10345" s="87"/>
      <c r="H10345" s="90"/>
    </row>
    <row r="10346" spans="7:8">
      <c r="G10346" s="87"/>
      <c r="H10346" s="90"/>
    </row>
    <row r="10347" spans="7:8">
      <c r="G10347" s="87"/>
      <c r="H10347" s="90"/>
    </row>
    <row r="10348" spans="7:8">
      <c r="G10348" s="87"/>
      <c r="H10348" s="90"/>
    </row>
    <row r="10349" spans="7:8">
      <c r="G10349" s="87"/>
      <c r="H10349" s="90"/>
    </row>
    <row r="10350" spans="7:8">
      <c r="G10350" s="87"/>
      <c r="H10350" s="90"/>
    </row>
    <row r="10351" spans="7:8">
      <c r="G10351" s="87"/>
      <c r="H10351" s="90"/>
    </row>
    <row r="10352" spans="7:8">
      <c r="G10352" s="87"/>
      <c r="H10352" s="90"/>
    </row>
    <row r="10353" spans="7:8">
      <c r="G10353" s="87"/>
      <c r="H10353" s="90"/>
    </row>
    <row r="10354" spans="7:8">
      <c r="G10354" s="87"/>
      <c r="H10354" s="90"/>
    </row>
    <row r="10355" spans="7:8">
      <c r="G10355" s="87"/>
      <c r="H10355" s="90"/>
    </row>
    <row r="10356" spans="7:8">
      <c r="G10356" s="87"/>
      <c r="H10356" s="90"/>
    </row>
    <row r="10357" spans="7:8">
      <c r="G10357" s="87"/>
      <c r="H10357" s="90"/>
    </row>
    <row r="10358" spans="7:8">
      <c r="G10358" s="87"/>
      <c r="H10358" s="90"/>
    </row>
    <row r="10359" spans="7:8">
      <c r="G10359" s="87"/>
      <c r="H10359" s="90"/>
    </row>
    <row r="10360" spans="7:8">
      <c r="G10360" s="87"/>
      <c r="H10360" s="90"/>
    </row>
    <row r="10361" spans="7:8">
      <c r="G10361" s="87"/>
      <c r="H10361" s="90"/>
    </row>
    <row r="10362" spans="7:8">
      <c r="G10362" s="87"/>
      <c r="H10362" s="90"/>
    </row>
    <row r="10363" spans="7:8">
      <c r="G10363" s="87"/>
      <c r="H10363" s="90"/>
    </row>
    <row r="10364" spans="7:8">
      <c r="G10364" s="87"/>
      <c r="H10364" s="90"/>
    </row>
    <row r="10365" spans="7:8">
      <c r="G10365" s="87"/>
      <c r="H10365" s="90"/>
    </row>
    <row r="10366" spans="7:8">
      <c r="G10366" s="87"/>
      <c r="H10366" s="90"/>
    </row>
    <row r="10367" spans="7:8">
      <c r="G10367" s="87"/>
      <c r="H10367" s="90"/>
    </row>
    <row r="10368" spans="7:8">
      <c r="G10368" s="87"/>
      <c r="H10368" s="90"/>
    </row>
    <row r="10369" spans="7:8">
      <c r="G10369" s="87"/>
      <c r="H10369" s="90"/>
    </row>
    <row r="10370" spans="7:8">
      <c r="G10370" s="87"/>
      <c r="H10370" s="90"/>
    </row>
    <row r="10371" spans="7:8">
      <c r="G10371" s="87"/>
      <c r="H10371" s="90"/>
    </row>
    <row r="10372" spans="7:8">
      <c r="G10372" s="87"/>
      <c r="H10372" s="90"/>
    </row>
    <row r="10373" spans="7:8">
      <c r="G10373" s="87"/>
      <c r="H10373" s="90"/>
    </row>
    <row r="10374" spans="7:8">
      <c r="G10374" s="87"/>
      <c r="H10374" s="90"/>
    </row>
    <row r="10375" spans="7:8">
      <c r="G10375" s="87"/>
      <c r="H10375" s="90"/>
    </row>
    <row r="10376" spans="7:8">
      <c r="G10376" s="87"/>
      <c r="H10376" s="90"/>
    </row>
    <row r="10377" spans="7:8">
      <c r="G10377" s="87"/>
      <c r="H10377" s="90"/>
    </row>
    <row r="10378" spans="7:8">
      <c r="G10378" s="87"/>
      <c r="H10378" s="90"/>
    </row>
    <row r="10379" spans="7:8">
      <c r="G10379" s="87"/>
      <c r="H10379" s="90"/>
    </row>
    <row r="10380" spans="7:8">
      <c r="G10380" s="87"/>
      <c r="H10380" s="90"/>
    </row>
    <row r="10381" spans="7:8">
      <c r="G10381" s="87"/>
      <c r="H10381" s="90"/>
    </row>
    <row r="10382" spans="7:8">
      <c r="G10382" s="87"/>
      <c r="H10382" s="90"/>
    </row>
    <row r="10383" spans="7:8">
      <c r="G10383" s="87"/>
      <c r="H10383" s="90"/>
    </row>
    <row r="10384" spans="7:8">
      <c r="G10384" s="87"/>
      <c r="H10384" s="90"/>
    </row>
    <row r="10385" spans="7:8">
      <c r="G10385" s="87"/>
      <c r="H10385" s="90"/>
    </row>
    <row r="10386" spans="7:8">
      <c r="G10386" s="87"/>
      <c r="H10386" s="90"/>
    </row>
    <row r="10387" spans="7:8">
      <c r="G10387" s="87"/>
      <c r="H10387" s="90"/>
    </row>
    <row r="10388" spans="7:8">
      <c r="G10388" s="87"/>
      <c r="H10388" s="90"/>
    </row>
    <row r="10389" spans="7:8">
      <c r="G10389" s="87"/>
      <c r="H10389" s="90"/>
    </row>
    <row r="10390" spans="7:8">
      <c r="G10390" s="87"/>
      <c r="H10390" s="90"/>
    </row>
    <row r="10391" spans="7:8">
      <c r="G10391" s="87"/>
      <c r="H10391" s="90"/>
    </row>
    <row r="10392" spans="7:8">
      <c r="G10392" s="87"/>
      <c r="H10392" s="90"/>
    </row>
    <row r="10393" spans="7:8">
      <c r="G10393" s="87"/>
      <c r="H10393" s="90"/>
    </row>
    <row r="10394" spans="7:8">
      <c r="G10394" s="87"/>
      <c r="H10394" s="90"/>
    </row>
    <row r="10395" spans="7:8">
      <c r="G10395" s="87"/>
      <c r="H10395" s="90"/>
    </row>
    <row r="10396" spans="7:8">
      <c r="G10396" s="87"/>
      <c r="H10396" s="90"/>
    </row>
    <row r="10397" spans="7:8">
      <c r="G10397" s="87"/>
      <c r="H10397" s="90"/>
    </row>
    <row r="10398" spans="7:8">
      <c r="G10398" s="87"/>
      <c r="H10398" s="90"/>
    </row>
    <row r="10399" spans="7:8">
      <c r="G10399" s="87"/>
      <c r="H10399" s="90"/>
    </row>
    <row r="10400" spans="7:8">
      <c r="G10400" s="87"/>
      <c r="H10400" s="90"/>
    </row>
    <row r="10401" spans="7:8">
      <c r="G10401" s="87"/>
      <c r="H10401" s="90"/>
    </row>
    <row r="10402" spans="7:8">
      <c r="G10402" s="87"/>
      <c r="H10402" s="90"/>
    </row>
    <row r="10403" spans="7:8">
      <c r="G10403" s="87"/>
      <c r="H10403" s="90"/>
    </row>
    <row r="10404" spans="7:8">
      <c r="G10404" s="87"/>
      <c r="H10404" s="90"/>
    </row>
    <row r="10405" spans="7:8">
      <c r="G10405" s="87"/>
      <c r="H10405" s="90"/>
    </row>
    <row r="10406" spans="7:8">
      <c r="G10406" s="87"/>
      <c r="H10406" s="90"/>
    </row>
    <row r="10407" spans="7:8">
      <c r="G10407" s="87"/>
      <c r="H10407" s="90"/>
    </row>
    <row r="10408" spans="7:8">
      <c r="G10408" s="87"/>
      <c r="H10408" s="90"/>
    </row>
    <row r="10409" spans="7:8">
      <c r="G10409" s="87"/>
      <c r="H10409" s="90"/>
    </row>
    <row r="10410" spans="7:8">
      <c r="G10410" s="87"/>
      <c r="H10410" s="90"/>
    </row>
    <row r="10411" spans="7:8">
      <c r="G10411" s="87"/>
      <c r="H10411" s="90"/>
    </row>
    <row r="10412" spans="7:8">
      <c r="G10412" s="87"/>
      <c r="H10412" s="90"/>
    </row>
    <row r="10413" spans="7:8">
      <c r="G10413" s="87"/>
      <c r="H10413" s="90"/>
    </row>
    <row r="10414" spans="7:8">
      <c r="G10414" s="87"/>
      <c r="H10414" s="90"/>
    </row>
    <row r="10415" spans="7:8">
      <c r="G10415" s="87"/>
      <c r="H10415" s="90"/>
    </row>
    <row r="10416" spans="7:8">
      <c r="G10416" s="87"/>
      <c r="H10416" s="90"/>
    </row>
    <row r="10417" spans="7:8">
      <c r="G10417" s="87"/>
      <c r="H10417" s="90"/>
    </row>
    <row r="10418" spans="7:8">
      <c r="G10418" s="87"/>
      <c r="H10418" s="90"/>
    </row>
    <row r="10419" spans="7:8">
      <c r="G10419" s="87"/>
      <c r="H10419" s="90"/>
    </row>
    <row r="10420" spans="7:8">
      <c r="G10420" s="87"/>
      <c r="H10420" s="90"/>
    </row>
    <row r="10421" spans="7:8">
      <c r="G10421" s="87"/>
      <c r="H10421" s="90"/>
    </row>
    <row r="10422" spans="7:8">
      <c r="G10422" s="87"/>
      <c r="H10422" s="90"/>
    </row>
    <row r="10423" spans="7:8">
      <c r="G10423" s="87"/>
      <c r="H10423" s="90"/>
    </row>
    <row r="10424" spans="7:8">
      <c r="G10424" s="87"/>
      <c r="H10424" s="90"/>
    </row>
    <row r="10425" spans="7:8">
      <c r="G10425" s="87"/>
      <c r="H10425" s="90"/>
    </row>
    <row r="10426" spans="7:8">
      <c r="G10426" s="87"/>
      <c r="H10426" s="90"/>
    </row>
    <row r="10427" spans="7:8">
      <c r="G10427" s="87"/>
      <c r="H10427" s="90"/>
    </row>
    <row r="10428" spans="7:8">
      <c r="G10428" s="87"/>
      <c r="H10428" s="90"/>
    </row>
    <row r="10429" spans="7:8">
      <c r="G10429" s="87"/>
      <c r="H10429" s="90"/>
    </row>
    <row r="10430" spans="7:8">
      <c r="G10430" s="87"/>
      <c r="H10430" s="90"/>
    </row>
    <row r="10431" spans="7:8">
      <c r="G10431" s="87"/>
      <c r="H10431" s="90"/>
    </row>
    <row r="10432" spans="7:8">
      <c r="G10432" s="87"/>
      <c r="H10432" s="90"/>
    </row>
    <row r="10433" spans="7:8">
      <c r="G10433" s="87"/>
      <c r="H10433" s="90"/>
    </row>
    <row r="10434" spans="7:8">
      <c r="G10434" s="87"/>
      <c r="H10434" s="90"/>
    </row>
    <row r="10435" spans="7:8">
      <c r="G10435" s="87"/>
      <c r="H10435" s="90"/>
    </row>
    <row r="10436" spans="7:8">
      <c r="G10436" s="87"/>
      <c r="H10436" s="90"/>
    </row>
    <row r="10437" spans="7:8">
      <c r="G10437" s="87"/>
      <c r="H10437" s="90"/>
    </row>
    <row r="10438" spans="7:8">
      <c r="G10438" s="87"/>
      <c r="H10438" s="90"/>
    </row>
    <row r="10439" spans="7:8">
      <c r="G10439" s="87"/>
      <c r="H10439" s="90"/>
    </row>
    <row r="10440" spans="7:8">
      <c r="G10440" s="87"/>
      <c r="H10440" s="90"/>
    </row>
    <row r="10441" spans="7:8">
      <c r="G10441" s="87"/>
      <c r="H10441" s="90"/>
    </row>
    <row r="10442" spans="7:8">
      <c r="G10442" s="87"/>
      <c r="H10442" s="90"/>
    </row>
    <row r="10443" spans="7:8">
      <c r="G10443" s="87"/>
      <c r="H10443" s="90"/>
    </row>
    <row r="10444" spans="7:8">
      <c r="G10444" s="87"/>
      <c r="H10444" s="90"/>
    </row>
    <row r="10445" spans="7:8">
      <c r="G10445" s="87"/>
      <c r="H10445" s="90"/>
    </row>
    <row r="10446" spans="7:8">
      <c r="G10446" s="87"/>
      <c r="H10446" s="90"/>
    </row>
    <row r="10447" spans="7:8">
      <c r="G10447" s="87"/>
      <c r="H10447" s="90"/>
    </row>
    <row r="10448" spans="7:8">
      <c r="G10448" s="87"/>
      <c r="H10448" s="90"/>
    </row>
    <row r="10449" spans="7:8">
      <c r="G10449" s="87"/>
      <c r="H10449" s="90"/>
    </row>
    <row r="10450" spans="7:8">
      <c r="G10450" s="87"/>
      <c r="H10450" s="90"/>
    </row>
    <row r="10451" spans="7:8">
      <c r="G10451" s="87"/>
      <c r="H10451" s="90"/>
    </row>
    <row r="10452" spans="7:8">
      <c r="G10452" s="87"/>
      <c r="H10452" s="90"/>
    </row>
    <row r="10453" spans="7:8">
      <c r="G10453" s="87"/>
      <c r="H10453" s="90"/>
    </row>
    <row r="10454" spans="7:8">
      <c r="G10454" s="87"/>
      <c r="H10454" s="90"/>
    </row>
    <row r="10455" spans="7:8">
      <c r="G10455" s="87"/>
      <c r="H10455" s="90"/>
    </row>
    <row r="10456" spans="7:8">
      <c r="G10456" s="87"/>
      <c r="H10456" s="90"/>
    </row>
    <row r="10457" spans="7:8">
      <c r="G10457" s="87"/>
      <c r="H10457" s="90"/>
    </row>
    <row r="10458" spans="7:8">
      <c r="G10458" s="87"/>
      <c r="H10458" s="90"/>
    </row>
    <row r="10459" spans="7:8">
      <c r="G10459" s="87"/>
      <c r="H10459" s="90"/>
    </row>
    <row r="10460" spans="7:8">
      <c r="G10460" s="87"/>
      <c r="H10460" s="90"/>
    </row>
    <row r="10461" spans="7:8">
      <c r="G10461" s="87"/>
      <c r="H10461" s="90"/>
    </row>
    <row r="10462" spans="7:8">
      <c r="G10462" s="87"/>
      <c r="H10462" s="90"/>
    </row>
    <row r="10463" spans="7:8">
      <c r="G10463" s="87"/>
      <c r="H10463" s="90"/>
    </row>
    <row r="10464" spans="7:8">
      <c r="G10464" s="87"/>
      <c r="H10464" s="90"/>
    </row>
    <row r="10465" spans="7:8">
      <c r="G10465" s="87"/>
      <c r="H10465" s="90"/>
    </row>
    <row r="10466" spans="7:8">
      <c r="G10466" s="87"/>
      <c r="H10466" s="90"/>
    </row>
    <row r="10467" spans="7:8">
      <c r="G10467" s="87"/>
      <c r="H10467" s="90"/>
    </row>
    <row r="10468" spans="7:8">
      <c r="G10468" s="87"/>
      <c r="H10468" s="90"/>
    </row>
    <row r="10469" spans="7:8">
      <c r="G10469" s="87"/>
      <c r="H10469" s="90"/>
    </row>
    <row r="10470" spans="7:8">
      <c r="G10470" s="87"/>
      <c r="H10470" s="90"/>
    </row>
    <row r="10471" spans="7:8">
      <c r="G10471" s="87"/>
      <c r="H10471" s="90"/>
    </row>
    <row r="10472" spans="7:8">
      <c r="G10472" s="87"/>
      <c r="H10472" s="90"/>
    </row>
    <row r="10473" spans="7:8">
      <c r="G10473" s="87"/>
      <c r="H10473" s="90"/>
    </row>
    <row r="10474" spans="7:8">
      <c r="G10474" s="87"/>
      <c r="H10474" s="90"/>
    </row>
    <row r="10475" spans="7:8">
      <c r="G10475" s="87"/>
      <c r="H10475" s="90"/>
    </row>
    <row r="10476" spans="7:8">
      <c r="G10476" s="87"/>
      <c r="H10476" s="90"/>
    </row>
    <row r="10477" spans="7:8">
      <c r="G10477" s="87"/>
      <c r="H10477" s="90"/>
    </row>
    <row r="10478" spans="7:8">
      <c r="G10478" s="87"/>
      <c r="H10478" s="90"/>
    </row>
    <row r="10479" spans="7:8">
      <c r="G10479" s="87"/>
      <c r="H10479" s="90"/>
    </row>
    <row r="10480" spans="7:8">
      <c r="G10480" s="87"/>
      <c r="H10480" s="90"/>
    </row>
    <row r="10481" spans="7:8">
      <c r="G10481" s="87"/>
      <c r="H10481" s="90"/>
    </row>
    <row r="10482" spans="7:8">
      <c r="G10482" s="87"/>
      <c r="H10482" s="90"/>
    </row>
    <row r="10483" spans="7:8">
      <c r="G10483" s="87"/>
      <c r="H10483" s="90"/>
    </row>
    <row r="10484" spans="7:8">
      <c r="G10484" s="87"/>
      <c r="H10484" s="90"/>
    </row>
    <row r="10485" spans="7:8">
      <c r="G10485" s="87"/>
      <c r="H10485" s="90"/>
    </row>
    <row r="10486" spans="7:8">
      <c r="G10486" s="87"/>
      <c r="H10486" s="90"/>
    </row>
    <row r="10487" spans="7:8">
      <c r="G10487" s="87"/>
      <c r="H10487" s="90"/>
    </row>
    <row r="10488" spans="7:8">
      <c r="G10488" s="87"/>
      <c r="H10488" s="90"/>
    </row>
    <row r="10489" spans="7:8">
      <c r="G10489" s="87"/>
      <c r="H10489" s="90"/>
    </row>
    <row r="10490" spans="7:8">
      <c r="G10490" s="87"/>
      <c r="H10490" s="90"/>
    </row>
    <row r="10491" spans="7:8">
      <c r="G10491" s="87"/>
      <c r="H10491" s="90"/>
    </row>
    <row r="10492" spans="7:8">
      <c r="G10492" s="87"/>
      <c r="H10492" s="90"/>
    </row>
    <row r="10493" spans="7:8">
      <c r="G10493" s="87"/>
      <c r="H10493" s="90"/>
    </row>
    <row r="10494" spans="7:8">
      <c r="G10494" s="87"/>
      <c r="H10494" s="90"/>
    </row>
    <row r="10495" spans="7:8">
      <c r="G10495" s="87"/>
      <c r="H10495" s="90"/>
    </row>
    <row r="10496" spans="7:8">
      <c r="G10496" s="87"/>
      <c r="H10496" s="90"/>
    </row>
    <row r="10497" spans="7:8">
      <c r="G10497" s="87"/>
      <c r="H10497" s="90"/>
    </row>
    <row r="10498" spans="7:8">
      <c r="G10498" s="87"/>
      <c r="H10498" s="90"/>
    </row>
    <row r="10499" spans="7:8">
      <c r="G10499" s="87"/>
      <c r="H10499" s="90"/>
    </row>
    <row r="10500" spans="7:8">
      <c r="G10500" s="87"/>
      <c r="H10500" s="90"/>
    </row>
    <row r="10501" spans="7:8">
      <c r="G10501" s="87"/>
      <c r="H10501" s="90"/>
    </row>
    <row r="10502" spans="7:8">
      <c r="G10502" s="87"/>
      <c r="H10502" s="90"/>
    </row>
    <row r="10503" spans="7:8">
      <c r="G10503" s="87"/>
      <c r="H10503" s="90"/>
    </row>
    <row r="10504" spans="7:8">
      <c r="G10504" s="87"/>
      <c r="H10504" s="90"/>
    </row>
    <row r="10505" spans="7:8">
      <c r="G10505" s="87"/>
      <c r="H10505" s="90"/>
    </row>
    <row r="10506" spans="7:8">
      <c r="G10506" s="87"/>
      <c r="H10506" s="90"/>
    </row>
    <row r="10507" spans="7:8">
      <c r="G10507" s="87"/>
      <c r="H10507" s="90"/>
    </row>
    <row r="10508" spans="7:8">
      <c r="G10508" s="87"/>
      <c r="H10508" s="90"/>
    </row>
    <row r="10509" spans="7:8">
      <c r="G10509" s="87"/>
      <c r="H10509" s="90"/>
    </row>
    <row r="10510" spans="7:8">
      <c r="G10510" s="87"/>
      <c r="H10510" s="90"/>
    </row>
    <row r="10511" spans="7:8">
      <c r="G10511" s="87"/>
      <c r="H10511" s="90"/>
    </row>
    <row r="10512" spans="7:8">
      <c r="G10512" s="87"/>
      <c r="H10512" s="90"/>
    </row>
    <row r="10513" spans="7:8">
      <c r="G10513" s="87"/>
      <c r="H10513" s="90"/>
    </row>
    <row r="10514" spans="7:8">
      <c r="G10514" s="87"/>
      <c r="H10514" s="90"/>
    </row>
    <row r="10515" spans="7:8">
      <c r="G10515" s="87"/>
      <c r="H10515" s="90"/>
    </row>
    <row r="10516" spans="7:8">
      <c r="G10516" s="87"/>
      <c r="H10516" s="90"/>
    </row>
    <row r="10517" spans="7:8">
      <c r="G10517" s="87"/>
      <c r="H10517" s="90"/>
    </row>
    <row r="10518" spans="7:8">
      <c r="G10518" s="87"/>
      <c r="H10518" s="90"/>
    </row>
    <row r="10519" spans="7:8">
      <c r="G10519" s="87"/>
      <c r="H10519" s="90"/>
    </row>
    <row r="10520" spans="7:8">
      <c r="G10520" s="87"/>
      <c r="H10520" s="90"/>
    </row>
    <row r="10521" spans="7:8">
      <c r="G10521" s="87"/>
      <c r="H10521" s="90"/>
    </row>
    <row r="10522" spans="7:8">
      <c r="G10522" s="87"/>
      <c r="H10522" s="90"/>
    </row>
    <row r="10523" spans="7:8">
      <c r="G10523" s="87"/>
      <c r="H10523" s="90"/>
    </row>
    <row r="10524" spans="7:8">
      <c r="G10524" s="87"/>
      <c r="H10524" s="90"/>
    </row>
    <row r="10525" spans="7:8">
      <c r="G10525" s="87"/>
      <c r="H10525" s="90"/>
    </row>
    <row r="10526" spans="7:8">
      <c r="G10526" s="87"/>
      <c r="H10526" s="90"/>
    </row>
    <row r="10527" spans="7:8">
      <c r="G10527" s="87"/>
      <c r="H10527" s="90"/>
    </row>
    <row r="10528" spans="7:8">
      <c r="G10528" s="87"/>
      <c r="H10528" s="90"/>
    </row>
    <row r="10529" spans="7:8">
      <c r="G10529" s="87"/>
      <c r="H10529" s="90"/>
    </row>
    <row r="10530" spans="7:8">
      <c r="G10530" s="87"/>
      <c r="H10530" s="90"/>
    </row>
    <row r="10531" spans="7:8">
      <c r="G10531" s="87"/>
      <c r="H10531" s="90"/>
    </row>
    <row r="10532" spans="7:8">
      <c r="G10532" s="87"/>
      <c r="H10532" s="90"/>
    </row>
    <row r="10533" spans="7:8">
      <c r="G10533" s="87"/>
      <c r="H10533" s="90"/>
    </row>
    <row r="10534" spans="7:8">
      <c r="G10534" s="87"/>
      <c r="H10534" s="90"/>
    </row>
    <row r="10535" spans="7:8">
      <c r="G10535" s="87"/>
      <c r="H10535" s="90"/>
    </row>
    <row r="10536" spans="7:8">
      <c r="G10536" s="87"/>
      <c r="H10536" s="90"/>
    </row>
    <row r="10537" spans="7:8">
      <c r="G10537" s="87"/>
      <c r="H10537" s="90"/>
    </row>
    <row r="10538" spans="7:8">
      <c r="G10538" s="87"/>
      <c r="H10538" s="90"/>
    </row>
    <row r="10539" spans="7:8">
      <c r="G10539" s="87"/>
      <c r="H10539" s="90"/>
    </row>
    <row r="10540" spans="7:8">
      <c r="G10540" s="87"/>
      <c r="H10540" s="90"/>
    </row>
    <row r="10541" spans="7:8">
      <c r="G10541" s="87"/>
      <c r="H10541" s="90"/>
    </row>
    <row r="10542" spans="7:8">
      <c r="G10542" s="87"/>
      <c r="H10542" s="90"/>
    </row>
    <row r="10543" spans="7:8">
      <c r="G10543" s="87"/>
      <c r="H10543" s="90"/>
    </row>
    <row r="10544" spans="7:8">
      <c r="G10544" s="87"/>
      <c r="H10544" s="90"/>
    </row>
    <row r="10545" spans="7:8">
      <c r="G10545" s="87"/>
      <c r="H10545" s="90"/>
    </row>
    <row r="10546" spans="7:8">
      <c r="G10546" s="87"/>
      <c r="H10546" s="90"/>
    </row>
    <row r="10547" spans="7:8">
      <c r="G10547" s="87"/>
      <c r="H10547" s="90"/>
    </row>
    <row r="10548" spans="7:8">
      <c r="G10548" s="87"/>
      <c r="H10548" s="90"/>
    </row>
    <row r="10549" spans="7:8">
      <c r="G10549" s="87"/>
      <c r="H10549" s="90"/>
    </row>
    <row r="10550" spans="7:8">
      <c r="G10550" s="87"/>
      <c r="H10550" s="90"/>
    </row>
    <row r="10551" spans="7:8">
      <c r="G10551" s="87"/>
      <c r="H10551" s="90"/>
    </row>
    <row r="10552" spans="7:8">
      <c r="G10552" s="87"/>
      <c r="H10552" s="90"/>
    </row>
    <row r="10553" spans="7:8">
      <c r="G10553" s="87"/>
      <c r="H10553" s="90"/>
    </row>
    <row r="10554" spans="7:8">
      <c r="G10554" s="87"/>
      <c r="H10554" s="90"/>
    </row>
    <row r="10555" spans="7:8">
      <c r="G10555" s="87"/>
      <c r="H10555" s="90"/>
    </row>
    <row r="10556" spans="7:8">
      <c r="G10556" s="87"/>
      <c r="H10556" s="90"/>
    </row>
    <row r="10557" spans="7:8">
      <c r="G10557" s="87"/>
      <c r="H10557" s="90"/>
    </row>
    <row r="10558" spans="7:8">
      <c r="G10558" s="87"/>
      <c r="H10558" s="90"/>
    </row>
    <row r="10559" spans="7:8">
      <c r="G10559" s="87"/>
      <c r="H10559" s="90"/>
    </row>
    <row r="10560" spans="7:8">
      <c r="G10560" s="87"/>
      <c r="H10560" s="90"/>
    </row>
    <row r="10561" spans="7:8">
      <c r="G10561" s="87"/>
      <c r="H10561" s="90"/>
    </row>
    <row r="10562" spans="7:8">
      <c r="G10562" s="87"/>
      <c r="H10562" s="90"/>
    </row>
    <row r="10563" spans="7:8">
      <c r="G10563" s="87"/>
      <c r="H10563" s="90"/>
    </row>
    <row r="10564" spans="7:8">
      <c r="G10564" s="87"/>
      <c r="H10564" s="90"/>
    </row>
    <row r="10565" spans="7:8">
      <c r="G10565" s="87"/>
      <c r="H10565" s="90"/>
    </row>
    <row r="10566" spans="7:8">
      <c r="G10566" s="87"/>
      <c r="H10566" s="90"/>
    </row>
    <row r="10567" spans="7:8">
      <c r="G10567" s="87"/>
      <c r="H10567" s="90"/>
    </row>
    <row r="10568" spans="7:8">
      <c r="G10568" s="87"/>
      <c r="H10568" s="90"/>
    </row>
    <row r="10569" spans="7:8">
      <c r="G10569" s="87"/>
      <c r="H10569" s="90"/>
    </row>
    <row r="10570" spans="7:8">
      <c r="G10570" s="87"/>
      <c r="H10570" s="90"/>
    </row>
    <row r="10571" spans="7:8">
      <c r="G10571" s="87"/>
      <c r="H10571" s="90"/>
    </row>
    <row r="10572" spans="7:8">
      <c r="G10572" s="87"/>
      <c r="H10572" s="90"/>
    </row>
    <row r="10573" spans="7:8">
      <c r="G10573" s="87"/>
      <c r="H10573" s="90"/>
    </row>
    <row r="10574" spans="7:8">
      <c r="G10574" s="87"/>
      <c r="H10574" s="90"/>
    </row>
    <row r="10575" spans="7:8">
      <c r="G10575" s="87"/>
      <c r="H10575" s="90"/>
    </row>
    <row r="10576" spans="7:8">
      <c r="G10576" s="87"/>
      <c r="H10576" s="90"/>
    </row>
    <row r="10577" spans="7:8">
      <c r="G10577" s="87"/>
      <c r="H10577" s="90"/>
    </row>
    <row r="10578" spans="7:8">
      <c r="G10578" s="87"/>
      <c r="H10578" s="90"/>
    </row>
    <row r="10579" spans="7:8">
      <c r="G10579" s="87"/>
      <c r="H10579" s="90"/>
    </row>
    <row r="10580" spans="7:8">
      <c r="G10580" s="87"/>
      <c r="H10580" s="90"/>
    </row>
    <row r="10581" spans="7:8">
      <c r="G10581" s="87"/>
      <c r="H10581" s="90"/>
    </row>
    <row r="10582" spans="7:8">
      <c r="G10582" s="87"/>
      <c r="H10582" s="90"/>
    </row>
    <row r="10583" spans="7:8">
      <c r="G10583" s="87"/>
      <c r="H10583" s="90"/>
    </row>
    <row r="10584" spans="7:8">
      <c r="G10584" s="87"/>
      <c r="H10584" s="90"/>
    </row>
    <row r="10585" spans="7:8">
      <c r="G10585" s="87"/>
      <c r="H10585" s="90"/>
    </row>
    <row r="10586" spans="7:8">
      <c r="G10586" s="87"/>
      <c r="H10586" s="90"/>
    </row>
    <row r="10587" spans="7:8">
      <c r="G10587" s="87"/>
      <c r="H10587" s="90"/>
    </row>
    <row r="10588" spans="7:8">
      <c r="G10588" s="87"/>
      <c r="H10588" s="90"/>
    </row>
    <row r="10589" spans="7:8">
      <c r="G10589" s="87"/>
      <c r="H10589" s="90"/>
    </row>
    <row r="10590" spans="7:8">
      <c r="G10590" s="87"/>
      <c r="H10590" s="90"/>
    </row>
    <row r="10591" spans="7:8">
      <c r="G10591" s="87"/>
      <c r="H10591" s="90"/>
    </row>
    <row r="10592" spans="7:8">
      <c r="G10592" s="87"/>
      <c r="H10592" s="90"/>
    </row>
    <row r="10593" spans="7:8">
      <c r="G10593" s="87"/>
      <c r="H10593" s="90"/>
    </row>
    <row r="10594" spans="7:8">
      <c r="G10594" s="87"/>
      <c r="H10594" s="90"/>
    </row>
    <row r="10595" spans="7:8">
      <c r="G10595" s="87"/>
      <c r="H10595" s="90"/>
    </row>
    <row r="10596" spans="7:8">
      <c r="G10596" s="87"/>
      <c r="H10596" s="90"/>
    </row>
    <row r="10597" spans="7:8">
      <c r="G10597" s="87"/>
      <c r="H10597" s="90"/>
    </row>
    <row r="10598" spans="7:8">
      <c r="G10598" s="87"/>
      <c r="H10598" s="90"/>
    </row>
    <row r="10599" spans="7:8">
      <c r="G10599" s="87"/>
      <c r="H10599" s="90"/>
    </row>
    <row r="10600" spans="7:8">
      <c r="G10600" s="87"/>
      <c r="H10600" s="90"/>
    </row>
    <row r="10601" spans="7:8">
      <c r="G10601" s="87"/>
      <c r="H10601" s="90"/>
    </row>
    <row r="10602" spans="7:8">
      <c r="G10602" s="87"/>
      <c r="H10602" s="90"/>
    </row>
    <row r="10603" spans="7:8">
      <c r="G10603" s="87"/>
      <c r="H10603" s="90"/>
    </row>
    <row r="10604" spans="7:8">
      <c r="G10604" s="87"/>
      <c r="H10604" s="90"/>
    </row>
    <row r="10605" spans="7:8">
      <c r="G10605" s="87"/>
      <c r="H10605" s="90"/>
    </row>
    <row r="10606" spans="7:8">
      <c r="G10606" s="87"/>
      <c r="H10606" s="90"/>
    </row>
    <row r="10607" spans="7:8">
      <c r="G10607" s="87"/>
      <c r="H10607" s="90"/>
    </row>
    <row r="10608" spans="7:8">
      <c r="G10608" s="87"/>
      <c r="H10608" s="90"/>
    </row>
    <row r="10609" spans="7:8">
      <c r="G10609" s="87"/>
      <c r="H10609" s="90"/>
    </row>
    <row r="10610" spans="7:8">
      <c r="G10610" s="87"/>
      <c r="H10610" s="90"/>
    </row>
    <row r="10611" spans="7:8">
      <c r="G10611" s="87"/>
      <c r="H10611" s="90"/>
    </row>
    <row r="10612" spans="7:8">
      <c r="G10612" s="87"/>
      <c r="H10612" s="90"/>
    </row>
    <row r="10613" spans="7:8">
      <c r="G10613" s="87"/>
      <c r="H10613" s="90"/>
    </row>
    <row r="10614" spans="7:8">
      <c r="G10614" s="87"/>
      <c r="H10614" s="90"/>
    </row>
    <row r="10615" spans="7:8">
      <c r="G10615" s="87"/>
      <c r="H10615" s="90"/>
    </row>
    <row r="10616" spans="7:8">
      <c r="G10616" s="87"/>
      <c r="H10616" s="90"/>
    </row>
    <row r="10617" spans="7:8">
      <c r="G10617" s="87"/>
      <c r="H10617" s="90"/>
    </row>
    <row r="10618" spans="7:8">
      <c r="G10618" s="87"/>
      <c r="H10618" s="90"/>
    </row>
    <row r="10619" spans="7:8">
      <c r="G10619" s="87"/>
      <c r="H10619" s="90"/>
    </row>
    <row r="10620" spans="7:8">
      <c r="G10620" s="87"/>
      <c r="H10620" s="90"/>
    </row>
    <row r="10621" spans="7:8">
      <c r="G10621" s="87"/>
      <c r="H10621" s="90"/>
    </row>
    <row r="10622" spans="7:8">
      <c r="G10622" s="87"/>
      <c r="H10622" s="90"/>
    </row>
    <row r="10623" spans="7:8">
      <c r="G10623" s="87"/>
      <c r="H10623" s="90"/>
    </row>
    <row r="10624" spans="7:8">
      <c r="G10624" s="87"/>
      <c r="H10624" s="90"/>
    </row>
    <row r="10625" spans="7:8">
      <c r="G10625" s="87"/>
      <c r="H10625" s="90"/>
    </row>
    <row r="10626" spans="7:8">
      <c r="G10626" s="87"/>
      <c r="H10626" s="90"/>
    </row>
    <row r="10627" spans="7:8">
      <c r="G10627" s="87"/>
      <c r="H10627" s="90"/>
    </row>
    <row r="10628" spans="7:8">
      <c r="G10628" s="87"/>
      <c r="H10628" s="90"/>
    </row>
    <row r="10629" spans="7:8">
      <c r="G10629" s="87"/>
      <c r="H10629" s="90"/>
    </row>
    <row r="10630" spans="7:8">
      <c r="G10630" s="87"/>
      <c r="H10630" s="90"/>
    </row>
    <row r="10631" spans="7:8">
      <c r="G10631" s="87"/>
      <c r="H10631" s="90"/>
    </row>
    <row r="10632" spans="7:8">
      <c r="G10632" s="87"/>
      <c r="H10632" s="90"/>
    </row>
    <row r="10633" spans="7:8">
      <c r="G10633" s="87"/>
      <c r="H10633" s="90"/>
    </row>
    <row r="10634" spans="7:8">
      <c r="G10634" s="87"/>
      <c r="H10634" s="90"/>
    </row>
    <row r="10635" spans="7:8">
      <c r="G10635" s="87"/>
      <c r="H10635" s="90"/>
    </row>
    <row r="10636" spans="7:8">
      <c r="G10636" s="87"/>
      <c r="H10636" s="90"/>
    </row>
    <row r="10637" spans="7:8">
      <c r="G10637" s="87"/>
      <c r="H10637" s="90"/>
    </row>
    <row r="10638" spans="7:8">
      <c r="G10638" s="87"/>
      <c r="H10638" s="90"/>
    </row>
    <row r="10639" spans="7:8">
      <c r="G10639" s="87"/>
      <c r="H10639" s="90"/>
    </row>
    <row r="10640" spans="7:8">
      <c r="G10640" s="87"/>
      <c r="H10640" s="90"/>
    </row>
    <row r="10641" spans="7:8">
      <c r="G10641" s="87"/>
      <c r="H10641" s="90"/>
    </row>
    <row r="10642" spans="7:8">
      <c r="G10642" s="87"/>
      <c r="H10642" s="90"/>
    </row>
    <row r="10643" spans="7:8">
      <c r="G10643" s="87"/>
      <c r="H10643" s="90"/>
    </row>
    <row r="10644" spans="7:8">
      <c r="G10644" s="87"/>
      <c r="H10644" s="90"/>
    </row>
    <row r="10645" spans="7:8">
      <c r="G10645" s="87"/>
      <c r="H10645" s="90"/>
    </row>
    <row r="10646" spans="7:8">
      <c r="G10646" s="87"/>
      <c r="H10646" s="90"/>
    </row>
    <row r="10647" spans="7:8">
      <c r="G10647" s="87"/>
      <c r="H10647" s="90"/>
    </row>
    <row r="10648" spans="7:8">
      <c r="G10648" s="87"/>
      <c r="H10648" s="90"/>
    </row>
    <row r="10649" spans="7:8">
      <c r="G10649" s="87"/>
      <c r="H10649" s="90"/>
    </row>
    <row r="10650" spans="7:8">
      <c r="G10650" s="87"/>
      <c r="H10650" s="90"/>
    </row>
    <row r="10651" spans="7:8">
      <c r="G10651" s="87"/>
      <c r="H10651" s="90"/>
    </row>
    <row r="10652" spans="7:8">
      <c r="G10652" s="87"/>
      <c r="H10652" s="90"/>
    </row>
    <row r="10653" spans="7:8">
      <c r="G10653" s="87"/>
      <c r="H10653" s="90"/>
    </row>
    <row r="10654" spans="7:8">
      <c r="G10654" s="87"/>
      <c r="H10654" s="90"/>
    </row>
    <row r="10655" spans="7:8">
      <c r="G10655" s="87"/>
      <c r="H10655" s="90"/>
    </row>
    <row r="10656" spans="7:8">
      <c r="G10656" s="87"/>
      <c r="H10656" s="90"/>
    </row>
    <row r="10657" spans="7:8">
      <c r="G10657" s="87"/>
      <c r="H10657" s="90"/>
    </row>
    <row r="10658" spans="7:8">
      <c r="G10658" s="87"/>
      <c r="H10658" s="90"/>
    </row>
    <row r="10659" spans="7:8">
      <c r="G10659" s="87"/>
      <c r="H10659" s="90"/>
    </row>
    <row r="10660" spans="7:8">
      <c r="G10660" s="87"/>
      <c r="H10660" s="90"/>
    </row>
    <row r="10661" spans="7:8">
      <c r="G10661" s="87"/>
      <c r="H10661" s="90"/>
    </row>
    <row r="10662" spans="7:8">
      <c r="G10662" s="87"/>
      <c r="H10662" s="90"/>
    </row>
    <row r="10663" spans="7:8">
      <c r="G10663" s="87"/>
      <c r="H10663" s="90"/>
    </row>
    <row r="10664" spans="7:8">
      <c r="G10664" s="87"/>
      <c r="H10664" s="90"/>
    </row>
    <row r="10665" spans="7:8">
      <c r="G10665" s="87"/>
      <c r="H10665" s="90"/>
    </row>
    <row r="10666" spans="7:8">
      <c r="G10666" s="87"/>
      <c r="H10666" s="90"/>
    </row>
    <row r="10667" spans="7:8">
      <c r="G10667" s="87"/>
      <c r="H10667" s="90"/>
    </row>
    <row r="10668" spans="7:8">
      <c r="G10668" s="87"/>
      <c r="H10668" s="90"/>
    </row>
    <row r="10669" spans="7:8">
      <c r="G10669" s="87"/>
      <c r="H10669" s="90"/>
    </row>
    <row r="10670" spans="7:8">
      <c r="G10670" s="87"/>
      <c r="H10670" s="90"/>
    </row>
    <row r="10671" spans="7:8">
      <c r="G10671" s="87"/>
      <c r="H10671" s="90"/>
    </row>
    <row r="10672" spans="7:8">
      <c r="G10672" s="87"/>
      <c r="H10672" s="90"/>
    </row>
    <row r="10673" spans="7:8">
      <c r="G10673" s="87"/>
      <c r="H10673" s="90"/>
    </row>
    <row r="10674" spans="7:8">
      <c r="G10674" s="87"/>
      <c r="H10674" s="90"/>
    </row>
    <row r="10675" spans="7:8">
      <c r="G10675" s="87"/>
      <c r="H10675" s="90"/>
    </row>
    <row r="10676" spans="7:8">
      <c r="G10676" s="87"/>
      <c r="H10676" s="90"/>
    </row>
    <row r="10677" spans="7:8">
      <c r="G10677" s="87"/>
      <c r="H10677" s="90"/>
    </row>
    <row r="10678" spans="7:8">
      <c r="G10678" s="87"/>
      <c r="H10678" s="90"/>
    </row>
    <row r="10679" spans="7:8">
      <c r="G10679" s="87"/>
      <c r="H10679" s="90"/>
    </row>
    <row r="10680" spans="7:8">
      <c r="G10680" s="87"/>
      <c r="H10680" s="90"/>
    </row>
    <row r="10681" spans="7:8">
      <c r="G10681" s="87"/>
      <c r="H10681" s="90"/>
    </row>
    <row r="10682" spans="7:8">
      <c r="G10682" s="87"/>
      <c r="H10682" s="90"/>
    </row>
    <row r="10683" spans="7:8">
      <c r="G10683" s="87"/>
      <c r="H10683" s="90"/>
    </row>
    <row r="10684" spans="7:8">
      <c r="G10684" s="87"/>
      <c r="H10684" s="90"/>
    </row>
    <row r="10685" spans="7:8">
      <c r="G10685" s="87"/>
      <c r="H10685" s="90"/>
    </row>
    <row r="10686" spans="7:8">
      <c r="G10686" s="87"/>
      <c r="H10686" s="90"/>
    </row>
    <row r="10687" spans="7:8">
      <c r="G10687" s="87"/>
      <c r="H10687" s="90"/>
    </row>
    <row r="10688" spans="7:8">
      <c r="G10688" s="87"/>
      <c r="H10688" s="90"/>
    </row>
    <row r="10689" spans="7:8">
      <c r="G10689" s="87"/>
      <c r="H10689" s="90"/>
    </row>
    <row r="10690" spans="7:8">
      <c r="G10690" s="87"/>
      <c r="H10690" s="90"/>
    </row>
    <row r="10691" spans="7:8">
      <c r="G10691" s="87"/>
      <c r="H10691" s="90"/>
    </row>
    <row r="10692" spans="7:8">
      <c r="G10692" s="87"/>
      <c r="H10692" s="90"/>
    </row>
    <row r="10693" spans="7:8">
      <c r="G10693" s="87"/>
      <c r="H10693" s="90"/>
    </row>
    <row r="10694" spans="7:8">
      <c r="G10694" s="87"/>
      <c r="H10694" s="90"/>
    </row>
    <row r="10695" spans="7:8">
      <c r="G10695" s="87"/>
      <c r="H10695" s="90"/>
    </row>
    <row r="10696" spans="7:8">
      <c r="G10696" s="87"/>
      <c r="H10696" s="90"/>
    </row>
    <row r="10697" spans="7:8">
      <c r="G10697" s="87"/>
      <c r="H10697" s="90"/>
    </row>
    <row r="10698" spans="7:8">
      <c r="G10698" s="87"/>
      <c r="H10698" s="90"/>
    </row>
    <row r="10699" spans="7:8">
      <c r="G10699" s="87"/>
      <c r="H10699" s="90"/>
    </row>
    <row r="10700" spans="7:8">
      <c r="G10700" s="87"/>
      <c r="H10700" s="90"/>
    </row>
    <row r="10701" spans="7:8">
      <c r="G10701" s="87"/>
      <c r="H10701" s="90"/>
    </row>
    <row r="10702" spans="7:8">
      <c r="G10702" s="87"/>
      <c r="H10702" s="90"/>
    </row>
    <row r="10703" spans="7:8">
      <c r="G10703" s="87"/>
      <c r="H10703" s="90"/>
    </row>
    <row r="10704" spans="7:8">
      <c r="G10704" s="87"/>
      <c r="H10704" s="90"/>
    </row>
    <row r="10705" spans="7:8">
      <c r="G10705" s="87"/>
      <c r="H10705" s="90"/>
    </row>
    <row r="10706" spans="7:8">
      <c r="G10706" s="87"/>
      <c r="H10706" s="90"/>
    </row>
    <row r="10707" spans="7:8">
      <c r="G10707" s="87"/>
      <c r="H10707" s="90"/>
    </row>
    <row r="10708" spans="7:8">
      <c r="G10708" s="87"/>
      <c r="H10708" s="90"/>
    </row>
    <row r="10709" spans="7:8">
      <c r="G10709" s="87"/>
      <c r="H10709" s="90"/>
    </row>
    <row r="10710" spans="7:8">
      <c r="G10710" s="87"/>
      <c r="H10710" s="90"/>
    </row>
    <row r="10711" spans="7:8">
      <c r="G10711" s="87"/>
      <c r="H10711" s="90"/>
    </row>
    <row r="10712" spans="7:8">
      <c r="G10712" s="87"/>
      <c r="H10712" s="90"/>
    </row>
    <row r="10713" spans="7:8">
      <c r="G10713" s="87"/>
      <c r="H10713" s="90"/>
    </row>
    <row r="10714" spans="7:8">
      <c r="G10714" s="87"/>
      <c r="H10714" s="90"/>
    </row>
    <row r="10715" spans="7:8">
      <c r="G10715" s="87"/>
      <c r="H10715" s="90"/>
    </row>
    <row r="10716" spans="7:8">
      <c r="G10716" s="87"/>
      <c r="H10716" s="90"/>
    </row>
    <row r="10717" spans="7:8">
      <c r="G10717" s="87"/>
      <c r="H10717" s="90"/>
    </row>
    <row r="10718" spans="7:8">
      <c r="G10718" s="87"/>
      <c r="H10718" s="90"/>
    </row>
    <row r="10719" spans="7:8">
      <c r="G10719" s="87"/>
      <c r="H10719" s="90"/>
    </row>
    <row r="10720" spans="7:8">
      <c r="G10720" s="87"/>
      <c r="H10720" s="90"/>
    </row>
    <row r="10721" spans="7:8">
      <c r="G10721" s="87"/>
      <c r="H10721" s="90"/>
    </row>
    <row r="10722" spans="7:8">
      <c r="G10722" s="87"/>
      <c r="H10722" s="90"/>
    </row>
    <row r="10723" spans="7:8">
      <c r="G10723" s="87"/>
      <c r="H10723" s="90"/>
    </row>
    <row r="10724" spans="7:8">
      <c r="G10724" s="87"/>
      <c r="H10724" s="90"/>
    </row>
    <row r="10725" spans="7:8">
      <c r="G10725" s="87"/>
      <c r="H10725" s="90"/>
    </row>
    <row r="10726" spans="7:8">
      <c r="G10726" s="87"/>
      <c r="H10726" s="90"/>
    </row>
    <row r="10727" spans="7:8">
      <c r="G10727" s="87"/>
      <c r="H10727" s="90"/>
    </row>
    <row r="10728" spans="7:8">
      <c r="G10728" s="87"/>
      <c r="H10728" s="90"/>
    </row>
    <row r="10729" spans="7:8">
      <c r="G10729" s="87"/>
      <c r="H10729" s="90"/>
    </row>
    <row r="10730" spans="7:8">
      <c r="G10730" s="87"/>
      <c r="H10730" s="90"/>
    </row>
    <row r="10731" spans="7:8">
      <c r="G10731" s="87"/>
      <c r="H10731" s="90"/>
    </row>
    <row r="10732" spans="7:8">
      <c r="G10732" s="87"/>
      <c r="H10732" s="90"/>
    </row>
    <row r="10733" spans="7:8">
      <c r="G10733" s="87"/>
      <c r="H10733" s="90"/>
    </row>
    <row r="10734" spans="7:8">
      <c r="G10734" s="87"/>
      <c r="H10734" s="90"/>
    </row>
    <row r="10735" spans="7:8">
      <c r="G10735" s="87"/>
      <c r="H10735" s="90"/>
    </row>
    <row r="10736" spans="7:8">
      <c r="G10736" s="87"/>
      <c r="H10736" s="90"/>
    </row>
    <row r="10737" spans="7:8">
      <c r="G10737" s="87"/>
      <c r="H10737" s="90"/>
    </row>
    <row r="10738" spans="7:8">
      <c r="G10738" s="87"/>
      <c r="H10738" s="90"/>
    </row>
    <row r="10739" spans="7:8">
      <c r="G10739" s="87"/>
      <c r="H10739" s="90"/>
    </row>
    <row r="10740" spans="7:8">
      <c r="G10740" s="87"/>
      <c r="H10740" s="90"/>
    </row>
    <row r="10741" spans="7:8">
      <c r="G10741" s="87"/>
      <c r="H10741" s="90"/>
    </row>
    <row r="10742" spans="7:8">
      <c r="G10742" s="87"/>
      <c r="H10742" s="90"/>
    </row>
    <row r="10743" spans="7:8">
      <c r="G10743" s="87"/>
      <c r="H10743" s="90"/>
    </row>
    <row r="10744" spans="7:8">
      <c r="G10744" s="87"/>
      <c r="H10744" s="90"/>
    </row>
    <row r="10745" spans="7:8">
      <c r="G10745" s="87"/>
      <c r="H10745" s="90"/>
    </row>
    <row r="10746" spans="7:8">
      <c r="G10746" s="87"/>
      <c r="H10746" s="90"/>
    </row>
    <row r="10747" spans="7:8">
      <c r="G10747" s="87"/>
      <c r="H10747" s="90"/>
    </row>
    <row r="10748" spans="7:8">
      <c r="G10748" s="87"/>
      <c r="H10748" s="90"/>
    </row>
    <row r="10749" spans="7:8">
      <c r="G10749" s="87"/>
      <c r="H10749" s="90"/>
    </row>
    <row r="10750" spans="7:8">
      <c r="G10750" s="87"/>
      <c r="H10750" s="90"/>
    </row>
    <row r="10751" spans="7:8">
      <c r="G10751" s="87"/>
      <c r="H10751" s="90"/>
    </row>
    <row r="10752" spans="7:8">
      <c r="G10752" s="87"/>
      <c r="H10752" s="90"/>
    </row>
    <row r="10753" spans="7:8">
      <c r="G10753" s="87"/>
      <c r="H10753" s="90"/>
    </row>
    <row r="10754" spans="7:8">
      <c r="G10754" s="87"/>
      <c r="H10754" s="90"/>
    </row>
    <row r="10755" spans="7:8">
      <c r="G10755" s="87"/>
      <c r="H10755" s="90"/>
    </row>
    <row r="10756" spans="7:8">
      <c r="G10756" s="87"/>
      <c r="H10756" s="90"/>
    </row>
    <row r="10757" spans="7:8">
      <c r="G10757" s="87"/>
      <c r="H10757" s="90"/>
    </row>
    <row r="10758" spans="7:8">
      <c r="G10758" s="87"/>
      <c r="H10758" s="90"/>
    </row>
    <row r="10759" spans="7:8">
      <c r="G10759" s="87"/>
      <c r="H10759" s="90"/>
    </row>
    <row r="10760" spans="7:8">
      <c r="G10760" s="87"/>
      <c r="H10760" s="90"/>
    </row>
    <row r="10761" spans="7:8">
      <c r="G10761" s="87"/>
      <c r="H10761" s="90"/>
    </row>
    <row r="10762" spans="7:8">
      <c r="G10762" s="87"/>
      <c r="H10762" s="90"/>
    </row>
    <row r="10763" spans="7:8">
      <c r="G10763" s="87"/>
      <c r="H10763" s="90"/>
    </row>
    <row r="10764" spans="7:8">
      <c r="G10764" s="87"/>
      <c r="H10764" s="90"/>
    </row>
    <row r="10765" spans="7:8">
      <c r="G10765" s="87"/>
      <c r="H10765" s="90"/>
    </row>
    <row r="10766" spans="7:8">
      <c r="G10766" s="87"/>
      <c r="H10766" s="90"/>
    </row>
    <row r="10767" spans="7:8">
      <c r="G10767" s="87"/>
      <c r="H10767" s="90"/>
    </row>
    <row r="10768" spans="7:8">
      <c r="G10768" s="87"/>
      <c r="H10768" s="90"/>
    </row>
    <row r="10769" spans="7:8">
      <c r="G10769" s="87"/>
      <c r="H10769" s="90"/>
    </row>
    <row r="10770" spans="7:8">
      <c r="G10770" s="87"/>
      <c r="H10770" s="90"/>
    </row>
    <row r="10771" spans="7:8">
      <c r="G10771" s="87"/>
      <c r="H10771" s="90"/>
    </row>
    <row r="10772" spans="7:8">
      <c r="G10772" s="87"/>
      <c r="H10772" s="90"/>
    </row>
    <row r="10773" spans="7:8">
      <c r="G10773" s="87"/>
      <c r="H10773" s="90"/>
    </row>
    <row r="10774" spans="7:8">
      <c r="G10774" s="87"/>
      <c r="H10774" s="90"/>
    </row>
    <row r="10775" spans="7:8">
      <c r="G10775" s="87"/>
      <c r="H10775" s="90"/>
    </row>
    <row r="10776" spans="7:8">
      <c r="G10776" s="87"/>
      <c r="H10776" s="90"/>
    </row>
    <row r="10777" spans="7:8">
      <c r="G10777" s="87"/>
      <c r="H10777" s="90"/>
    </row>
    <row r="10778" spans="7:8">
      <c r="G10778" s="87"/>
      <c r="H10778" s="90"/>
    </row>
    <row r="10779" spans="7:8">
      <c r="G10779" s="87"/>
      <c r="H10779" s="90"/>
    </row>
    <row r="10780" spans="7:8">
      <c r="G10780" s="87"/>
      <c r="H10780" s="90"/>
    </row>
    <row r="10781" spans="7:8">
      <c r="G10781" s="87"/>
      <c r="H10781" s="90"/>
    </row>
    <row r="10782" spans="7:8">
      <c r="G10782" s="87"/>
      <c r="H10782" s="90"/>
    </row>
    <row r="10783" spans="7:8">
      <c r="G10783" s="87"/>
      <c r="H10783" s="90"/>
    </row>
    <row r="10784" spans="7:8">
      <c r="G10784" s="87"/>
      <c r="H10784" s="90"/>
    </row>
    <row r="10785" spans="7:8">
      <c r="G10785" s="87"/>
      <c r="H10785" s="90"/>
    </row>
    <row r="10786" spans="7:8">
      <c r="G10786" s="87"/>
      <c r="H10786" s="90"/>
    </row>
    <row r="10787" spans="7:8">
      <c r="G10787" s="87"/>
      <c r="H10787" s="90"/>
    </row>
    <row r="10788" spans="7:8">
      <c r="G10788" s="87"/>
      <c r="H10788" s="90"/>
    </row>
    <row r="10789" spans="7:8">
      <c r="G10789" s="87"/>
      <c r="H10789" s="90"/>
    </row>
    <row r="10790" spans="7:8">
      <c r="G10790" s="87"/>
      <c r="H10790" s="90"/>
    </row>
    <row r="10791" spans="7:8">
      <c r="G10791" s="87"/>
      <c r="H10791" s="90"/>
    </row>
    <row r="10792" spans="7:8">
      <c r="G10792" s="87"/>
      <c r="H10792" s="90"/>
    </row>
    <row r="10793" spans="7:8">
      <c r="G10793" s="87"/>
      <c r="H10793" s="90"/>
    </row>
    <row r="10794" spans="7:8">
      <c r="G10794" s="87"/>
      <c r="H10794" s="90"/>
    </row>
    <row r="10795" spans="7:8">
      <c r="G10795" s="87"/>
      <c r="H10795" s="90"/>
    </row>
    <row r="10796" spans="7:8">
      <c r="G10796" s="87"/>
      <c r="H10796" s="90"/>
    </row>
    <row r="10797" spans="7:8">
      <c r="G10797" s="87"/>
      <c r="H10797" s="90"/>
    </row>
    <row r="10798" spans="7:8">
      <c r="G10798" s="87"/>
      <c r="H10798" s="90"/>
    </row>
    <row r="10799" spans="7:8">
      <c r="G10799" s="87"/>
      <c r="H10799" s="90"/>
    </row>
    <row r="10800" spans="7:8">
      <c r="G10800" s="87"/>
      <c r="H10800" s="90"/>
    </row>
    <row r="10801" spans="7:8">
      <c r="G10801" s="87"/>
      <c r="H10801" s="90"/>
    </row>
    <row r="10802" spans="7:8">
      <c r="G10802" s="87"/>
      <c r="H10802" s="90"/>
    </row>
    <row r="10803" spans="7:8">
      <c r="G10803" s="87"/>
      <c r="H10803" s="90"/>
    </row>
    <row r="10804" spans="7:8">
      <c r="G10804" s="87"/>
      <c r="H10804" s="90"/>
    </row>
    <row r="10805" spans="7:8">
      <c r="G10805" s="87"/>
      <c r="H10805" s="90"/>
    </row>
    <row r="10806" spans="7:8">
      <c r="G10806" s="87"/>
      <c r="H10806" s="90"/>
    </row>
    <row r="10807" spans="7:8">
      <c r="G10807" s="87"/>
      <c r="H10807" s="90"/>
    </row>
    <row r="10808" spans="7:8">
      <c r="G10808" s="87"/>
      <c r="H10808" s="90"/>
    </row>
    <row r="10809" spans="7:8">
      <c r="G10809" s="87"/>
      <c r="H10809" s="90"/>
    </row>
    <row r="10810" spans="7:8">
      <c r="G10810" s="87"/>
      <c r="H10810" s="90"/>
    </row>
    <row r="10811" spans="7:8">
      <c r="G10811" s="87"/>
      <c r="H10811" s="90"/>
    </row>
    <row r="10812" spans="7:8">
      <c r="G10812" s="87"/>
      <c r="H10812" s="90"/>
    </row>
    <row r="10813" spans="7:8">
      <c r="G10813" s="87"/>
      <c r="H10813" s="90"/>
    </row>
    <row r="10814" spans="7:8">
      <c r="G10814" s="87"/>
      <c r="H10814" s="90"/>
    </row>
    <row r="10815" spans="7:8">
      <c r="G10815" s="87"/>
      <c r="H10815" s="90"/>
    </row>
    <row r="10816" spans="7:8">
      <c r="G10816" s="87"/>
      <c r="H10816" s="90"/>
    </row>
    <row r="10817" spans="7:8">
      <c r="G10817" s="87"/>
      <c r="H10817" s="90"/>
    </row>
    <row r="10818" spans="7:8">
      <c r="G10818" s="87"/>
      <c r="H10818" s="90"/>
    </row>
    <row r="10819" spans="7:8">
      <c r="G10819" s="87"/>
      <c r="H10819" s="90"/>
    </row>
    <row r="10820" spans="7:8">
      <c r="G10820" s="87"/>
      <c r="H10820" s="90"/>
    </row>
    <row r="10821" spans="7:8">
      <c r="G10821" s="87"/>
      <c r="H10821" s="90"/>
    </row>
    <row r="10822" spans="7:8">
      <c r="G10822" s="87"/>
      <c r="H10822" s="90"/>
    </row>
    <row r="10823" spans="7:8">
      <c r="G10823" s="87"/>
      <c r="H10823" s="90"/>
    </row>
    <row r="10824" spans="7:8">
      <c r="G10824" s="87"/>
      <c r="H10824" s="90"/>
    </row>
    <row r="10825" spans="7:8">
      <c r="G10825" s="87"/>
      <c r="H10825" s="90"/>
    </row>
    <row r="10826" spans="7:8">
      <c r="G10826" s="87"/>
      <c r="H10826" s="90"/>
    </row>
    <row r="10827" spans="7:8">
      <c r="G10827" s="87"/>
      <c r="H10827" s="90"/>
    </row>
    <row r="10828" spans="7:8">
      <c r="G10828" s="87"/>
      <c r="H10828" s="90"/>
    </row>
    <row r="10829" spans="7:8">
      <c r="G10829" s="87"/>
      <c r="H10829" s="90"/>
    </row>
    <row r="10830" spans="7:8">
      <c r="G10830" s="87"/>
      <c r="H10830" s="90"/>
    </row>
    <row r="10831" spans="7:8">
      <c r="G10831" s="87"/>
      <c r="H10831" s="90"/>
    </row>
    <row r="10832" spans="7:8">
      <c r="G10832" s="87"/>
      <c r="H10832" s="90"/>
    </row>
    <row r="10833" spans="7:8">
      <c r="G10833" s="87"/>
      <c r="H10833" s="90"/>
    </row>
    <row r="10834" spans="7:8">
      <c r="G10834" s="87"/>
      <c r="H10834" s="90"/>
    </row>
    <row r="10835" spans="7:8">
      <c r="G10835" s="87"/>
      <c r="H10835" s="90"/>
    </row>
    <row r="10836" spans="7:8">
      <c r="G10836" s="87"/>
      <c r="H10836" s="90"/>
    </row>
    <row r="10837" spans="7:8">
      <c r="G10837" s="87"/>
      <c r="H10837" s="90"/>
    </row>
    <row r="10838" spans="7:8">
      <c r="G10838" s="87"/>
      <c r="H10838" s="90"/>
    </row>
    <row r="10839" spans="7:8">
      <c r="G10839" s="87"/>
      <c r="H10839" s="90"/>
    </row>
    <row r="10840" spans="7:8">
      <c r="G10840" s="87"/>
      <c r="H10840" s="90"/>
    </row>
    <row r="10841" spans="7:8">
      <c r="G10841" s="87"/>
      <c r="H10841" s="90"/>
    </row>
    <row r="10842" spans="7:8">
      <c r="G10842" s="87"/>
      <c r="H10842" s="90"/>
    </row>
    <row r="10843" spans="7:8">
      <c r="G10843" s="87"/>
      <c r="H10843" s="90"/>
    </row>
    <row r="10844" spans="7:8">
      <c r="G10844" s="87"/>
      <c r="H10844" s="90"/>
    </row>
    <row r="10845" spans="7:8">
      <c r="G10845" s="87"/>
      <c r="H10845" s="90"/>
    </row>
    <row r="10846" spans="7:8">
      <c r="G10846" s="87"/>
      <c r="H10846" s="90"/>
    </row>
    <row r="10847" spans="7:8">
      <c r="G10847" s="87"/>
      <c r="H10847" s="90"/>
    </row>
    <row r="10848" spans="7:8">
      <c r="G10848" s="87"/>
      <c r="H10848" s="90"/>
    </row>
    <row r="10849" spans="7:8">
      <c r="G10849" s="87"/>
      <c r="H10849" s="90"/>
    </row>
    <row r="10850" spans="7:8">
      <c r="G10850" s="87"/>
      <c r="H10850" s="90"/>
    </row>
    <row r="10851" spans="7:8">
      <c r="G10851" s="87"/>
      <c r="H10851" s="90"/>
    </row>
    <row r="10852" spans="7:8">
      <c r="G10852" s="87"/>
      <c r="H10852" s="90"/>
    </row>
    <row r="10853" spans="7:8">
      <c r="G10853" s="87"/>
      <c r="H10853" s="90"/>
    </row>
    <row r="10854" spans="7:8">
      <c r="G10854" s="87"/>
      <c r="H10854" s="90"/>
    </row>
    <row r="10855" spans="7:8">
      <c r="G10855" s="87"/>
      <c r="H10855" s="90"/>
    </row>
    <row r="10856" spans="7:8">
      <c r="G10856" s="87"/>
      <c r="H10856" s="90"/>
    </row>
    <row r="10857" spans="7:8">
      <c r="G10857" s="87"/>
      <c r="H10857" s="90"/>
    </row>
    <row r="10858" spans="7:8">
      <c r="G10858" s="87"/>
      <c r="H10858" s="90"/>
    </row>
    <row r="10859" spans="7:8">
      <c r="G10859" s="87"/>
      <c r="H10859" s="90"/>
    </row>
    <row r="10860" spans="7:8">
      <c r="G10860" s="87"/>
      <c r="H10860" s="90"/>
    </row>
    <row r="10861" spans="7:8">
      <c r="G10861" s="87"/>
      <c r="H10861" s="90"/>
    </row>
    <row r="10862" spans="7:8">
      <c r="G10862" s="87"/>
      <c r="H10862" s="90"/>
    </row>
    <row r="10863" spans="7:8">
      <c r="G10863" s="87"/>
      <c r="H10863" s="90"/>
    </row>
    <row r="10864" spans="7:8">
      <c r="G10864" s="87"/>
      <c r="H10864" s="90"/>
    </row>
    <row r="10865" spans="7:8">
      <c r="G10865" s="87"/>
      <c r="H10865" s="90"/>
    </row>
    <row r="10866" spans="7:8">
      <c r="G10866" s="87"/>
      <c r="H10866" s="90"/>
    </row>
    <row r="10867" spans="7:8">
      <c r="G10867" s="87"/>
      <c r="H10867" s="90"/>
    </row>
    <row r="10868" spans="7:8">
      <c r="G10868" s="87"/>
      <c r="H10868" s="90"/>
    </row>
    <row r="10869" spans="7:8">
      <c r="G10869" s="87"/>
      <c r="H10869" s="90"/>
    </row>
    <row r="10870" spans="7:8">
      <c r="G10870" s="87"/>
      <c r="H10870" s="90"/>
    </row>
    <row r="10871" spans="7:8">
      <c r="G10871" s="87"/>
      <c r="H10871" s="90"/>
    </row>
    <row r="10872" spans="7:8">
      <c r="G10872" s="87"/>
      <c r="H10872" s="90"/>
    </row>
    <row r="10873" spans="7:8">
      <c r="G10873" s="87"/>
      <c r="H10873" s="90"/>
    </row>
    <row r="10874" spans="7:8">
      <c r="G10874" s="87"/>
      <c r="H10874" s="90"/>
    </row>
    <row r="10875" spans="7:8">
      <c r="G10875" s="87"/>
      <c r="H10875" s="90"/>
    </row>
    <row r="10876" spans="7:8">
      <c r="G10876" s="87"/>
      <c r="H10876" s="90"/>
    </row>
    <row r="10877" spans="7:8">
      <c r="G10877" s="87"/>
      <c r="H10877" s="90"/>
    </row>
    <row r="10878" spans="7:8">
      <c r="G10878" s="87"/>
      <c r="H10878" s="90"/>
    </row>
    <row r="10879" spans="7:8">
      <c r="G10879" s="87"/>
      <c r="H10879" s="90"/>
    </row>
    <row r="10880" spans="7:8">
      <c r="G10880" s="87"/>
      <c r="H10880" s="90"/>
    </row>
    <row r="10881" spans="7:8">
      <c r="G10881" s="87"/>
      <c r="H10881" s="90"/>
    </row>
    <row r="10882" spans="7:8">
      <c r="G10882" s="87"/>
      <c r="H10882" s="90"/>
    </row>
    <row r="10883" spans="7:8">
      <c r="G10883" s="87"/>
      <c r="H10883" s="90"/>
    </row>
    <row r="10884" spans="7:8">
      <c r="G10884" s="87"/>
      <c r="H10884" s="90"/>
    </row>
    <row r="10885" spans="7:8">
      <c r="G10885" s="87"/>
      <c r="H10885" s="90"/>
    </row>
    <row r="10886" spans="7:8">
      <c r="G10886" s="87"/>
      <c r="H10886" s="90"/>
    </row>
    <row r="10887" spans="7:8">
      <c r="G10887" s="87"/>
      <c r="H10887" s="90"/>
    </row>
    <row r="10888" spans="7:8">
      <c r="G10888" s="87"/>
      <c r="H10888" s="90"/>
    </row>
    <row r="10889" spans="7:8">
      <c r="G10889" s="87"/>
      <c r="H10889" s="90"/>
    </row>
    <row r="10890" spans="7:8">
      <c r="G10890" s="87"/>
      <c r="H10890" s="90"/>
    </row>
    <row r="10891" spans="7:8">
      <c r="G10891" s="87"/>
      <c r="H10891" s="90"/>
    </row>
    <row r="10892" spans="7:8">
      <c r="G10892" s="87"/>
      <c r="H10892" s="90"/>
    </row>
    <row r="10893" spans="7:8">
      <c r="G10893" s="87"/>
      <c r="H10893" s="90"/>
    </row>
    <row r="10894" spans="7:8">
      <c r="G10894" s="87"/>
      <c r="H10894" s="90"/>
    </row>
    <row r="10895" spans="7:8">
      <c r="G10895" s="87"/>
      <c r="H10895" s="90"/>
    </row>
    <row r="10896" spans="7:8">
      <c r="G10896" s="87"/>
      <c r="H10896" s="90"/>
    </row>
    <row r="10897" spans="7:8">
      <c r="G10897" s="87"/>
      <c r="H10897" s="90"/>
    </row>
    <row r="10898" spans="7:8">
      <c r="G10898" s="87"/>
      <c r="H10898" s="90"/>
    </row>
    <row r="10899" spans="7:8">
      <c r="G10899" s="87"/>
      <c r="H10899" s="90"/>
    </row>
    <row r="10900" spans="7:8">
      <c r="G10900" s="87"/>
      <c r="H10900" s="90"/>
    </row>
    <row r="10901" spans="7:8">
      <c r="G10901" s="87"/>
      <c r="H10901" s="90"/>
    </row>
    <row r="10902" spans="7:8">
      <c r="G10902" s="87"/>
      <c r="H10902" s="90"/>
    </row>
    <row r="10903" spans="7:8">
      <c r="G10903" s="87"/>
      <c r="H10903" s="90"/>
    </row>
    <row r="10904" spans="7:8">
      <c r="G10904" s="87"/>
      <c r="H10904" s="90"/>
    </row>
    <row r="10905" spans="7:8">
      <c r="G10905" s="87"/>
      <c r="H10905" s="90"/>
    </row>
    <row r="10906" spans="7:8">
      <c r="G10906" s="87"/>
      <c r="H10906" s="90"/>
    </row>
    <row r="10907" spans="7:8">
      <c r="G10907" s="87"/>
      <c r="H10907" s="90"/>
    </row>
    <row r="10908" spans="7:8">
      <c r="G10908" s="87"/>
      <c r="H10908" s="90"/>
    </row>
    <row r="10909" spans="7:8">
      <c r="G10909" s="87"/>
      <c r="H10909" s="90"/>
    </row>
    <row r="10910" spans="7:8">
      <c r="G10910" s="87"/>
      <c r="H10910" s="90"/>
    </row>
    <row r="10911" spans="7:8">
      <c r="G10911" s="87"/>
      <c r="H10911" s="90"/>
    </row>
    <row r="10912" spans="7:8">
      <c r="G10912" s="87"/>
      <c r="H10912" s="90"/>
    </row>
    <row r="10913" spans="7:8">
      <c r="G10913" s="87"/>
      <c r="H10913" s="90"/>
    </row>
    <row r="10914" spans="7:8">
      <c r="G10914" s="87"/>
      <c r="H10914" s="90"/>
    </row>
    <row r="10915" spans="7:8">
      <c r="G10915" s="87"/>
      <c r="H10915" s="90"/>
    </row>
    <row r="10916" spans="7:8">
      <c r="G10916" s="87"/>
      <c r="H10916" s="90"/>
    </row>
    <row r="10917" spans="7:8">
      <c r="G10917" s="87"/>
      <c r="H10917" s="90"/>
    </row>
    <row r="10918" spans="7:8">
      <c r="G10918" s="87"/>
      <c r="H10918" s="90"/>
    </row>
    <row r="10919" spans="7:8">
      <c r="G10919" s="87"/>
      <c r="H10919" s="90"/>
    </row>
    <row r="10920" spans="7:8">
      <c r="G10920" s="87"/>
      <c r="H10920" s="90"/>
    </row>
    <row r="10921" spans="7:8">
      <c r="G10921" s="87"/>
      <c r="H10921" s="90"/>
    </row>
    <row r="10922" spans="7:8">
      <c r="G10922" s="87"/>
      <c r="H10922" s="90"/>
    </row>
    <row r="10923" spans="7:8">
      <c r="G10923" s="87"/>
      <c r="H10923" s="90"/>
    </row>
    <row r="10924" spans="7:8">
      <c r="G10924" s="87"/>
      <c r="H10924" s="90"/>
    </row>
    <row r="10925" spans="7:8">
      <c r="G10925" s="87"/>
      <c r="H10925" s="90"/>
    </row>
    <row r="10926" spans="7:8">
      <c r="G10926" s="87"/>
      <c r="H10926" s="90"/>
    </row>
    <row r="10927" spans="7:8">
      <c r="G10927" s="87"/>
      <c r="H10927" s="90"/>
    </row>
    <row r="10928" spans="7:8">
      <c r="G10928" s="87"/>
      <c r="H10928" s="90"/>
    </row>
    <row r="10929" spans="7:8">
      <c r="G10929" s="87"/>
      <c r="H10929" s="90"/>
    </row>
    <row r="10930" spans="7:8">
      <c r="G10930" s="87"/>
      <c r="H10930" s="90"/>
    </row>
    <row r="10931" spans="7:8">
      <c r="G10931" s="87"/>
      <c r="H10931" s="90"/>
    </row>
    <row r="10932" spans="7:8">
      <c r="G10932" s="87"/>
      <c r="H10932" s="90"/>
    </row>
    <row r="10933" spans="7:8">
      <c r="G10933" s="87"/>
      <c r="H10933" s="90"/>
    </row>
    <row r="10934" spans="7:8">
      <c r="G10934" s="87"/>
      <c r="H10934" s="90"/>
    </row>
    <row r="10935" spans="7:8">
      <c r="G10935" s="87"/>
      <c r="H10935" s="90"/>
    </row>
    <row r="10936" spans="7:8">
      <c r="G10936" s="87"/>
      <c r="H10936" s="90"/>
    </row>
    <row r="10937" spans="7:8">
      <c r="G10937" s="87"/>
      <c r="H10937" s="90"/>
    </row>
    <row r="10938" spans="7:8">
      <c r="G10938" s="87"/>
      <c r="H10938" s="90"/>
    </row>
    <row r="10939" spans="7:8">
      <c r="G10939" s="87"/>
      <c r="H10939" s="90"/>
    </row>
    <row r="10940" spans="7:8">
      <c r="G10940" s="87"/>
      <c r="H10940" s="90"/>
    </row>
    <row r="10941" spans="7:8">
      <c r="G10941" s="87"/>
      <c r="H10941" s="90"/>
    </row>
    <row r="10942" spans="7:8">
      <c r="G10942" s="87"/>
      <c r="H10942" s="90"/>
    </row>
    <row r="10943" spans="7:8">
      <c r="G10943" s="87"/>
      <c r="H10943" s="90"/>
    </row>
    <row r="10944" spans="7:8">
      <c r="G10944" s="87"/>
      <c r="H10944" s="90"/>
    </row>
    <row r="10945" spans="7:8">
      <c r="G10945" s="87"/>
      <c r="H10945" s="90"/>
    </row>
    <row r="10946" spans="7:8">
      <c r="G10946" s="87"/>
      <c r="H10946" s="90"/>
    </row>
    <row r="10947" spans="7:8">
      <c r="G10947" s="87"/>
      <c r="H10947" s="90"/>
    </row>
    <row r="10948" spans="7:8">
      <c r="G10948" s="87"/>
      <c r="H10948" s="90"/>
    </row>
    <row r="10949" spans="7:8">
      <c r="G10949" s="87"/>
      <c r="H10949" s="90"/>
    </row>
    <row r="10950" spans="7:8">
      <c r="G10950" s="87"/>
      <c r="H10950" s="90"/>
    </row>
    <row r="10951" spans="7:8">
      <c r="G10951" s="87"/>
      <c r="H10951" s="90"/>
    </row>
    <row r="10952" spans="7:8">
      <c r="G10952" s="87"/>
      <c r="H10952" s="90"/>
    </row>
    <row r="10953" spans="7:8">
      <c r="G10953" s="87"/>
      <c r="H10953" s="90"/>
    </row>
    <row r="10954" spans="7:8">
      <c r="G10954" s="87"/>
      <c r="H10954" s="90"/>
    </row>
    <row r="10955" spans="7:8">
      <c r="G10955" s="87"/>
      <c r="H10955" s="90"/>
    </row>
    <row r="10956" spans="7:8">
      <c r="G10956" s="87"/>
      <c r="H10956" s="90"/>
    </row>
    <row r="10957" spans="7:8">
      <c r="G10957" s="87"/>
      <c r="H10957" s="90"/>
    </row>
    <row r="10958" spans="7:8">
      <c r="G10958" s="87"/>
      <c r="H10958" s="90"/>
    </row>
    <row r="10959" spans="7:8">
      <c r="G10959" s="87"/>
      <c r="H10959" s="90"/>
    </row>
    <row r="10960" spans="7:8">
      <c r="G10960" s="87"/>
      <c r="H10960" s="90"/>
    </row>
    <row r="10961" spans="7:8">
      <c r="G10961" s="87"/>
      <c r="H10961" s="90"/>
    </row>
    <row r="10962" spans="7:8">
      <c r="G10962" s="87"/>
      <c r="H10962" s="90"/>
    </row>
    <row r="10963" spans="7:8">
      <c r="G10963" s="87"/>
      <c r="H10963" s="90"/>
    </row>
    <row r="10964" spans="7:8">
      <c r="G10964" s="87"/>
      <c r="H10964" s="90"/>
    </row>
    <row r="10965" spans="7:8">
      <c r="G10965" s="87"/>
      <c r="H10965" s="90"/>
    </row>
    <row r="10966" spans="7:8">
      <c r="G10966" s="87"/>
      <c r="H10966" s="90"/>
    </row>
    <row r="10967" spans="7:8">
      <c r="G10967" s="87"/>
      <c r="H10967" s="90"/>
    </row>
    <row r="10968" spans="7:8">
      <c r="G10968" s="87"/>
      <c r="H10968" s="90"/>
    </row>
    <row r="10969" spans="7:8">
      <c r="G10969" s="87"/>
      <c r="H10969" s="90"/>
    </row>
    <row r="10970" spans="7:8">
      <c r="G10970" s="87"/>
      <c r="H10970" s="90"/>
    </row>
    <row r="10971" spans="7:8">
      <c r="G10971" s="87"/>
      <c r="H10971" s="90"/>
    </row>
    <row r="10972" spans="7:8">
      <c r="G10972" s="87"/>
      <c r="H10972" s="90"/>
    </row>
    <row r="10973" spans="7:8">
      <c r="G10973" s="87"/>
      <c r="H10973" s="90"/>
    </row>
    <row r="10974" spans="7:8">
      <c r="G10974" s="87"/>
      <c r="H10974" s="90"/>
    </row>
    <row r="10975" spans="7:8">
      <c r="G10975" s="87"/>
      <c r="H10975" s="90"/>
    </row>
    <row r="10976" spans="7:8">
      <c r="G10976" s="87"/>
      <c r="H10976" s="90"/>
    </row>
    <row r="10977" spans="7:8">
      <c r="G10977" s="87"/>
      <c r="H10977" s="90"/>
    </row>
    <row r="10978" spans="7:8">
      <c r="G10978" s="87"/>
      <c r="H10978" s="90"/>
    </row>
    <row r="10979" spans="7:8">
      <c r="G10979" s="87"/>
      <c r="H10979" s="90"/>
    </row>
    <row r="10980" spans="7:8">
      <c r="G10980" s="87"/>
      <c r="H10980" s="90"/>
    </row>
    <row r="10981" spans="7:8">
      <c r="G10981" s="87"/>
      <c r="H10981" s="90"/>
    </row>
    <row r="10982" spans="7:8">
      <c r="G10982" s="87"/>
      <c r="H10982" s="90"/>
    </row>
    <row r="10983" spans="7:8">
      <c r="G10983" s="87"/>
      <c r="H10983" s="90"/>
    </row>
    <row r="10984" spans="7:8">
      <c r="G10984" s="87"/>
      <c r="H10984" s="90"/>
    </row>
    <row r="10985" spans="7:8">
      <c r="G10985" s="87"/>
      <c r="H10985" s="90"/>
    </row>
    <row r="10986" spans="7:8">
      <c r="G10986" s="87"/>
      <c r="H10986" s="90"/>
    </row>
    <row r="10987" spans="7:8">
      <c r="G10987" s="87"/>
      <c r="H10987" s="90"/>
    </row>
    <row r="10988" spans="7:8">
      <c r="G10988" s="87"/>
      <c r="H10988" s="90"/>
    </row>
    <row r="10989" spans="7:8">
      <c r="G10989" s="87"/>
      <c r="H10989" s="90"/>
    </row>
    <row r="10990" spans="7:8">
      <c r="G10990" s="87"/>
      <c r="H10990" s="90"/>
    </row>
    <row r="10991" spans="7:8">
      <c r="G10991" s="87"/>
      <c r="H10991" s="90"/>
    </row>
    <row r="10992" spans="7:8">
      <c r="G10992" s="87"/>
      <c r="H10992" s="90"/>
    </row>
    <row r="10993" spans="7:8">
      <c r="G10993" s="87"/>
      <c r="H10993" s="90"/>
    </row>
    <row r="10994" spans="7:8">
      <c r="G10994" s="87"/>
      <c r="H10994" s="90"/>
    </row>
    <row r="10995" spans="7:8">
      <c r="G10995" s="87"/>
      <c r="H10995" s="90"/>
    </row>
    <row r="10996" spans="7:8">
      <c r="G10996" s="87"/>
      <c r="H10996" s="90"/>
    </row>
    <row r="10997" spans="7:8">
      <c r="G10997" s="87"/>
      <c r="H10997" s="90"/>
    </row>
    <row r="10998" spans="7:8">
      <c r="G10998" s="87"/>
      <c r="H10998" s="90"/>
    </row>
    <row r="10999" spans="7:8">
      <c r="G10999" s="87"/>
      <c r="H10999" s="90"/>
    </row>
    <row r="11000" spans="7:8">
      <c r="G11000" s="87"/>
      <c r="H11000" s="90"/>
    </row>
    <row r="11001" spans="7:8">
      <c r="G11001" s="87"/>
      <c r="H11001" s="90"/>
    </row>
    <row r="11002" spans="7:8">
      <c r="G11002" s="87"/>
      <c r="H11002" s="90"/>
    </row>
    <row r="11003" spans="7:8">
      <c r="G11003" s="87"/>
      <c r="H11003" s="90"/>
    </row>
    <row r="11004" spans="7:8">
      <c r="G11004" s="87"/>
      <c r="H11004" s="90"/>
    </row>
    <row r="11005" spans="7:8">
      <c r="G11005" s="87"/>
      <c r="H11005" s="90"/>
    </row>
    <row r="11006" spans="7:8">
      <c r="G11006" s="87"/>
      <c r="H11006" s="90"/>
    </row>
    <row r="11007" spans="7:8">
      <c r="G11007" s="87"/>
      <c r="H11007" s="90"/>
    </row>
    <row r="11008" spans="7:8">
      <c r="G11008" s="87"/>
      <c r="H11008" s="90"/>
    </row>
    <row r="11009" spans="7:8">
      <c r="G11009" s="87"/>
      <c r="H11009" s="90"/>
    </row>
    <row r="11010" spans="7:8">
      <c r="G11010" s="87"/>
      <c r="H11010" s="90"/>
    </row>
    <row r="11011" spans="7:8">
      <c r="G11011" s="87"/>
      <c r="H11011" s="90"/>
    </row>
    <row r="11012" spans="7:8">
      <c r="G11012" s="87"/>
      <c r="H11012" s="90"/>
    </row>
    <row r="11013" spans="7:8">
      <c r="G11013" s="87"/>
      <c r="H11013" s="90"/>
    </row>
    <row r="11014" spans="7:8">
      <c r="G11014" s="87"/>
      <c r="H11014" s="90"/>
    </row>
    <row r="11015" spans="7:8">
      <c r="G11015" s="87"/>
      <c r="H11015" s="90"/>
    </row>
    <row r="11016" spans="7:8">
      <c r="G11016" s="87"/>
      <c r="H11016" s="90"/>
    </row>
    <row r="11017" spans="7:8">
      <c r="G11017" s="87"/>
      <c r="H11017" s="90"/>
    </row>
    <row r="11018" spans="7:8">
      <c r="G11018" s="87"/>
      <c r="H11018" s="90"/>
    </row>
    <row r="11019" spans="7:8">
      <c r="G11019" s="87"/>
      <c r="H11019" s="90"/>
    </row>
    <row r="11020" spans="7:8">
      <c r="G11020" s="87"/>
      <c r="H11020" s="90"/>
    </row>
    <row r="11021" spans="7:8">
      <c r="G11021" s="87"/>
      <c r="H11021" s="90"/>
    </row>
    <row r="11022" spans="7:8">
      <c r="G11022" s="87"/>
      <c r="H11022" s="90"/>
    </row>
    <row r="11023" spans="7:8">
      <c r="G11023" s="87"/>
      <c r="H11023" s="90"/>
    </row>
    <row r="11024" spans="7:8">
      <c r="G11024" s="87"/>
      <c r="H11024" s="90"/>
    </row>
    <row r="11025" spans="7:8">
      <c r="G11025" s="87"/>
      <c r="H11025" s="90"/>
    </row>
    <row r="11026" spans="7:8">
      <c r="G11026" s="87"/>
      <c r="H11026" s="90"/>
    </row>
    <row r="11027" spans="7:8">
      <c r="G11027" s="87"/>
      <c r="H11027" s="90"/>
    </row>
    <row r="11028" spans="7:8">
      <c r="G11028" s="87"/>
      <c r="H11028" s="90"/>
    </row>
    <row r="11029" spans="7:8">
      <c r="G11029" s="87"/>
      <c r="H11029" s="90"/>
    </row>
    <row r="11030" spans="7:8">
      <c r="G11030" s="87"/>
      <c r="H11030" s="90"/>
    </row>
    <row r="11031" spans="7:8">
      <c r="G11031" s="87"/>
      <c r="H11031" s="90"/>
    </row>
    <row r="11032" spans="7:8">
      <c r="G11032" s="87"/>
      <c r="H11032" s="90"/>
    </row>
    <row r="11033" spans="7:8">
      <c r="G11033" s="87"/>
      <c r="H11033" s="90"/>
    </row>
    <row r="11034" spans="7:8">
      <c r="G11034" s="87"/>
      <c r="H11034" s="90"/>
    </row>
    <row r="11035" spans="7:8">
      <c r="G11035" s="87"/>
      <c r="H11035" s="90"/>
    </row>
    <row r="11036" spans="7:8">
      <c r="G11036" s="87"/>
      <c r="H11036" s="90"/>
    </row>
    <row r="11037" spans="7:8">
      <c r="G11037" s="87"/>
      <c r="H11037" s="90"/>
    </row>
    <row r="11038" spans="7:8">
      <c r="G11038" s="87"/>
      <c r="H11038" s="90"/>
    </row>
    <row r="11039" spans="7:8">
      <c r="G11039" s="87"/>
      <c r="H11039" s="90"/>
    </row>
    <row r="11040" spans="7:8">
      <c r="G11040" s="87"/>
      <c r="H11040" s="90"/>
    </row>
    <row r="11041" spans="7:8">
      <c r="G11041" s="87"/>
      <c r="H11041" s="90"/>
    </row>
    <row r="11042" spans="7:8">
      <c r="G11042" s="87"/>
      <c r="H11042" s="90"/>
    </row>
    <row r="11043" spans="7:8">
      <c r="G11043" s="87"/>
      <c r="H11043" s="90"/>
    </row>
    <row r="11044" spans="7:8">
      <c r="G11044" s="87"/>
      <c r="H11044" s="90"/>
    </row>
    <row r="11045" spans="7:8">
      <c r="G11045" s="87"/>
      <c r="H11045" s="90"/>
    </row>
    <row r="11046" spans="7:8">
      <c r="G11046" s="87"/>
      <c r="H11046" s="90"/>
    </row>
    <row r="11047" spans="7:8">
      <c r="G11047" s="87"/>
      <c r="H11047" s="90"/>
    </row>
    <row r="11048" spans="7:8">
      <c r="G11048" s="87"/>
      <c r="H11048" s="90"/>
    </row>
    <row r="11049" spans="7:8">
      <c r="G11049" s="87"/>
      <c r="H11049" s="90"/>
    </row>
    <row r="11050" spans="7:8">
      <c r="G11050" s="87"/>
      <c r="H11050" s="90"/>
    </row>
    <row r="11051" spans="7:8">
      <c r="G11051" s="87"/>
      <c r="H11051" s="90"/>
    </row>
    <row r="11052" spans="7:8">
      <c r="G11052" s="87"/>
      <c r="H11052" s="90"/>
    </row>
    <row r="11053" spans="7:8">
      <c r="G11053" s="87"/>
      <c r="H11053" s="90"/>
    </row>
    <row r="11054" spans="7:8">
      <c r="G11054" s="87"/>
      <c r="H11054" s="90"/>
    </row>
    <row r="11055" spans="7:8">
      <c r="G11055" s="87"/>
      <c r="H11055" s="90"/>
    </row>
    <row r="11056" spans="7:8">
      <c r="G11056" s="87"/>
      <c r="H11056" s="90"/>
    </row>
    <row r="11057" spans="7:8">
      <c r="G11057" s="87"/>
      <c r="H11057" s="90"/>
    </row>
    <row r="11058" spans="7:8">
      <c r="G11058" s="87"/>
      <c r="H11058" s="90"/>
    </row>
    <row r="11059" spans="7:8">
      <c r="G11059" s="87"/>
      <c r="H11059" s="90"/>
    </row>
    <row r="11060" spans="7:8">
      <c r="G11060" s="87"/>
      <c r="H11060" s="90"/>
    </row>
    <row r="11061" spans="7:8">
      <c r="G11061" s="87"/>
      <c r="H11061" s="90"/>
    </row>
    <row r="11062" spans="7:8">
      <c r="G11062" s="87"/>
      <c r="H11062" s="90"/>
    </row>
    <row r="11063" spans="7:8">
      <c r="G11063" s="87"/>
      <c r="H11063" s="90"/>
    </row>
    <row r="11064" spans="7:8">
      <c r="G11064" s="87"/>
      <c r="H11064" s="90"/>
    </row>
    <row r="11065" spans="7:8">
      <c r="G11065" s="87"/>
      <c r="H11065" s="90"/>
    </row>
    <row r="11066" spans="7:8">
      <c r="G11066" s="87"/>
      <c r="H11066" s="90"/>
    </row>
    <row r="11067" spans="7:8">
      <c r="G11067" s="87"/>
      <c r="H11067" s="90"/>
    </row>
    <row r="11068" spans="7:8">
      <c r="G11068" s="87"/>
      <c r="H11068" s="90"/>
    </row>
    <row r="11069" spans="7:8">
      <c r="G11069" s="87"/>
      <c r="H11069" s="90"/>
    </row>
    <row r="11070" spans="7:8">
      <c r="G11070" s="87"/>
      <c r="H11070" s="90"/>
    </row>
    <row r="11071" spans="7:8">
      <c r="G11071" s="87"/>
      <c r="H11071" s="90"/>
    </row>
    <row r="11072" spans="7:8">
      <c r="G11072" s="87"/>
      <c r="H11072" s="90"/>
    </row>
    <row r="11073" spans="7:8">
      <c r="G11073" s="87"/>
      <c r="H11073" s="90"/>
    </row>
    <row r="11074" spans="7:8">
      <c r="G11074" s="87"/>
      <c r="H11074" s="90"/>
    </row>
    <row r="11075" spans="7:8">
      <c r="G11075" s="87"/>
      <c r="H11075" s="90"/>
    </row>
    <row r="11076" spans="7:8">
      <c r="G11076" s="87"/>
      <c r="H11076" s="90"/>
    </row>
    <row r="11077" spans="7:8">
      <c r="G11077" s="87"/>
      <c r="H11077" s="90"/>
    </row>
    <row r="11078" spans="7:8">
      <c r="G11078" s="87"/>
      <c r="H11078" s="90"/>
    </row>
    <row r="11079" spans="7:8">
      <c r="G11079" s="87"/>
      <c r="H11079" s="90"/>
    </row>
    <row r="11080" spans="7:8">
      <c r="G11080" s="87"/>
      <c r="H11080" s="90"/>
    </row>
    <row r="11081" spans="7:8">
      <c r="G11081" s="87"/>
      <c r="H11081" s="90"/>
    </row>
    <row r="11082" spans="7:8">
      <c r="G11082" s="87"/>
      <c r="H11082" s="90"/>
    </row>
    <row r="11083" spans="7:8">
      <c r="G11083" s="87"/>
      <c r="H11083" s="90"/>
    </row>
    <row r="11084" spans="7:8">
      <c r="G11084" s="87"/>
      <c r="H11084" s="90"/>
    </row>
    <row r="11085" spans="7:8">
      <c r="G11085" s="87"/>
      <c r="H11085" s="90"/>
    </row>
    <row r="11086" spans="7:8">
      <c r="G11086" s="87"/>
      <c r="H11086" s="90"/>
    </row>
    <row r="11087" spans="7:8">
      <c r="G11087" s="87"/>
      <c r="H11087" s="90"/>
    </row>
    <row r="11088" spans="7:8">
      <c r="G11088" s="87"/>
      <c r="H11088" s="90"/>
    </row>
    <row r="11089" spans="7:8">
      <c r="G11089" s="87"/>
      <c r="H11089" s="90"/>
    </row>
    <row r="11090" spans="7:8">
      <c r="G11090" s="87"/>
      <c r="H11090" s="90"/>
    </row>
    <row r="11091" spans="7:8">
      <c r="G11091" s="87"/>
      <c r="H11091" s="90"/>
    </row>
    <row r="11092" spans="7:8">
      <c r="G11092" s="87"/>
      <c r="H11092" s="90"/>
    </row>
    <row r="11093" spans="7:8">
      <c r="G11093" s="87"/>
      <c r="H11093" s="90"/>
    </row>
    <row r="11094" spans="7:8">
      <c r="G11094" s="87"/>
      <c r="H11094" s="90"/>
    </row>
    <row r="11095" spans="7:8">
      <c r="G11095" s="87"/>
      <c r="H11095" s="90"/>
    </row>
    <row r="11096" spans="7:8">
      <c r="G11096" s="87"/>
      <c r="H11096" s="90"/>
    </row>
    <row r="11097" spans="7:8">
      <c r="G11097" s="87"/>
      <c r="H11097" s="90"/>
    </row>
    <row r="11098" spans="7:8">
      <c r="G11098" s="87"/>
      <c r="H11098" s="90"/>
    </row>
    <row r="11099" spans="7:8">
      <c r="G11099" s="87"/>
      <c r="H11099" s="90"/>
    </row>
    <row r="11100" spans="7:8">
      <c r="G11100" s="87"/>
      <c r="H11100" s="90"/>
    </row>
    <row r="11101" spans="7:8">
      <c r="G11101" s="87"/>
      <c r="H11101" s="90"/>
    </row>
    <row r="11102" spans="7:8">
      <c r="G11102" s="87"/>
      <c r="H11102" s="90"/>
    </row>
    <row r="11103" spans="7:8">
      <c r="G11103" s="87"/>
      <c r="H11103" s="90"/>
    </row>
    <row r="11104" spans="7:8">
      <c r="G11104" s="87"/>
      <c r="H11104" s="90"/>
    </row>
    <row r="11105" spans="7:8">
      <c r="G11105" s="87"/>
      <c r="H11105" s="90"/>
    </row>
    <row r="11106" spans="7:8">
      <c r="G11106" s="87"/>
      <c r="H11106" s="90"/>
    </row>
    <row r="11107" spans="7:8">
      <c r="G11107" s="87"/>
      <c r="H11107" s="90"/>
    </row>
    <row r="11108" spans="7:8">
      <c r="G11108" s="87"/>
      <c r="H11108" s="90"/>
    </row>
    <row r="11109" spans="7:8">
      <c r="G11109" s="87"/>
      <c r="H11109" s="90"/>
    </row>
    <row r="11110" spans="7:8">
      <c r="G11110" s="87"/>
      <c r="H11110" s="90"/>
    </row>
    <row r="11111" spans="7:8">
      <c r="G11111" s="87"/>
      <c r="H11111" s="90"/>
    </row>
    <row r="11112" spans="7:8">
      <c r="G11112" s="87"/>
      <c r="H11112" s="90"/>
    </row>
    <row r="11113" spans="7:8">
      <c r="G11113" s="87"/>
      <c r="H11113" s="90"/>
    </row>
    <row r="11114" spans="7:8">
      <c r="G11114" s="87"/>
      <c r="H11114" s="90"/>
    </row>
    <row r="11115" spans="7:8">
      <c r="G11115" s="87"/>
      <c r="H11115" s="90"/>
    </row>
    <row r="11116" spans="7:8">
      <c r="G11116" s="87"/>
      <c r="H11116" s="90"/>
    </row>
    <row r="11117" spans="7:8">
      <c r="G11117" s="87"/>
      <c r="H11117" s="90"/>
    </row>
    <row r="11118" spans="7:8">
      <c r="G11118" s="87"/>
      <c r="H11118" s="90"/>
    </row>
    <row r="11119" spans="7:8">
      <c r="G11119" s="87"/>
      <c r="H11119" s="90"/>
    </row>
    <row r="11120" spans="7:8">
      <c r="G11120" s="87"/>
      <c r="H11120" s="90"/>
    </row>
    <row r="11121" spans="7:8">
      <c r="G11121" s="87"/>
      <c r="H11121" s="90"/>
    </row>
    <row r="11122" spans="7:8">
      <c r="G11122" s="87"/>
      <c r="H11122" s="90"/>
    </row>
    <row r="11123" spans="7:8">
      <c r="G11123" s="87"/>
      <c r="H11123" s="90"/>
    </row>
    <row r="11124" spans="7:8">
      <c r="G11124" s="87"/>
      <c r="H11124" s="90"/>
    </row>
    <row r="11125" spans="7:8">
      <c r="G11125" s="87"/>
      <c r="H11125" s="90"/>
    </row>
    <row r="11126" spans="7:8">
      <c r="G11126" s="87"/>
      <c r="H11126" s="90"/>
    </row>
    <row r="11127" spans="7:8">
      <c r="G11127" s="87"/>
      <c r="H11127" s="90"/>
    </row>
    <row r="11128" spans="7:8">
      <c r="G11128" s="87"/>
      <c r="H11128" s="90"/>
    </row>
    <row r="11129" spans="7:8">
      <c r="G11129" s="87"/>
      <c r="H11129" s="90"/>
    </row>
    <row r="11130" spans="7:8">
      <c r="G11130" s="87"/>
      <c r="H11130" s="90"/>
    </row>
    <row r="11131" spans="7:8">
      <c r="G11131" s="87"/>
      <c r="H11131" s="90"/>
    </row>
    <row r="11132" spans="7:8">
      <c r="G11132" s="87"/>
      <c r="H11132" s="90"/>
    </row>
    <row r="11133" spans="7:8">
      <c r="G11133" s="87"/>
      <c r="H11133" s="90"/>
    </row>
    <row r="11134" spans="7:8">
      <c r="G11134" s="87"/>
      <c r="H11134" s="90"/>
    </row>
    <row r="11135" spans="7:8">
      <c r="G11135" s="87"/>
      <c r="H11135" s="90"/>
    </row>
    <row r="11136" spans="7:8">
      <c r="G11136" s="87"/>
      <c r="H11136" s="90"/>
    </row>
    <row r="11137" spans="7:8">
      <c r="G11137" s="87"/>
      <c r="H11137" s="90"/>
    </row>
    <row r="11138" spans="7:8">
      <c r="G11138" s="87"/>
      <c r="H11138" s="90"/>
    </row>
    <row r="11139" spans="7:8">
      <c r="G11139" s="87"/>
      <c r="H11139" s="90"/>
    </row>
    <row r="11140" spans="7:8">
      <c r="G11140" s="87"/>
      <c r="H11140" s="90"/>
    </row>
    <row r="11141" spans="7:8">
      <c r="G11141" s="87"/>
      <c r="H11141" s="90"/>
    </row>
    <row r="11142" spans="7:8">
      <c r="G11142" s="87"/>
      <c r="H11142" s="90"/>
    </row>
    <row r="11143" spans="7:8">
      <c r="G11143" s="87"/>
      <c r="H11143" s="90"/>
    </row>
    <row r="11144" spans="7:8">
      <c r="G11144" s="87"/>
      <c r="H11144" s="90"/>
    </row>
    <row r="11145" spans="7:8">
      <c r="G11145" s="87"/>
      <c r="H11145" s="90"/>
    </row>
    <row r="11146" spans="7:8">
      <c r="G11146" s="87"/>
      <c r="H11146" s="90"/>
    </row>
    <row r="11147" spans="7:8">
      <c r="G11147" s="87"/>
      <c r="H11147" s="90"/>
    </row>
    <row r="11148" spans="7:8">
      <c r="G11148" s="87"/>
      <c r="H11148" s="90"/>
    </row>
    <row r="11149" spans="7:8">
      <c r="G11149" s="87"/>
      <c r="H11149" s="90"/>
    </row>
    <row r="11150" spans="7:8">
      <c r="G11150" s="87"/>
      <c r="H11150" s="90"/>
    </row>
    <row r="11151" spans="7:8">
      <c r="G11151" s="87"/>
      <c r="H11151" s="90"/>
    </row>
    <row r="11152" spans="7:8">
      <c r="G11152" s="87"/>
      <c r="H11152" s="90"/>
    </row>
    <row r="11153" spans="7:8">
      <c r="G11153" s="87"/>
      <c r="H11153" s="90"/>
    </row>
    <row r="11154" spans="7:8">
      <c r="G11154" s="87"/>
      <c r="H11154" s="90"/>
    </row>
    <row r="11155" spans="7:8">
      <c r="G11155" s="87"/>
      <c r="H11155" s="90"/>
    </row>
    <row r="11156" spans="7:8">
      <c r="G11156" s="87"/>
      <c r="H11156" s="90"/>
    </row>
    <row r="11157" spans="7:8">
      <c r="G11157" s="87"/>
      <c r="H11157" s="90"/>
    </row>
    <row r="11158" spans="7:8">
      <c r="G11158" s="87"/>
      <c r="H11158" s="90"/>
    </row>
    <row r="11159" spans="7:8">
      <c r="G11159" s="87"/>
      <c r="H11159" s="90"/>
    </row>
    <row r="11160" spans="7:8">
      <c r="G11160" s="87"/>
      <c r="H11160" s="90"/>
    </row>
    <row r="11161" spans="7:8">
      <c r="G11161" s="87"/>
      <c r="H11161" s="90"/>
    </row>
    <row r="11162" spans="7:8">
      <c r="G11162" s="87"/>
      <c r="H11162" s="90"/>
    </row>
    <row r="11163" spans="7:8">
      <c r="G11163" s="87"/>
      <c r="H11163" s="90"/>
    </row>
    <row r="11164" spans="7:8">
      <c r="G11164" s="87"/>
      <c r="H11164" s="90"/>
    </row>
    <row r="11165" spans="7:8">
      <c r="G11165" s="87"/>
      <c r="H11165" s="90"/>
    </row>
    <row r="11166" spans="7:8">
      <c r="G11166" s="87"/>
      <c r="H11166" s="90"/>
    </row>
    <row r="11167" spans="7:8">
      <c r="G11167" s="87"/>
      <c r="H11167" s="90"/>
    </row>
    <row r="11168" spans="7:8">
      <c r="G11168" s="87"/>
      <c r="H11168" s="90"/>
    </row>
    <row r="11169" spans="7:8">
      <c r="G11169" s="87"/>
      <c r="H11169" s="90"/>
    </row>
    <row r="11170" spans="7:8">
      <c r="G11170" s="87"/>
      <c r="H11170" s="90"/>
    </row>
    <row r="11171" spans="7:8">
      <c r="G11171" s="87"/>
      <c r="H11171" s="90"/>
    </row>
    <row r="11172" spans="7:8">
      <c r="G11172" s="87"/>
      <c r="H11172" s="90"/>
    </row>
    <row r="11173" spans="7:8">
      <c r="G11173" s="87"/>
      <c r="H11173" s="90"/>
    </row>
    <row r="11174" spans="7:8">
      <c r="G11174" s="87"/>
      <c r="H11174" s="90"/>
    </row>
    <row r="11175" spans="7:8">
      <c r="G11175" s="87"/>
      <c r="H11175" s="90"/>
    </row>
    <row r="11176" spans="7:8">
      <c r="G11176" s="87"/>
      <c r="H11176" s="90"/>
    </row>
    <row r="11177" spans="7:8">
      <c r="G11177" s="87"/>
      <c r="H11177" s="90"/>
    </row>
    <row r="11178" spans="7:8">
      <c r="G11178" s="87"/>
      <c r="H11178" s="90"/>
    </row>
    <row r="11179" spans="7:8">
      <c r="G11179" s="87"/>
      <c r="H11179" s="90"/>
    </row>
    <row r="11180" spans="7:8">
      <c r="G11180" s="87"/>
      <c r="H11180" s="90"/>
    </row>
    <row r="11181" spans="7:8">
      <c r="G11181" s="87"/>
      <c r="H11181" s="90"/>
    </row>
    <row r="11182" spans="7:8">
      <c r="G11182" s="87"/>
      <c r="H11182" s="90"/>
    </row>
    <row r="11183" spans="7:8">
      <c r="G11183" s="87"/>
      <c r="H11183" s="90"/>
    </row>
    <row r="11184" spans="7:8">
      <c r="G11184" s="87"/>
      <c r="H11184" s="90"/>
    </row>
    <row r="11185" spans="7:8">
      <c r="G11185" s="87"/>
      <c r="H11185" s="90"/>
    </row>
    <row r="11186" spans="7:8">
      <c r="G11186" s="87"/>
      <c r="H11186" s="90"/>
    </row>
    <row r="11187" spans="7:8">
      <c r="G11187" s="87"/>
      <c r="H11187" s="90"/>
    </row>
    <row r="11188" spans="7:8">
      <c r="G11188" s="87"/>
      <c r="H11188" s="90"/>
    </row>
    <row r="11189" spans="7:8">
      <c r="G11189" s="87"/>
      <c r="H11189" s="90"/>
    </row>
    <row r="11190" spans="7:8">
      <c r="G11190" s="87"/>
      <c r="H11190" s="90"/>
    </row>
    <row r="11191" spans="7:8">
      <c r="G11191" s="87"/>
      <c r="H11191" s="90"/>
    </row>
    <row r="11192" spans="7:8">
      <c r="G11192" s="87"/>
      <c r="H11192" s="90"/>
    </row>
    <row r="11193" spans="7:8">
      <c r="G11193" s="87"/>
      <c r="H11193" s="90"/>
    </row>
    <row r="11194" spans="7:8">
      <c r="G11194" s="87"/>
      <c r="H11194" s="90"/>
    </row>
    <row r="11195" spans="7:8">
      <c r="G11195" s="87"/>
      <c r="H11195" s="90"/>
    </row>
    <row r="11196" spans="7:8">
      <c r="G11196" s="87"/>
      <c r="H11196" s="90"/>
    </row>
    <row r="11197" spans="7:8">
      <c r="G11197" s="87"/>
      <c r="H11197" s="90"/>
    </row>
    <row r="11198" spans="7:8">
      <c r="G11198" s="87"/>
      <c r="H11198" s="90"/>
    </row>
    <row r="11199" spans="7:8">
      <c r="G11199" s="87"/>
      <c r="H11199" s="90"/>
    </row>
    <row r="11200" spans="7:8">
      <c r="G11200" s="87"/>
      <c r="H11200" s="90"/>
    </row>
    <row r="11201" spans="7:8">
      <c r="G11201" s="87"/>
      <c r="H11201" s="90"/>
    </row>
    <row r="11202" spans="7:8">
      <c r="G11202" s="87"/>
      <c r="H11202" s="90"/>
    </row>
    <row r="11203" spans="7:8">
      <c r="G11203" s="87"/>
      <c r="H11203" s="90"/>
    </row>
    <row r="11204" spans="7:8">
      <c r="G11204" s="87"/>
      <c r="H11204" s="90"/>
    </row>
    <row r="11205" spans="7:8">
      <c r="G11205" s="87"/>
      <c r="H11205" s="90"/>
    </row>
    <row r="11206" spans="7:8">
      <c r="G11206" s="87"/>
      <c r="H11206" s="90"/>
    </row>
    <row r="11207" spans="7:8">
      <c r="G11207" s="87"/>
      <c r="H11207" s="90"/>
    </row>
    <row r="11208" spans="7:8">
      <c r="G11208" s="87"/>
      <c r="H11208" s="90"/>
    </row>
    <row r="11209" spans="7:8">
      <c r="G11209" s="87"/>
      <c r="H11209" s="90"/>
    </row>
    <row r="11210" spans="7:8">
      <c r="G11210" s="87"/>
      <c r="H11210" s="90"/>
    </row>
    <row r="11211" spans="7:8">
      <c r="G11211" s="87"/>
      <c r="H11211" s="90"/>
    </row>
    <row r="11212" spans="7:8">
      <c r="G11212" s="87"/>
      <c r="H11212" s="90"/>
    </row>
    <row r="11213" spans="7:8">
      <c r="G11213" s="87"/>
      <c r="H11213" s="90"/>
    </row>
    <row r="11214" spans="7:8">
      <c r="G11214" s="87"/>
      <c r="H11214" s="90"/>
    </row>
    <row r="11215" spans="7:8">
      <c r="G11215" s="87"/>
      <c r="H11215" s="90"/>
    </row>
    <row r="11216" spans="7:8">
      <c r="G11216" s="87"/>
      <c r="H11216" s="90"/>
    </row>
    <row r="11217" spans="7:8">
      <c r="G11217" s="87"/>
      <c r="H11217" s="90"/>
    </row>
    <row r="11218" spans="7:8">
      <c r="G11218" s="87"/>
      <c r="H11218" s="90"/>
    </row>
    <row r="11219" spans="7:8">
      <c r="G11219" s="87"/>
      <c r="H11219" s="90"/>
    </row>
    <row r="11220" spans="7:8">
      <c r="G11220" s="87"/>
      <c r="H11220" s="90"/>
    </row>
    <row r="11221" spans="7:8">
      <c r="G11221" s="87"/>
      <c r="H11221" s="90"/>
    </row>
    <row r="11222" spans="7:8">
      <c r="G11222" s="87"/>
      <c r="H11222" s="90"/>
    </row>
    <row r="11223" spans="7:8">
      <c r="G11223" s="87"/>
      <c r="H11223" s="90"/>
    </row>
    <row r="11224" spans="7:8">
      <c r="G11224" s="87"/>
      <c r="H11224" s="90"/>
    </row>
    <row r="11225" spans="7:8">
      <c r="G11225" s="87"/>
      <c r="H11225" s="90"/>
    </row>
    <row r="11226" spans="7:8">
      <c r="G11226" s="87"/>
      <c r="H11226" s="90"/>
    </row>
    <row r="11227" spans="7:8">
      <c r="G11227" s="87"/>
      <c r="H11227" s="90"/>
    </row>
    <row r="11228" spans="7:8">
      <c r="G11228" s="87"/>
      <c r="H11228" s="90"/>
    </row>
    <row r="11229" spans="7:8">
      <c r="G11229" s="87"/>
      <c r="H11229" s="90"/>
    </row>
    <row r="11230" spans="7:8">
      <c r="G11230" s="87"/>
      <c r="H11230" s="90"/>
    </row>
    <row r="11231" spans="7:8">
      <c r="G11231" s="87"/>
      <c r="H11231" s="90"/>
    </row>
    <row r="11232" spans="7:8">
      <c r="G11232" s="87"/>
      <c r="H11232" s="90"/>
    </row>
    <row r="11233" spans="7:8">
      <c r="G11233" s="87"/>
      <c r="H11233" s="90"/>
    </row>
    <row r="11234" spans="7:8">
      <c r="G11234" s="87"/>
      <c r="H11234" s="90"/>
    </row>
    <row r="11235" spans="7:8">
      <c r="G11235" s="87"/>
      <c r="H11235" s="90"/>
    </row>
    <row r="11236" spans="7:8">
      <c r="G11236" s="87"/>
      <c r="H11236" s="90"/>
    </row>
    <row r="11237" spans="7:8">
      <c r="G11237" s="87"/>
      <c r="H11237" s="90"/>
    </row>
    <row r="11238" spans="7:8">
      <c r="G11238" s="87"/>
      <c r="H11238" s="90"/>
    </row>
    <row r="11239" spans="7:8">
      <c r="G11239" s="87"/>
      <c r="H11239" s="90"/>
    </row>
    <row r="11240" spans="7:8">
      <c r="G11240" s="87"/>
      <c r="H11240" s="90"/>
    </row>
    <row r="11241" spans="7:8">
      <c r="G11241" s="87"/>
      <c r="H11241" s="90"/>
    </row>
    <row r="11242" spans="7:8">
      <c r="G11242" s="87"/>
      <c r="H11242" s="90"/>
    </row>
    <row r="11243" spans="7:8">
      <c r="G11243" s="87"/>
      <c r="H11243" s="90"/>
    </row>
    <row r="11244" spans="7:8">
      <c r="G11244" s="87"/>
      <c r="H11244" s="90"/>
    </row>
    <row r="11245" spans="7:8">
      <c r="G11245" s="87"/>
      <c r="H11245" s="90"/>
    </row>
    <row r="11246" spans="7:8">
      <c r="G11246" s="87"/>
      <c r="H11246" s="90"/>
    </row>
    <row r="11247" spans="7:8">
      <c r="G11247" s="87"/>
      <c r="H11247" s="90"/>
    </row>
    <row r="11248" spans="7:8">
      <c r="G11248" s="87"/>
      <c r="H11248" s="90"/>
    </row>
    <row r="11249" spans="7:8">
      <c r="G11249" s="87"/>
      <c r="H11249" s="90"/>
    </row>
    <row r="11250" spans="7:8">
      <c r="G11250" s="87"/>
      <c r="H11250" s="90"/>
    </row>
    <row r="11251" spans="7:8">
      <c r="G11251" s="87"/>
      <c r="H11251" s="90"/>
    </row>
    <row r="11252" spans="7:8">
      <c r="G11252" s="87"/>
      <c r="H11252" s="90"/>
    </row>
    <row r="11253" spans="7:8">
      <c r="G11253" s="87"/>
      <c r="H11253" s="90"/>
    </row>
    <row r="11254" spans="7:8">
      <c r="G11254" s="87"/>
      <c r="H11254" s="90"/>
    </row>
    <row r="11255" spans="7:8">
      <c r="G11255" s="87"/>
      <c r="H11255" s="90"/>
    </row>
    <row r="11256" spans="7:8">
      <c r="G11256" s="87"/>
      <c r="H11256" s="90"/>
    </row>
    <row r="11257" spans="7:8">
      <c r="G11257" s="87"/>
      <c r="H11257" s="90"/>
    </row>
    <row r="11258" spans="7:8">
      <c r="G11258" s="87"/>
      <c r="H11258" s="90"/>
    </row>
    <row r="11259" spans="7:8">
      <c r="G11259" s="87"/>
      <c r="H11259" s="90"/>
    </row>
    <row r="11260" spans="7:8">
      <c r="G11260" s="87"/>
      <c r="H11260" s="90"/>
    </row>
    <row r="11261" spans="7:8">
      <c r="G11261" s="87"/>
      <c r="H11261" s="90"/>
    </row>
    <row r="11262" spans="7:8">
      <c r="G11262" s="87"/>
      <c r="H11262" s="90"/>
    </row>
    <row r="11263" spans="7:8">
      <c r="G11263" s="87"/>
      <c r="H11263" s="90"/>
    </row>
    <row r="11264" spans="7:8">
      <c r="G11264" s="87"/>
      <c r="H11264" s="90"/>
    </row>
    <row r="11265" spans="7:8">
      <c r="G11265" s="87"/>
      <c r="H11265" s="90"/>
    </row>
    <row r="11266" spans="7:8">
      <c r="G11266" s="87"/>
      <c r="H11266" s="90"/>
    </row>
    <row r="11267" spans="7:8">
      <c r="G11267" s="87"/>
      <c r="H11267" s="90"/>
    </row>
    <row r="11268" spans="7:8">
      <c r="G11268" s="87"/>
      <c r="H11268" s="90"/>
    </row>
    <row r="11269" spans="7:8">
      <c r="G11269" s="87"/>
      <c r="H11269" s="90"/>
    </row>
    <row r="11270" spans="7:8">
      <c r="G11270" s="87"/>
      <c r="H11270" s="90"/>
    </row>
    <row r="11271" spans="7:8">
      <c r="G11271" s="87"/>
      <c r="H11271" s="90"/>
    </row>
    <row r="11272" spans="7:8">
      <c r="G11272" s="87"/>
      <c r="H11272" s="90"/>
    </row>
    <row r="11273" spans="7:8">
      <c r="G11273" s="87"/>
      <c r="H11273" s="90"/>
    </row>
    <row r="11274" spans="7:8">
      <c r="G11274" s="87"/>
      <c r="H11274" s="90"/>
    </row>
    <row r="11275" spans="7:8">
      <c r="G11275" s="87"/>
      <c r="H11275" s="90"/>
    </row>
    <row r="11276" spans="7:8">
      <c r="G11276" s="87"/>
      <c r="H11276" s="90"/>
    </row>
    <row r="11277" spans="7:8">
      <c r="G11277" s="87"/>
      <c r="H11277" s="90"/>
    </row>
    <row r="11278" spans="7:8">
      <c r="G11278" s="87"/>
      <c r="H11278" s="90"/>
    </row>
    <row r="11279" spans="7:8">
      <c r="G11279" s="87"/>
      <c r="H11279" s="90"/>
    </row>
    <row r="11280" spans="7:8">
      <c r="G11280" s="87"/>
      <c r="H11280" s="90"/>
    </row>
    <row r="11281" spans="7:8">
      <c r="G11281" s="87"/>
      <c r="H11281" s="90"/>
    </row>
    <row r="11282" spans="7:8">
      <c r="G11282" s="87"/>
      <c r="H11282" s="90"/>
    </row>
    <row r="11283" spans="7:8">
      <c r="G11283" s="87"/>
      <c r="H11283" s="90"/>
    </row>
    <row r="11284" spans="7:8">
      <c r="G11284" s="87"/>
      <c r="H11284" s="90"/>
    </row>
    <row r="11285" spans="7:8">
      <c r="G11285" s="87"/>
      <c r="H11285" s="90"/>
    </row>
    <row r="11286" spans="7:8">
      <c r="G11286" s="87"/>
      <c r="H11286" s="90"/>
    </row>
    <row r="11287" spans="7:8">
      <c r="G11287" s="87"/>
      <c r="H11287" s="90"/>
    </row>
    <row r="11288" spans="7:8">
      <c r="G11288" s="87"/>
      <c r="H11288" s="90"/>
    </row>
    <row r="11289" spans="7:8">
      <c r="G11289" s="87"/>
      <c r="H11289" s="90"/>
    </row>
    <row r="11290" spans="7:8">
      <c r="G11290" s="87"/>
      <c r="H11290" s="90"/>
    </row>
    <row r="11291" spans="7:8">
      <c r="G11291" s="87"/>
      <c r="H11291" s="90"/>
    </row>
    <row r="11292" spans="7:8">
      <c r="G11292" s="87"/>
      <c r="H11292" s="90"/>
    </row>
    <row r="11293" spans="7:8">
      <c r="G11293" s="87"/>
      <c r="H11293" s="90"/>
    </row>
    <row r="11294" spans="7:8">
      <c r="G11294" s="87"/>
      <c r="H11294" s="90"/>
    </row>
    <row r="11295" spans="7:8">
      <c r="G11295" s="87"/>
      <c r="H11295" s="90"/>
    </row>
    <row r="11296" spans="7:8">
      <c r="G11296" s="87"/>
      <c r="H11296" s="90"/>
    </row>
    <row r="11297" spans="7:8">
      <c r="G11297" s="87"/>
      <c r="H11297" s="90"/>
    </row>
    <row r="11298" spans="7:8">
      <c r="G11298" s="87"/>
      <c r="H11298" s="90"/>
    </row>
    <row r="11299" spans="7:8">
      <c r="G11299" s="87"/>
      <c r="H11299" s="90"/>
    </row>
    <row r="11300" spans="7:8">
      <c r="G11300" s="87"/>
      <c r="H11300" s="90"/>
    </row>
    <row r="11301" spans="7:8">
      <c r="G11301" s="87"/>
      <c r="H11301" s="90"/>
    </row>
    <row r="11302" spans="7:8">
      <c r="G11302" s="87"/>
      <c r="H11302" s="90"/>
    </row>
    <row r="11303" spans="7:8">
      <c r="G11303" s="87"/>
      <c r="H11303" s="90"/>
    </row>
    <row r="11304" spans="7:8">
      <c r="G11304" s="87"/>
      <c r="H11304" s="90"/>
    </row>
    <row r="11305" spans="7:8">
      <c r="G11305" s="87"/>
      <c r="H11305" s="90"/>
    </row>
    <row r="11306" spans="7:8">
      <c r="G11306" s="87"/>
      <c r="H11306" s="90"/>
    </row>
    <row r="11307" spans="7:8">
      <c r="G11307" s="87"/>
      <c r="H11307" s="90"/>
    </row>
    <row r="11308" spans="7:8">
      <c r="G11308" s="87"/>
      <c r="H11308" s="90"/>
    </row>
    <row r="11309" spans="7:8">
      <c r="G11309" s="87"/>
      <c r="H11309" s="90"/>
    </row>
    <row r="11310" spans="7:8">
      <c r="G11310" s="87"/>
      <c r="H11310" s="90"/>
    </row>
    <row r="11311" spans="7:8">
      <c r="G11311" s="87"/>
      <c r="H11311" s="90"/>
    </row>
    <row r="11312" spans="7:8">
      <c r="G11312" s="87"/>
      <c r="H11312" s="90"/>
    </row>
    <row r="11313" spans="7:8">
      <c r="G11313" s="87"/>
      <c r="H11313" s="90"/>
    </row>
    <row r="11314" spans="7:8">
      <c r="G11314" s="87"/>
      <c r="H11314" s="90"/>
    </row>
    <row r="11315" spans="7:8">
      <c r="G11315" s="87"/>
      <c r="H11315" s="90"/>
    </row>
    <row r="11316" spans="7:8">
      <c r="G11316" s="87"/>
      <c r="H11316" s="90"/>
    </row>
    <row r="11317" spans="7:8">
      <c r="G11317" s="87"/>
      <c r="H11317" s="90"/>
    </row>
    <row r="11318" spans="7:8">
      <c r="G11318" s="87"/>
      <c r="H11318" s="90"/>
    </row>
    <row r="11319" spans="7:8">
      <c r="G11319" s="87"/>
      <c r="H11319" s="90"/>
    </row>
    <row r="11320" spans="7:8">
      <c r="G11320" s="87"/>
      <c r="H11320" s="90"/>
    </row>
    <row r="11321" spans="7:8">
      <c r="G11321" s="87"/>
      <c r="H11321" s="90"/>
    </row>
    <row r="11322" spans="7:8">
      <c r="G11322" s="87"/>
      <c r="H11322" s="90"/>
    </row>
    <row r="11323" spans="7:8">
      <c r="G11323" s="87"/>
      <c r="H11323" s="90"/>
    </row>
    <row r="11324" spans="7:8">
      <c r="G11324" s="87"/>
      <c r="H11324" s="90"/>
    </row>
    <row r="11325" spans="7:8">
      <c r="G11325" s="87"/>
      <c r="H11325" s="90"/>
    </row>
    <row r="11326" spans="7:8">
      <c r="G11326" s="87"/>
      <c r="H11326" s="90"/>
    </row>
    <row r="11327" spans="7:8">
      <c r="G11327" s="87"/>
      <c r="H11327" s="90"/>
    </row>
    <row r="11328" spans="7:8">
      <c r="G11328" s="87"/>
      <c r="H11328" s="90"/>
    </row>
    <row r="11329" spans="7:8">
      <c r="G11329" s="87"/>
      <c r="H11329" s="90"/>
    </row>
    <row r="11330" spans="7:8">
      <c r="G11330" s="87"/>
      <c r="H11330" s="90"/>
    </row>
    <row r="11331" spans="7:8">
      <c r="G11331" s="87"/>
      <c r="H11331" s="90"/>
    </row>
    <row r="11332" spans="7:8">
      <c r="G11332" s="87"/>
      <c r="H11332" s="90"/>
    </row>
    <row r="11333" spans="7:8">
      <c r="G11333" s="87"/>
      <c r="H11333" s="90"/>
    </row>
    <row r="11334" spans="7:8">
      <c r="G11334" s="87"/>
      <c r="H11334" s="90"/>
    </row>
    <row r="11335" spans="7:8">
      <c r="G11335" s="87"/>
      <c r="H11335" s="90"/>
    </row>
    <row r="11336" spans="7:8">
      <c r="G11336" s="87"/>
      <c r="H11336" s="90"/>
    </row>
    <row r="11337" spans="7:8">
      <c r="G11337" s="87"/>
      <c r="H11337" s="90"/>
    </row>
    <row r="11338" spans="7:8">
      <c r="G11338" s="87"/>
      <c r="H11338" s="90"/>
    </row>
    <row r="11339" spans="7:8">
      <c r="G11339" s="87"/>
      <c r="H11339" s="90"/>
    </row>
    <row r="11340" spans="7:8">
      <c r="G11340" s="87"/>
      <c r="H11340" s="90"/>
    </row>
    <row r="11341" spans="7:8">
      <c r="G11341" s="87"/>
      <c r="H11341" s="90"/>
    </row>
    <row r="11342" spans="7:8">
      <c r="G11342" s="87"/>
      <c r="H11342" s="90"/>
    </row>
    <row r="11343" spans="7:8">
      <c r="G11343" s="87"/>
      <c r="H11343" s="90"/>
    </row>
    <row r="11344" spans="7:8">
      <c r="G11344" s="87"/>
      <c r="H11344" s="90"/>
    </row>
    <row r="11345" spans="7:8">
      <c r="G11345" s="87"/>
      <c r="H11345" s="90"/>
    </row>
    <row r="11346" spans="7:8">
      <c r="G11346" s="87"/>
      <c r="H11346" s="90"/>
    </row>
    <row r="11347" spans="7:8">
      <c r="G11347" s="87"/>
      <c r="H11347" s="90"/>
    </row>
    <row r="11348" spans="7:8">
      <c r="G11348" s="87"/>
      <c r="H11348" s="90"/>
    </row>
    <row r="11349" spans="7:8">
      <c r="G11349" s="87"/>
      <c r="H11349" s="90"/>
    </row>
    <row r="11350" spans="7:8">
      <c r="G11350" s="87"/>
      <c r="H11350" s="90"/>
    </row>
    <row r="11351" spans="7:8">
      <c r="G11351" s="87"/>
      <c r="H11351" s="90"/>
    </row>
    <row r="11352" spans="7:8">
      <c r="G11352" s="87"/>
      <c r="H11352" s="90"/>
    </row>
    <row r="11353" spans="7:8">
      <c r="G11353" s="87"/>
      <c r="H11353" s="90"/>
    </row>
    <row r="11354" spans="7:8">
      <c r="G11354" s="87"/>
      <c r="H11354" s="90"/>
    </row>
    <row r="11355" spans="7:8">
      <c r="G11355" s="87"/>
      <c r="H11355" s="90"/>
    </row>
    <row r="11356" spans="7:8">
      <c r="G11356" s="87"/>
      <c r="H11356" s="90"/>
    </row>
    <row r="11357" spans="7:8">
      <c r="G11357" s="87"/>
      <c r="H11357" s="90"/>
    </row>
    <row r="11358" spans="7:8">
      <c r="G11358" s="87"/>
      <c r="H11358" s="90"/>
    </row>
    <row r="11359" spans="7:8">
      <c r="G11359" s="87"/>
      <c r="H11359" s="90"/>
    </row>
    <row r="11360" spans="7:8">
      <c r="G11360" s="87"/>
      <c r="H11360" s="90"/>
    </row>
    <row r="11361" spans="7:8">
      <c r="G11361" s="87"/>
      <c r="H11361" s="90"/>
    </row>
    <row r="11362" spans="7:8">
      <c r="G11362" s="87"/>
      <c r="H11362" s="90"/>
    </row>
    <row r="11363" spans="7:8">
      <c r="G11363" s="87"/>
      <c r="H11363" s="90"/>
    </row>
    <row r="11364" spans="7:8">
      <c r="G11364" s="87"/>
      <c r="H11364" s="90"/>
    </row>
    <row r="11365" spans="7:8">
      <c r="G11365" s="87"/>
      <c r="H11365" s="90"/>
    </row>
    <row r="11366" spans="7:8">
      <c r="G11366" s="87"/>
      <c r="H11366" s="90"/>
    </row>
    <row r="11367" spans="7:8">
      <c r="G11367" s="87"/>
      <c r="H11367" s="90"/>
    </row>
    <row r="11368" spans="7:8">
      <c r="G11368" s="87"/>
      <c r="H11368" s="90"/>
    </row>
    <row r="11369" spans="7:8">
      <c r="G11369" s="87"/>
      <c r="H11369" s="90"/>
    </row>
    <row r="11370" spans="7:8">
      <c r="G11370" s="87"/>
      <c r="H11370" s="90"/>
    </row>
    <row r="11371" spans="7:8">
      <c r="G11371" s="87"/>
      <c r="H11371" s="90"/>
    </row>
    <row r="11372" spans="7:8">
      <c r="G11372" s="87"/>
      <c r="H11372" s="90"/>
    </row>
    <row r="11373" spans="7:8">
      <c r="G11373" s="87"/>
      <c r="H11373" s="90"/>
    </row>
    <row r="11374" spans="7:8">
      <c r="G11374" s="87"/>
      <c r="H11374" s="90"/>
    </row>
    <row r="11375" spans="7:8">
      <c r="G11375" s="87"/>
      <c r="H11375" s="90"/>
    </row>
    <row r="11376" spans="7:8">
      <c r="G11376" s="87"/>
      <c r="H11376" s="90"/>
    </row>
    <row r="11377" spans="7:8">
      <c r="G11377" s="87"/>
      <c r="H11377" s="90"/>
    </row>
    <row r="11378" spans="7:8">
      <c r="G11378" s="87"/>
      <c r="H11378" s="90"/>
    </row>
    <row r="11379" spans="7:8">
      <c r="G11379" s="87"/>
      <c r="H11379" s="90"/>
    </row>
    <row r="11380" spans="7:8">
      <c r="G11380" s="87"/>
      <c r="H11380" s="90"/>
    </row>
    <row r="11381" spans="7:8">
      <c r="G11381" s="87"/>
      <c r="H11381" s="90"/>
    </row>
    <row r="11382" spans="7:8">
      <c r="G11382" s="87"/>
      <c r="H11382" s="90"/>
    </row>
    <row r="11383" spans="7:8">
      <c r="G11383" s="87"/>
      <c r="H11383" s="90"/>
    </row>
    <row r="11384" spans="7:8">
      <c r="G11384" s="87"/>
      <c r="H11384" s="90"/>
    </row>
    <row r="11385" spans="7:8">
      <c r="G11385" s="87"/>
      <c r="H11385" s="90"/>
    </row>
    <row r="11386" spans="7:8">
      <c r="G11386" s="87"/>
      <c r="H11386" s="90"/>
    </row>
    <row r="11387" spans="7:8">
      <c r="G11387" s="87"/>
      <c r="H11387" s="90"/>
    </row>
    <row r="11388" spans="7:8">
      <c r="G11388" s="87"/>
      <c r="H11388" s="90"/>
    </row>
    <row r="11389" spans="7:8">
      <c r="G11389" s="87"/>
      <c r="H11389" s="90"/>
    </row>
    <row r="11390" spans="7:8">
      <c r="G11390" s="87"/>
      <c r="H11390" s="90"/>
    </row>
    <row r="11391" spans="7:8">
      <c r="G11391" s="87"/>
      <c r="H11391" s="90"/>
    </row>
    <row r="11392" spans="7:8">
      <c r="G11392" s="87"/>
      <c r="H11392" s="90"/>
    </row>
    <row r="11393" spans="7:8">
      <c r="G11393" s="87"/>
      <c r="H11393" s="90"/>
    </row>
    <row r="11394" spans="7:8">
      <c r="G11394" s="87"/>
      <c r="H11394" s="90"/>
    </row>
    <row r="11395" spans="7:8">
      <c r="G11395" s="87"/>
      <c r="H11395" s="90"/>
    </row>
    <row r="11396" spans="7:8">
      <c r="G11396" s="87"/>
      <c r="H11396" s="90"/>
    </row>
    <row r="11397" spans="7:8">
      <c r="G11397" s="87"/>
      <c r="H11397" s="90"/>
    </row>
    <row r="11398" spans="7:8">
      <c r="G11398" s="87"/>
      <c r="H11398" s="90"/>
    </row>
    <row r="11399" spans="7:8">
      <c r="G11399" s="87"/>
      <c r="H11399" s="90"/>
    </row>
    <row r="11400" spans="7:8">
      <c r="G11400" s="87"/>
      <c r="H11400" s="90"/>
    </row>
    <row r="11401" spans="7:8">
      <c r="G11401" s="87"/>
      <c r="H11401" s="90"/>
    </row>
    <row r="11402" spans="7:8">
      <c r="G11402" s="87"/>
      <c r="H11402" s="90"/>
    </row>
    <row r="11403" spans="7:8">
      <c r="G11403" s="87"/>
      <c r="H11403" s="90"/>
    </row>
    <row r="11404" spans="7:8">
      <c r="G11404" s="87"/>
      <c r="H11404" s="90"/>
    </row>
    <row r="11405" spans="7:8">
      <c r="G11405" s="87"/>
      <c r="H11405" s="90"/>
    </row>
    <row r="11406" spans="7:8">
      <c r="G11406" s="87"/>
      <c r="H11406" s="90"/>
    </row>
    <row r="11407" spans="7:8">
      <c r="G11407" s="87"/>
      <c r="H11407" s="90"/>
    </row>
    <row r="11408" spans="7:8">
      <c r="G11408" s="87"/>
      <c r="H11408" s="90"/>
    </row>
    <row r="11409" spans="7:8">
      <c r="G11409" s="87"/>
      <c r="H11409" s="90"/>
    </row>
    <row r="11410" spans="7:8">
      <c r="G11410" s="87"/>
      <c r="H11410" s="90"/>
    </row>
    <row r="11411" spans="7:8">
      <c r="G11411" s="87"/>
      <c r="H11411" s="90"/>
    </row>
    <row r="11412" spans="7:8">
      <c r="G11412" s="87"/>
      <c r="H11412" s="90"/>
    </row>
    <row r="11413" spans="7:8">
      <c r="G11413" s="87"/>
      <c r="H11413" s="90"/>
    </row>
    <row r="11414" spans="7:8">
      <c r="G11414" s="87"/>
      <c r="H11414" s="90"/>
    </row>
    <row r="11415" spans="7:8">
      <c r="G11415" s="87"/>
      <c r="H11415" s="90"/>
    </row>
    <row r="11416" spans="7:8">
      <c r="G11416" s="87"/>
      <c r="H11416" s="90"/>
    </row>
    <row r="11417" spans="7:8">
      <c r="G11417" s="87"/>
      <c r="H11417" s="90"/>
    </row>
    <row r="11418" spans="7:8">
      <c r="G11418" s="87"/>
      <c r="H11418" s="90"/>
    </row>
    <row r="11419" spans="7:8">
      <c r="G11419" s="87"/>
      <c r="H11419" s="90"/>
    </row>
    <row r="11420" spans="7:8">
      <c r="G11420" s="87"/>
      <c r="H11420" s="90"/>
    </row>
    <row r="11421" spans="7:8">
      <c r="G11421" s="87"/>
      <c r="H11421" s="90"/>
    </row>
    <row r="11422" spans="7:8">
      <c r="G11422" s="87"/>
      <c r="H11422" s="90"/>
    </row>
    <row r="11423" spans="7:8">
      <c r="G11423" s="87"/>
      <c r="H11423" s="90"/>
    </row>
    <row r="11424" spans="7:8">
      <c r="G11424" s="87"/>
      <c r="H11424" s="90"/>
    </row>
    <row r="11425" spans="7:8">
      <c r="G11425" s="87"/>
      <c r="H11425" s="90"/>
    </row>
    <row r="11426" spans="7:8">
      <c r="G11426" s="87"/>
      <c r="H11426" s="90"/>
    </row>
    <row r="11427" spans="7:8">
      <c r="G11427" s="87"/>
      <c r="H11427" s="90"/>
    </row>
    <row r="11428" spans="7:8">
      <c r="G11428" s="87"/>
      <c r="H11428" s="90"/>
    </row>
    <row r="11429" spans="7:8">
      <c r="G11429" s="87"/>
      <c r="H11429" s="90"/>
    </row>
    <row r="11430" spans="7:8">
      <c r="G11430" s="87"/>
      <c r="H11430" s="90"/>
    </row>
    <row r="11431" spans="7:8">
      <c r="G11431" s="87"/>
      <c r="H11431" s="90"/>
    </row>
    <row r="11432" spans="7:8">
      <c r="G11432" s="87"/>
      <c r="H11432" s="90"/>
    </row>
    <row r="11433" spans="7:8">
      <c r="G11433" s="87"/>
      <c r="H11433" s="90"/>
    </row>
    <row r="11434" spans="7:8">
      <c r="G11434" s="87"/>
      <c r="H11434" s="90"/>
    </row>
    <row r="11435" spans="7:8">
      <c r="G11435" s="87"/>
      <c r="H11435" s="90"/>
    </row>
    <row r="11436" spans="7:8">
      <c r="G11436" s="87"/>
      <c r="H11436" s="90"/>
    </row>
    <row r="11437" spans="7:8">
      <c r="G11437" s="87"/>
      <c r="H11437" s="90"/>
    </row>
    <row r="11438" spans="7:8">
      <c r="G11438" s="87"/>
      <c r="H11438" s="90"/>
    </row>
    <row r="11439" spans="7:8">
      <c r="G11439" s="87"/>
      <c r="H11439" s="90"/>
    </row>
    <row r="11440" spans="7:8">
      <c r="G11440" s="87"/>
      <c r="H11440" s="90"/>
    </row>
    <row r="11441" spans="7:8">
      <c r="G11441" s="87"/>
      <c r="H11441" s="90"/>
    </row>
    <row r="11442" spans="7:8">
      <c r="G11442" s="87"/>
      <c r="H11442" s="90"/>
    </row>
    <row r="11443" spans="7:8">
      <c r="G11443" s="87"/>
      <c r="H11443" s="90"/>
    </row>
    <row r="11444" spans="7:8">
      <c r="G11444" s="87"/>
      <c r="H11444" s="90"/>
    </row>
    <row r="11445" spans="7:8">
      <c r="G11445" s="87"/>
      <c r="H11445" s="90"/>
    </row>
    <row r="11446" spans="7:8">
      <c r="G11446" s="87"/>
      <c r="H11446" s="90"/>
    </row>
    <row r="11447" spans="7:8">
      <c r="G11447" s="87"/>
      <c r="H11447" s="90"/>
    </row>
    <row r="11448" spans="7:8">
      <c r="G11448" s="87"/>
      <c r="H11448" s="90"/>
    </row>
    <row r="11449" spans="7:8">
      <c r="G11449" s="87"/>
      <c r="H11449" s="90"/>
    </row>
    <row r="11450" spans="7:8">
      <c r="G11450" s="87"/>
      <c r="H11450" s="90"/>
    </row>
    <row r="11451" spans="7:8">
      <c r="G11451" s="87"/>
      <c r="H11451" s="90"/>
    </row>
    <row r="11452" spans="7:8">
      <c r="G11452" s="87"/>
      <c r="H11452" s="90"/>
    </row>
    <row r="11453" spans="7:8">
      <c r="G11453" s="87"/>
      <c r="H11453" s="90"/>
    </row>
    <row r="11454" spans="7:8">
      <c r="G11454" s="87"/>
      <c r="H11454" s="90"/>
    </row>
    <row r="11455" spans="7:8">
      <c r="G11455" s="87"/>
      <c r="H11455" s="90"/>
    </row>
    <row r="11456" spans="7:8">
      <c r="G11456" s="87"/>
      <c r="H11456" s="90"/>
    </row>
    <row r="11457" spans="7:8">
      <c r="G11457" s="87"/>
      <c r="H11457" s="90"/>
    </row>
    <row r="11458" spans="7:8">
      <c r="G11458" s="87"/>
      <c r="H11458" s="90"/>
    </row>
    <row r="11459" spans="7:8">
      <c r="G11459" s="87"/>
      <c r="H11459" s="90"/>
    </row>
    <row r="11460" spans="7:8">
      <c r="G11460" s="87"/>
      <c r="H11460" s="90"/>
    </row>
    <row r="11461" spans="7:8">
      <c r="G11461" s="87"/>
      <c r="H11461" s="90"/>
    </row>
    <row r="11462" spans="7:8">
      <c r="G11462" s="87"/>
      <c r="H11462" s="90"/>
    </row>
    <row r="11463" spans="7:8">
      <c r="G11463" s="87"/>
      <c r="H11463" s="90"/>
    </row>
    <row r="11464" spans="7:8">
      <c r="G11464" s="87"/>
      <c r="H11464" s="90"/>
    </row>
    <row r="11465" spans="7:8">
      <c r="G11465" s="87"/>
      <c r="H11465" s="90"/>
    </row>
    <row r="11466" spans="7:8">
      <c r="G11466" s="87"/>
      <c r="H11466" s="90"/>
    </row>
    <row r="11467" spans="7:8">
      <c r="G11467" s="87"/>
      <c r="H11467" s="90"/>
    </row>
    <row r="11468" spans="7:8">
      <c r="G11468" s="87"/>
      <c r="H11468" s="90"/>
    </row>
    <row r="11469" spans="7:8">
      <c r="G11469" s="87"/>
      <c r="H11469" s="90"/>
    </row>
    <row r="11470" spans="7:8">
      <c r="G11470" s="87"/>
      <c r="H11470" s="90"/>
    </row>
    <row r="11471" spans="7:8">
      <c r="G11471" s="87"/>
      <c r="H11471" s="90"/>
    </row>
    <row r="11472" spans="7:8">
      <c r="G11472" s="87"/>
      <c r="H11472" s="90"/>
    </row>
    <row r="11473" spans="7:8">
      <c r="G11473" s="87"/>
      <c r="H11473" s="90"/>
    </row>
    <row r="11474" spans="7:8">
      <c r="G11474" s="87"/>
      <c r="H11474" s="90"/>
    </row>
    <row r="11475" spans="7:8">
      <c r="G11475" s="87"/>
      <c r="H11475" s="90"/>
    </row>
    <row r="11476" spans="7:8">
      <c r="G11476" s="87"/>
      <c r="H11476" s="90"/>
    </row>
    <row r="11477" spans="7:8">
      <c r="G11477" s="87"/>
      <c r="H11477" s="90"/>
    </row>
    <row r="11478" spans="7:8">
      <c r="G11478" s="87"/>
      <c r="H11478" s="90"/>
    </row>
    <row r="11479" spans="7:8">
      <c r="G11479" s="87"/>
      <c r="H11479" s="90"/>
    </row>
    <row r="11480" spans="7:8">
      <c r="G11480" s="87"/>
      <c r="H11480" s="90"/>
    </row>
    <row r="11481" spans="7:8">
      <c r="G11481" s="87"/>
      <c r="H11481" s="90"/>
    </row>
    <row r="11482" spans="7:8">
      <c r="G11482" s="87"/>
      <c r="H11482" s="90"/>
    </row>
    <row r="11483" spans="7:8">
      <c r="G11483" s="87"/>
      <c r="H11483" s="90"/>
    </row>
    <row r="11484" spans="7:8">
      <c r="G11484" s="87"/>
      <c r="H11484" s="90"/>
    </row>
    <row r="11485" spans="7:8">
      <c r="G11485" s="87"/>
      <c r="H11485" s="90"/>
    </row>
    <row r="11486" spans="7:8">
      <c r="G11486" s="87"/>
      <c r="H11486" s="90"/>
    </row>
    <row r="11487" spans="7:8">
      <c r="G11487" s="87"/>
      <c r="H11487" s="90"/>
    </row>
    <row r="11488" spans="7:8">
      <c r="G11488" s="87"/>
      <c r="H11488" s="90"/>
    </row>
    <row r="11489" spans="7:8">
      <c r="G11489" s="87"/>
      <c r="H11489" s="90"/>
    </row>
    <row r="11490" spans="7:8">
      <c r="G11490" s="87"/>
      <c r="H11490" s="90"/>
    </row>
    <row r="11491" spans="7:8">
      <c r="G11491" s="87"/>
      <c r="H11491" s="90"/>
    </row>
    <row r="11492" spans="7:8">
      <c r="G11492" s="87"/>
      <c r="H11492" s="90"/>
    </row>
    <row r="11493" spans="7:8">
      <c r="G11493" s="87"/>
      <c r="H11493" s="90"/>
    </row>
    <row r="11494" spans="7:8">
      <c r="G11494" s="87"/>
      <c r="H11494" s="90"/>
    </row>
    <row r="11495" spans="7:8">
      <c r="G11495" s="87"/>
      <c r="H11495" s="90"/>
    </row>
    <row r="11496" spans="7:8">
      <c r="G11496" s="87"/>
      <c r="H11496" s="90"/>
    </row>
    <row r="11497" spans="7:8">
      <c r="G11497" s="87"/>
      <c r="H11497" s="90"/>
    </row>
    <row r="11498" spans="7:8">
      <c r="G11498" s="87"/>
      <c r="H11498" s="90"/>
    </row>
    <row r="11499" spans="7:8">
      <c r="G11499" s="87"/>
      <c r="H11499" s="90"/>
    </row>
    <row r="11500" spans="7:8">
      <c r="G11500" s="87"/>
      <c r="H11500" s="90"/>
    </row>
    <row r="11501" spans="7:8">
      <c r="G11501" s="87"/>
      <c r="H11501" s="90"/>
    </row>
    <row r="11502" spans="7:8">
      <c r="G11502" s="87"/>
      <c r="H11502" s="90"/>
    </row>
    <row r="11503" spans="7:8">
      <c r="G11503" s="87"/>
      <c r="H11503" s="90"/>
    </row>
    <row r="11504" spans="7:8">
      <c r="G11504" s="87"/>
      <c r="H11504" s="90"/>
    </row>
    <row r="11505" spans="7:8">
      <c r="G11505" s="87"/>
      <c r="H11505" s="90"/>
    </row>
    <row r="11506" spans="7:8">
      <c r="G11506" s="87"/>
      <c r="H11506" s="90"/>
    </row>
    <row r="11507" spans="7:8">
      <c r="G11507" s="87"/>
      <c r="H11507" s="90"/>
    </row>
    <row r="11508" spans="7:8">
      <c r="G11508" s="87"/>
      <c r="H11508" s="90"/>
    </row>
    <row r="11509" spans="7:8">
      <c r="G11509" s="87"/>
      <c r="H11509" s="90"/>
    </row>
    <row r="11510" spans="7:8">
      <c r="G11510" s="87"/>
      <c r="H11510" s="90"/>
    </row>
    <row r="11511" spans="7:8">
      <c r="G11511" s="87"/>
      <c r="H11511" s="90"/>
    </row>
    <row r="11512" spans="7:8">
      <c r="G11512" s="87"/>
      <c r="H11512" s="90"/>
    </row>
    <row r="11513" spans="7:8">
      <c r="G11513" s="87"/>
      <c r="H11513" s="90"/>
    </row>
    <row r="11514" spans="7:8">
      <c r="G11514" s="87"/>
      <c r="H11514" s="90"/>
    </row>
    <row r="11515" spans="7:8">
      <c r="G11515" s="87"/>
      <c r="H11515" s="90"/>
    </row>
    <row r="11516" spans="7:8">
      <c r="G11516" s="87"/>
      <c r="H11516" s="90"/>
    </row>
    <row r="11517" spans="7:8">
      <c r="G11517" s="87"/>
      <c r="H11517" s="90"/>
    </row>
    <row r="11518" spans="7:8">
      <c r="G11518" s="87"/>
      <c r="H11518" s="90"/>
    </row>
    <row r="11519" spans="7:8">
      <c r="G11519" s="87"/>
      <c r="H11519" s="90"/>
    </row>
    <row r="11520" spans="7:8">
      <c r="G11520" s="87"/>
      <c r="H11520" s="90"/>
    </row>
    <row r="11521" spans="7:8">
      <c r="G11521" s="87"/>
      <c r="H11521" s="90"/>
    </row>
    <row r="11522" spans="7:8">
      <c r="G11522" s="87"/>
      <c r="H11522" s="90"/>
    </row>
    <row r="11523" spans="7:8">
      <c r="G11523" s="87"/>
      <c r="H11523" s="90"/>
    </row>
    <row r="11524" spans="7:8">
      <c r="G11524" s="87"/>
      <c r="H11524" s="90"/>
    </row>
    <row r="11525" spans="7:8">
      <c r="G11525" s="87"/>
      <c r="H11525" s="90"/>
    </row>
    <row r="11526" spans="7:8">
      <c r="G11526" s="87"/>
      <c r="H11526" s="90"/>
    </row>
    <row r="11527" spans="7:8">
      <c r="G11527" s="87"/>
      <c r="H11527" s="90"/>
    </row>
    <row r="11528" spans="7:8">
      <c r="G11528" s="87"/>
      <c r="H11528" s="90"/>
    </row>
    <row r="11529" spans="7:8">
      <c r="G11529" s="87"/>
      <c r="H11529" s="90"/>
    </row>
    <row r="11530" spans="7:8">
      <c r="G11530" s="87"/>
      <c r="H11530" s="90"/>
    </row>
    <row r="11531" spans="7:8">
      <c r="G11531" s="87"/>
      <c r="H11531" s="90"/>
    </row>
    <row r="11532" spans="7:8">
      <c r="G11532" s="87"/>
      <c r="H11532" s="90"/>
    </row>
    <row r="11533" spans="7:8">
      <c r="G11533" s="87"/>
      <c r="H11533" s="90"/>
    </row>
    <row r="11534" spans="7:8">
      <c r="G11534" s="87"/>
      <c r="H11534" s="90"/>
    </row>
    <row r="11535" spans="7:8">
      <c r="G11535" s="87"/>
      <c r="H11535" s="90"/>
    </row>
    <row r="11536" spans="7:8">
      <c r="G11536" s="87"/>
      <c r="H11536" s="90"/>
    </row>
    <row r="11537" spans="7:8">
      <c r="G11537" s="87"/>
      <c r="H11537" s="90"/>
    </row>
    <row r="11538" spans="7:8">
      <c r="G11538" s="87"/>
      <c r="H11538" s="90"/>
    </row>
    <row r="11539" spans="7:8">
      <c r="G11539" s="87"/>
      <c r="H11539" s="90"/>
    </row>
    <row r="11540" spans="7:8">
      <c r="G11540" s="87"/>
      <c r="H11540" s="90"/>
    </row>
    <row r="11541" spans="7:8">
      <c r="G11541" s="87"/>
      <c r="H11541" s="90"/>
    </row>
    <row r="11542" spans="7:8">
      <c r="G11542" s="87"/>
      <c r="H11542" s="90"/>
    </row>
    <row r="11543" spans="7:8">
      <c r="G11543" s="87"/>
      <c r="H11543" s="90"/>
    </row>
    <row r="11544" spans="7:8">
      <c r="G11544" s="87"/>
      <c r="H11544" s="90"/>
    </row>
    <row r="11545" spans="7:8">
      <c r="G11545" s="87"/>
      <c r="H11545" s="90"/>
    </row>
    <row r="11546" spans="7:8">
      <c r="G11546" s="87"/>
      <c r="H11546" s="90"/>
    </row>
    <row r="11547" spans="7:8">
      <c r="G11547" s="87"/>
      <c r="H11547" s="90"/>
    </row>
    <row r="11548" spans="7:8">
      <c r="G11548" s="87"/>
      <c r="H11548" s="90"/>
    </row>
    <row r="11549" spans="7:8">
      <c r="G11549" s="87"/>
      <c r="H11549" s="90"/>
    </row>
    <row r="11550" spans="7:8">
      <c r="G11550" s="87"/>
      <c r="H11550" s="90"/>
    </row>
    <row r="11551" spans="7:8">
      <c r="G11551" s="87"/>
      <c r="H11551" s="90"/>
    </row>
    <row r="11552" spans="7:8">
      <c r="G11552" s="87"/>
      <c r="H11552" s="90"/>
    </row>
    <row r="11553" spans="7:8">
      <c r="G11553" s="87"/>
      <c r="H11553" s="90"/>
    </row>
    <row r="11554" spans="7:8">
      <c r="G11554" s="87"/>
      <c r="H11554" s="90"/>
    </row>
    <row r="11555" spans="7:8">
      <c r="G11555" s="87"/>
      <c r="H11555" s="90"/>
    </row>
    <row r="11556" spans="7:8">
      <c r="G11556" s="87"/>
      <c r="H11556" s="90"/>
    </row>
    <row r="11557" spans="7:8">
      <c r="G11557" s="87"/>
      <c r="H11557" s="90"/>
    </row>
    <row r="11558" spans="7:8">
      <c r="G11558" s="87"/>
      <c r="H11558" s="90"/>
    </row>
    <row r="11559" spans="7:8">
      <c r="G11559" s="87"/>
      <c r="H11559" s="90"/>
    </row>
    <row r="11560" spans="7:8">
      <c r="G11560" s="87"/>
      <c r="H11560" s="90"/>
    </row>
    <row r="11561" spans="7:8">
      <c r="G11561" s="87"/>
      <c r="H11561" s="90"/>
    </row>
    <row r="11562" spans="7:8">
      <c r="G11562" s="87"/>
      <c r="H11562" s="90"/>
    </row>
    <row r="11563" spans="7:8">
      <c r="G11563" s="87"/>
      <c r="H11563" s="90"/>
    </row>
    <row r="11564" spans="7:8">
      <c r="G11564" s="87"/>
      <c r="H11564" s="90"/>
    </row>
    <row r="11565" spans="7:8">
      <c r="G11565" s="87"/>
      <c r="H11565" s="90"/>
    </row>
    <row r="11566" spans="7:8">
      <c r="G11566" s="87"/>
      <c r="H11566" s="90"/>
    </row>
    <row r="11567" spans="7:8">
      <c r="G11567" s="87"/>
      <c r="H11567" s="90"/>
    </row>
    <row r="11568" spans="7:8">
      <c r="G11568" s="87"/>
      <c r="H11568" s="90"/>
    </row>
    <row r="11569" spans="7:8">
      <c r="G11569" s="87"/>
      <c r="H11569" s="90"/>
    </row>
    <row r="11570" spans="7:8">
      <c r="G11570" s="87"/>
      <c r="H11570" s="90"/>
    </row>
    <row r="11571" spans="7:8">
      <c r="G11571" s="87"/>
      <c r="H11571" s="90"/>
    </row>
    <row r="11572" spans="7:8">
      <c r="G11572" s="87"/>
      <c r="H11572" s="90"/>
    </row>
    <row r="11573" spans="7:8">
      <c r="G11573" s="87"/>
      <c r="H11573" s="90"/>
    </row>
    <row r="11574" spans="7:8">
      <c r="G11574" s="87"/>
      <c r="H11574" s="90"/>
    </row>
    <row r="11575" spans="7:8">
      <c r="G11575" s="87"/>
      <c r="H11575" s="90"/>
    </row>
    <row r="11576" spans="7:8">
      <c r="G11576" s="87"/>
      <c r="H11576" s="90"/>
    </row>
    <row r="11577" spans="7:8">
      <c r="G11577" s="87"/>
      <c r="H11577" s="90"/>
    </row>
    <row r="11578" spans="7:8">
      <c r="G11578" s="87"/>
      <c r="H11578" s="90"/>
    </row>
    <row r="11579" spans="7:8">
      <c r="G11579" s="87"/>
      <c r="H11579" s="90"/>
    </row>
    <row r="11580" spans="7:8">
      <c r="G11580" s="87"/>
      <c r="H11580" s="90"/>
    </row>
    <row r="11581" spans="7:8">
      <c r="G11581" s="87"/>
      <c r="H11581" s="90"/>
    </row>
    <row r="11582" spans="7:8">
      <c r="G11582" s="87"/>
      <c r="H11582" s="90"/>
    </row>
    <row r="11583" spans="7:8">
      <c r="G11583" s="87"/>
      <c r="H11583" s="90"/>
    </row>
    <row r="11584" spans="7:8">
      <c r="G11584" s="87"/>
      <c r="H11584" s="90"/>
    </row>
    <row r="11585" spans="7:8">
      <c r="G11585" s="87"/>
      <c r="H11585" s="90"/>
    </row>
    <row r="11586" spans="7:8">
      <c r="G11586" s="87"/>
      <c r="H11586" s="90"/>
    </row>
    <row r="11587" spans="7:8">
      <c r="G11587" s="87"/>
      <c r="H11587" s="90"/>
    </row>
    <row r="11588" spans="7:8">
      <c r="G11588" s="87"/>
      <c r="H11588" s="90"/>
    </row>
    <row r="11589" spans="7:8">
      <c r="G11589" s="87"/>
      <c r="H11589" s="90"/>
    </row>
    <row r="11590" spans="7:8">
      <c r="G11590" s="87"/>
      <c r="H11590" s="90"/>
    </row>
    <row r="11591" spans="7:8">
      <c r="G11591" s="87"/>
      <c r="H11591" s="90"/>
    </row>
    <row r="11592" spans="7:8">
      <c r="G11592" s="87"/>
      <c r="H11592" s="90"/>
    </row>
    <row r="11593" spans="7:8">
      <c r="G11593" s="87"/>
      <c r="H11593" s="90"/>
    </row>
    <row r="11594" spans="7:8">
      <c r="G11594" s="87"/>
      <c r="H11594" s="90"/>
    </row>
    <row r="11595" spans="7:8">
      <c r="G11595" s="87"/>
      <c r="H11595" s="90"/>
    </row>
    <row r="11596" spans="7:8">
      <c r="G11596" s="87"/>
      <c r="H11596" s="90"/>
    </row>
    <row r="11597" spans="7:8">
      <c r="G11597" s="87"/>
      <c r="H11597" s="90"/>
    </row>
    <row r="11598" spans="7:8">
      <c r="G11598" s="87"/>
      <c r="H11598" s="90"/>
    </row>
    <row r="11599" spans="7:8">
      <c r="G11599" s="87"/>
      <c r="H11599" s="90"/>
    </row>
    <row r="11600" spans="7:8">
      <c r="G11600" s="87"/>
      <c r="H11600" s="90"/>
    </row>
    <row r="11601" spans="7:8">
      <c r="G11601" s="87"/>
      <c r="H11601" s="90"/>
    </row>
    <row r="11602" spans="7:8">
      <c r="G11602" s="87"/>
      <c r="H11602" s="90"/>
    </row>
    <row r="11603" spans="7:8">
      <c r="G11603" s="87"/>
      <c r="H11603" s="90"/>
    </row>
    <row r="11604" spans="7:8">
      <c r="G11604" s="87"/>
      <c r="H11604" s="90"/>
    </row>
    <row r="11605" spans="7:8">
      <c r="G11605" s="87"/>
      <c r="H11605" s="90"/>
    </row>
    <row r="11606" spans="7:8">
      <c r="G11606" s="87"/>
      <c r="H11606" s="90"/>
    </row>
    <row r="11607" spans="7:8">
      <c r="G11607" s="87"/>
      <c r="H11607" s="90"/>
    </row>
    <row r="11608" spans="7:8">
      <c r="G11608" s="87"/>
      <c r="H11608" s="90"/>
    </row>
    <row r="11609" spans="7:8">
      <c r="G11609" s="87"/>
      <c r="H11609" s="90"/>
    </row>
    <row r="11610" spans="7:8">
      <c r="G11610" s="87"/>
      <c r="H11610" s="90"/>
    </row>
    <row r="11611" spans="7:8">
      <c r="G11611" s="87"/>
      <c r="H11611" s="90"/>
    </row>
    <row r="11612" spans="7:8">
      <c r="G11612" s="87"/>
      <c r="H11612" s="90"/>
    </row>
    <row r="11613" spans="7:8">
      <c r="G11613" s="87"/>
      <c r="H11613" s="90"/>
    </row>
    <row r="11614" spans="7:8">
      <c r="G11614" s="87"/>
      <c r="H11614" s="90"/>
    </row>
    <row r="11615" spans="7:8">
      <c r="G11615" s="87"/>
      <c r="H11615" s="90"/>
    </row>
    <row r="11616" spans="7:8">
      <c r="G11616" s="87"/>
      <c r="H11616" s="90"/>
    </row>
    <row r="11617" spans="7:8">
      <c r="G11617" s="87"/>
      <c r="H11617" s="90"/>
    </row>
    <row r="11618" spans="7:8">
      <c r="G11618" s="87"/>
      <c r="H11618" s="90"/>
    </row>
    <row r="11619" spans="7:8">
      <c r="G11619" s="87"/>
      <c r="H11619" s="90"/>
    </row>
    <row r="11620" spans="7:8">
      <c r="G11620" s="87"/>
      <c r="H11620" s="90"/>
    </row>
    <row r="11621" spans="7:8">
      <c r="G11621" s="87"/>
      <c r="H11621" s="90"/>
    </row>
    <row r="11622" spans="7:8">
      <c r="G11622" s="87"/>
      <c r="H11622" s="90"/>
    </row>
    <row r="11623" spans="7:8">
      <c r="G11623" s="87"/>
      <c r="H11623" s="90"/>
    </row>
    <row r="11624" spans="7:8">
      <c r="G11624" s="87"/>
      <c r="H11624" s="90"/>
    </row>
    <row r="11625" spans="7:8">
      <c r="G11625" s="87"/>
      <c r="H11625" s="90"/>
    </row>
    <row r="11626" spans="7:8">
      <c r="G11626" s="87"/>
      <c r="H11626" s="90"/>
    </row>
    <row r="11627" spans="7:8">
      <c r="G11627" s="87"/>
      <c r="H11627" s="90"/>
    </row>
    <row r="11628" spans="7:8">
      <c r="G11628" s="87"/>
      <c r="H11628" s="90"/>
    </row>
    <row r="11629" spans="7:8">
      <c r="G11629" s="87"/>
      <c r="H11629" s="90"/>
    </row>
    <row r="11630" spans="7:8">
      <c r="G11630" s="87"/>
      <c r="H11630" s="90"/>
    </row>
    <row r="11631" spans="7:8">
      <c r="G11631" s="87"/>
      <c r="H11631" s="90"/>
    </row>
    <row r="11632" spans="7:8">
      <c r="G11632" s="87"/>
      <c r="H11632" s="90"/>
    </row>
    <row r="11633" spans="7:8">
      <c r="G11633" s="87"/>
      <c r="H11633" s="90"/>
    </row>
    <row r="11634" spans="7:8">
      <c r="G11634" s="87"/>
      <c r="H11634" s="90"/>
    </row>
    <row r="11635" spans="7:8">
      <c r="G11635" s="87"/>
      <c r="H11635" s="90"/>
    </row>
    <row r="11636" spans="7:8">
      <c r="G11636" s="87"/>
      <c r="H11636" s="90"/>
    </row>
    <row r="11637" spans="7:8">
      <c r="G11637" s="87"/>
      <c r="H11637" s="90"/>
    </row>
    <row r="11638" spans="7:8">
      <c r="G11638" s="87"/>
      <c r="H11638" s="90"/>
    </row>
    <row r="11639" spans="7:8">
      <c r="G11639" s="87"/>
      <c r="H11639" s="90"/>
    </row>
    <row r="11640" spans="7:8">
      <c r="G11640" s="87"/>
      <c r="H11640" s="90"/>
    </row>
    <row r="11641" spans="7:8">
      <c r="G11641" s="87"/>
      <c r="H11641" s="90"/>
    </row>
    <row r="11642" spans="7:8">
      <c r="G11642" s="87"/>
      <c r="H11642" s="90"/>
    </row>
    <row r="11643" spans="7:8">
      <c r="G11643" s="87"/>
      <c r="H11643" s="90"/>
    </row>
    <row r="11644" spans="7:8">
      <c r="G11644" s="87"/>
      <c r="H11644" s="90"/>
    </row>
    <row r="11645" spans="7:8">
      <c r="G11645" s="87"/>
      <c r="H11645" s="90"/>
    </row>
    <row r="11646" spans="7:8">
      <c r="G11646" s="87"/>
      <c r="H11646" s="90"/>
    </row>
    <row r="11647" spans="7:8">
      <c r="G11647" s="87"/>
      <c r="H11647" s="90"/>
    </row>
    <row r="11648" spans="7:8">
      <c r="G11648" s="87"/>
      <c r="H11648" s="90"/>
    </row>
    <row r="11649" spans="7:8">
      <c r="G11649" s="87"/>
      <c r="H11649" s="90"/>
    </row>
    <row r="11650" spans="7:8">
      <c r="G11650" s="87"/>
      <c r="H11650" s="90"/>
    </row>
    <row r="11651" spans="7:8">
      <c r="G11651" s="87"/>
      <c r="H11651" s="90"/>
    </row>
    <row r="11652" spans="7:8">
      <c r="G11652" s="87"/>
      <c r="H11652" s="90"/>
    </row>
    <row r="11653" spans="7:8">
      <c r="G11653" s="87"/>
      <c r="H11653" s="90"/>
    </row>
    <row r="11654" spans="7:8">
      <c r="G11654" s="87"/>
      <c r="H11654" s="90"/>
    </row>
    <row r="11655" spans="7:8">
      <c r="G11655" s="87"/>
      <c r="H11655" s="90"/>
    </row>
    <row r="11656" spans="7:8">
      <c r="G11656" s="87"/>
      <c r="H11656" s="90"/>
    </row>
    <row r="11657" spans="7:8">
      <c r="G11657" s="87"/>
      <c r="H11657" s="90"/>
    </row>
    <row r="11658" spans="7:8">
      <c r="G11658" s="87"/>
      <c r="H11658" s="90"/>
    </row>
    <row r="11659" spans="7:8">
      <c r="G11659" s="87"/>
      <c r="H11659" s="90"/>
    </row>
    <row r="11660" spans="7:8">
      <c r="G11660" s="87"/>
      <c r="H11660" s="90"/>
    </row>
    <row r="11661" spans="7:8">
      <c r="G11661" s="87"/>
      <c r="H11661" s="90"/>
    </row>
    <row r="11662" spans="7:8">
      <c r="G11662" s="87"/>
      <c r="H11662" s="90"/>
    </row>
    <row r="11663" spans="7:8">
      <c r="G11663" s="87"/>
      <c r="H11663" s="90"/>
    </row>
    <row r="11664" spans="7:8">
      <c r="G11664" s="87"/>
      <c r="H11664" s="90"/>
    </row>
    <row r="11665" spans="7:8">
      <c r="G11665" s="87"/>
      <c r="H11665" s="90"/>
    </row>
    <row r="11666" spans="7:8">
      <c r="G11666" s="87"/>
      <c r="H11666" s="90"/>
    </row>
    <row r="11667" spans="7:8">
      <c r="G11667" s="87"/>
      <c r="H11667" s="90"/>
    </row>
    <row r="11668" spans="7:8">
      <c r="G11668" s="87"/>
      <c r="H11668" s="90"/>
    </row>
    <row r="11669" spans="7:8">
      <c r="G11669" s="87"/>
      <c r="H11669" s="90"/>
    </row>
    <row r="11670" spans="7:8">
      <c r="G11670" s="87"/>
      <c r="H11670" s="90"/>
    </row>
    <row r="11671" spans="7:8">
      <c r="G11671" s="87"/>
      <c r="H11671" s="90"/>
    </row>
    <row r="11672" spans="7:8">
      <c r="G11672" s="87"/>
      <c r="H11672" s="90"/>
    </row>
    <row r="11673" spans="7:8">
      <c r="G11673" s="87"/>
      <c r="H11673" s="90"/>
    </row>
    <row r="11674" spans="7:8">
      <c r="G11674" s="87"/>
      <c r="H11674" s="90"/>
    </row>
    <row r="11675" spans="7:8">
      <c r="G11675" s="87"/>
      <c r="H11675" s="90"/>
    </row>
    <row r="11676" spans="7:8">
      <c r="G11676" s="87"/>
      <c r="H11676" s="90"/>
    </row>
    <row r="11677" spans="7:8">
      <c r="G11677" s="87"/>
      <c r="H11677" s="90"/>
    </row>
    <row r="11678" spans="7:8">
      <c r="G11678" s="87"/>
      <c r="H11678" s="90"/>
    </row>
    <row r="11679" spans="7:8">
      <c r="G11679" s="87"/>
      <c r="H11679" s="90"/>
    </row>
    <row r="11680" spans="7:8">
      <c r="G11680" s="87"/>
      <c r="H11680" s="90"/>
    </row>
    <row r="11681" spans="7:8">
      <c r="G11681" s="87"/>
      <c r="H11681" s="90"/>
    </row>
    <row r="11682" spans="7:8">
      <c r="G11682" s="87"/>
      <c r="H11682" s="90"/>
    </row>
    <row r="11683" spans="7:8">
      <c r="G11683" s="87"/>
      <c r="H11683" s="90"/>
    </row>
    <row r="11684" spans="7:8">
      <c r="G11684" s="87"/>
      <c r="H11684" s="90"/>
    </row>
    <row r="11685" spans="7:8">
      <c r="G11685" s="87"/>
      <c r="H11685" s="90"/>
    </row>
    <row r="11686" spans="7:8">
      <c r="G11686" s="87"/>
      <c r="H11686" s="90"/>
    </row>
    <row r="11687" spans="7:8">
      <c r="G11687" s="87"/>
      <c r="H11687" s="90"/>
    </row>
    <row r="11688" spans="7:8">
      <c r="G11688" s="87"/>
      <c r="H11688" s="90"/>
    </row>
    <row r="11689" spans="7:8">
      <c r="G11689" s="87"/>
      <c r="H11689" s="90"/>
    </row>
    <row r="11690" spans="7:8">
      <c r="G11690" s="87"/>
      <c r="H11690" s="90"/>
    </row>
    <row r="11691" spans="7:8">
      <c r="G11691" s="87"/>
      <c r="H11691" s="90"/>
    </row>
    <row r="11692" spans="7:8">
      <c r="G11692" s="87"/>
      <c r="H11692" s="90"/>
    </row>
    <row r="11693" spans="7:8">
      <c r="G11693" s="87"/>
      <c r="H11693" s="90"/>
    </row>
    <row r="11694" spans="7:8">
      <c r="G11694" s="87"/>
      <c r="H11694" s="90"/>
    </row>
    <row r="11695" spans="7:8">
      <c r="G11695" s="87"/>
      <c r="H11695" s="90"/>
    </row>
    <row r="11696" spans="7:8">
      <c r="G11696" s="87"/>
      <c r="H11696" s="90"/>
    </row>
    <row r="11697" spans="7:8">
      <c r="G11697" s="87"/>
      <c r="H11697" s="90"/>
    </row>
    <row r="11698" spans="7:8">
      <c r="G11698" s="87"/>
      <c r="H11698" s="90"/>
    </row>
    <row r="11699" spans="7:8">
      <c r="G11699" s="87"/>
      <c r="H11699" s="90"/>
    </row>
    <row r="11700" spans="7:8">
      <c r="G11700" s="87"/>
      <c r="H11700" s="90"/>
    </row>
    <row r="11701" spans="7:8">
      <c r="G11701" s="87"/>
      <c r="H11701" s="90"/>
    </row>
    <row r="11702" spans="7:8">
      <c r="G11702" s="87"/>
      <c r="H11702" s="90"/>
    </row>
    <row r="11703" spans="7:8">
      <c r="G11703" s="87"/>
      <c r="H11703" s="90"/>
    </row>
    <row r="11704" spans="7:8">
      <c r="G11704" s="87"/>
      <c r="H11704" s="90"/>
    </row>
    <row r="11705" spans="7:8">
      <c r="G11705" s="87"/>
      <c r="H11705" s="90"/>
    </row>
    <row r="11706" spans="7:8">
      <c r="G11706" s="87"/>
      <c r="H11706" s="90"/>
    </row>
    <row r="11707" spans="7:8">
      <c r="G11707" s="87"/>
      <c r="H11707" s="90"/>
    </row>
    <row r="11708" spans="7:8">
      <c r="G11708" s="87"/>
      <c r="H11708" s="90"/>
    </row>
    <row r="11709" spans="7:8">
      <c r="G11709" s="87"/>
      <c r="H11709" s="90"/>
    </row>
    <row r="11710" spans="7:8">
      <c r="G11710" s="87"/>
      <c r="H11710" s="90"/>
    </row>
    <row r="11711" spans="7:8">
      <c r="G11711" s="87"/>
      <c r="H11711" s="90"/>
    </row>
    <row r="11712" spans="7:8">
      <c r="G11712" s="87"/>
      <c r="H11712" s="90"/>
    </row>
    <row r="11713" spans="7:8">
      <c r="G11713" s="87"/>
      <c r="H11713" s="90"/>
    </row>
    <row r="11714" spans="7:8">
      <c r="G11714" s="87"/>
      <c r="H11714" s="90"/>
    </row>
    <row r="11715" spans="7:8">
      <c r="G11715" s="87"/>
      <c r="H11715" s="90"/>
    </row>
    <row r="11716" spans="7:8">
      <c r="G11716" s="87"/>
      <c r="H11716" s="90"/>
    </row>
    <row r="11717" spans="7:8">
      <c r="G11717" s="87"/>
      <c r="H11717" s="90"/>
    </row>
    <row r="11718" spans="7:8">
      <c r="G11718" s="87"/>
      <c r="H11718" s="90"/>
    </row>
    <row r="11719" spans="7:8">
      <c r="G11719" s="87"/>
      <c r="H11719" s="90"/>
    </row>
    <row r="11720" spans="7:8">
      <c r="G11720" s="87"/>
      <c r="H11720" s="90"/>
    </row>
    <row r="11721" spans="7:8">
      <c r="G11721" s="87"/>
      <c r="H11721" s="90"/>
    </row>
    <row r="11722" spans="7:8">
      <c r="G11722" s="87"/>
      <c r="H11722" s="90"/>
    </row>
    <row r="11723" spans="7:8">
      <c r="G11723" s="87"/>
      <c r="H11723" s="90"/>
    </row>
    <row r="11724" spans="7:8">
      <c r="G11724" s="87"/>
      <c r="H11724" s="90"/>
    </row>
    <row r="11725" spans="7:8">
      <c r="G11725" s="87"/>
      <c r="H11725" s="90"/>
    </row>
    <row r="11726" spans="7:8">
      <c r="G11726" s="87"/>
      <c r="H11726" s="90"/>
    </row>
    <row r="11727" spans="7:8">
      <c r="G11727" s="87"/>
      <c r="H11727" s="90"/>
    </row>
    <row r="11728" spans="7:8">
      <c r="G11728" s="87"/>
      <c r="H11728" s="90"/>
    </row>
    <row r="11729" spans="7:8">
      <c r="G11729" s="87"/>
      <c r="H11729" s="90"/>
    </row>
    <row r="11730" spans="7:8">
      <c r="G11730" s="87"/>
      <c r="H11730" s="90"/>
    </row>
    <row r="11731" spans="7:8">
      <c r="G11731" s="87"/>
      <c r="H11731" s="90"/>
    </row>
    <row r="11732" spans="7:8">
      <c r="G11732" s="87"/>
      <c r="H11732" s="90"/>
    </row>
    <row r="11733" spans="7:8">
      <c r="G11733" s="87"/>
      <c r="H11733" s="90"/>
    </row>
    <row r="11734" spans="7:8">
      <c r="G11734" s="87"/>
      <c r="H11734" s="90"/>
    </row>
    <row r="11735" spans="7:8">
      <c r="G11735" s="87"/>
      <c r="H11735" s="90"/>
    </row>
    <row r="11736" spans="7:8">
      <c r="G11736" s="87"/>
      <c r="H11736" s="90"/>
    </row>
    <row r="11737" spans="7:8">
      <c r="G11737" s="87"/>
      <c r="H11737" s="90"/>
    </row>
    <row r="11738" spans="7:8">
      <c r="G11738" s="87"/>
      <c r="H11738" s="90"/>
    </row>
    <row r="11739" spans="7:8">
      <c r="G11739" s="87"/>
      <c r="H11739" s="90"/>
    </row>
    <row r="11740" spans="7:8">
      <c r="G11740" s="87"/>
      <c r="H11740" s="90"/>
    </row>
    <row r="11741" spans="7:8">
      <c r="G11741" s="87"/>
      <c r="H11741" s="90"/>
    </row>
    <row r="11742" spans="7:8">
      <c r="G11742" s="87"/>
      <c r="H11742" s="90"/>
    </row>
    <row r="11743" spans="7:8">
      <c r="G11743" s="87"/>
      <c r="H11743" s="90"/>
    </row>
    <row r="11744" spans="7:8">
      <c r="G11744" s="87"/>
      <c r="H11744" s="90"/>
    </row>
    <row r="11745" spans="7:8">
      <c r="G11745" s="87"/>
      <c r="H11745" s="90"/>
    </row>
    <row r="11746" spans="7:8">
      <c r="G11746" s="87"/>
      <c r="H11746" s="90"/>
    </row>
    <row r="11747" spans="7:8">
      <c r="G11747" s="87"/>
      <c r="H11747" s="90"/>
    </row>
    <row r="11748" spans="7:8">
      <c r="G11748" s="87"/>
      <c r="H11748" s="90"/>
    </row>
    <row r="11749" spans="7:8">
      <c r="G11749" s="87"/>
      <c r="H11749" s="90"/>
    </row>
    <row r="11750" spans="7:8">
      <c r="G11750" s="87"/>
      <c r="H11750" s="90"/>
    </row>
    <row r="11751" spans="7:8">
      <c r="G11751" s="87"/>
      <c r="H11751" s="90"/>
    </row>
    <row r="11752" spans="7:8">
      <c r="G11752" s="87"/>
      <c r="H11752" s="90"/>
    </row>
    <row r="11753" spans="7:8">
      <c r="G11753" s="87"/>
      <c r="H11753" s="90"/>
    </row>
    <row r="11754" spans="7:8">
      <c r="G11754" s="87"/>
      <c r="H11754" s="90"/>
    </row>
    <row r="11755" spans="7:8">
      <c r="G11755" s="87"/>
      <c r="H11755" s="90"/>
    </row>
    <row r="11756" spans="7:8">
      <c r="G11756" s="87"/>
      <c r="H11756" s="90"/>
    </row>
    <row r="11757" spans="7:8">
      <c r="G11757" s="87"/>
      <c r="H11757" s="90"/>
    </row>
    <row r="11758" spans="7:8">
      <c r="G11758" s="87"/>
      <c r="H11758" s="90"/>
    </row>
    <row r="11759" spans="7:8">
      <c r="G11759" s="87"/>
      <c r="H11759" s="90"/>
    </row>
    <row r="11760" spans="7:8">
      <c r="G11760" s="87"/>
      <c r="H11760" s="90"/>
    </row>
    <row r="11761" spans="7:8">
      <c r="G11761" s="87"/>
      <c r="H11761" s="90"/>
    </row>
    <row r="11762" spans="7:8">
      <c r="G11762" s="87"/>
      <c r="H11762" s="90"/>
    </row>
    <row r="11763" spans="7:8">
      <c r="G11763" s="87"/>
      <c r="H11763" s="90"/>
    </row>
    <row r="11764" spans="7:8">
      <c r="G11764" s="87"/>
      <c r="H11764" s="90"/>
    </row>
    <row r="11765" spans="7:8">
      <c r="G11765" s="87"/>
      <c r="H11765" s="90"/>
    </row>
    <row r="11766" spans="7:8">
      <c r="G11766" s="87"/>
      <c r="H11766" s="90"/>
    </row>
    <row r="11767" spans="7:8">
      <c r="G11767" s="87"/>
      <c r="H11767" s="90"/>
    </row>
    <row r="11768" spans="7:8">
      <c r="G11768" s="87"/>
      <c r="H11768" s="90"/>
    </row>
    <row r="11769" spans="7:8">
      <c r="G11769" s="87"/>
      <c r="H11769" s="90"/>
    </row>
    <row r="11770" spans="7:8">
      <c r="G11770" s="87"/>
      <c r="H11770" s="90"/>
    </row>
    <row r="11771" spans="7:8">
      <c r="G11771" s="87"/>
      <c r="H11771" s="90"/>
    </row>
    <row r="11772" spans="7:8">
      <c r="G11772" s="87"/>
      <c r="H11772" s="90"/>
    </row>
    <row r="11773" spans="7:8">
      <c r="G11773" s="87"/>
      <c r="H11773" s="90"/>
    </row>
    <row r="11774" spans="7:8">
      <c r="G11774" s="87"/>
      <c r="H11774" s="90"/>
    </row>
    <row r="11775" spans="7:8">
      <c r="G11775" s="87"/>
      <c r="H11775" s="90"/>
    </row>
    <row r="11776" spans="7:8">
      <c r="G11776" s="87"/>
      <c r="H11776" s="90"/>
    </row>
    <row r="11777" spans="7:8">
      <c r="G11777" s="87"/>
      <c r="H11777" s="90"/>
    </row>
    <row r="11778" spans="7:8">
      <c r="G11778" s="87"/>
      <c r="H11778" s="90"/>
    </row>
    <row r="11779" spans="7:8">
      <c r="G11779" s="87"/>
      <c r="H11779" s="90"/>
    </row>
    <row r="11780" spans="7:8">
      <c r="G11780" s="87"/>
      <c r="H11780" s="90"/>
    </row>
    <row r="11781" spans="7:8">
      <c r="G11781" s="87"/>
      <c r="H11781" s="90"/>
    </row>
    <row r="11782" spans="7:8">
      <c r="G11782" s="87"/>
      <c r="H11782" s="90"/>
    </row>
    <row r="11783" spans="7:8">
      <c r="G11783" s="87"/>
      <c r="H11783" s="90"/>
    </row>
    <row r="11784" spans="7:8">
      <c r="G11784" s="87"/>
      <c r="H11784" s="90"/>
    </row>
    <row r="11785" spans="7:8">
      <c r="G11785" s="87"/>
      <c r="H11785" s="90"/>
    </row>
    <row r="11786" spans="7:8">
      <c r="G11786" s="87"/>
      <c r="H11786" s="90"/>
    </row>
    <row r="11787" spans="7:8">
      <c r="G11787" s="87"/>
      <c r="H11787" s="90"/>
    </row>
    <row r="11788" spans="7:8">
      <c r="G11788" s="87"/>
      <c r="H11788" s="90"/>
    </row>
    <row r="11789" spans="7:8">
      <c r="G11789" s="87"/>
      <c r="H11789" s="90"/>
    </row>
    <row r="11790" spans="7:8">
      <c r="G11790" s="87"/>
      <c r="H11790" s="90"/>
    </row>
    <row r="11791" spans="7:8">
      <c r="G11791" s="87"/>
      <c r="H11791" s="90"/>
    </row>
    <row r="11792" spans="7:8">
      <c r="G11792" s="87"/>
      <c r="H11792" s="90"/>
    </row>
    <row r="11793" spans="7:8">
      <c r="G11793" s="87"/>
      <c r="H11793" s="90"/>
    </row>
    <row r="11794" spans="7:8">
      <c r="G11794" s="87"/>
      <c r="H11794" s="90"/>
    </row>
    <row r="11795" spans="7:8">
      <c r="G11795" s="87"/>
      <c r="H11795" s="90"/>
    </row>
    <row r="11796" spans="7:8">
      <c r="G11796" s="87"/>
      <c r="H11796" s="90"/>
    </row>
    <row r="11797" spans="7:8">
      <c r="G11797" s="87"/>
      <c r="H11797" s="90"/>
    </row>
    <row r="11798" spans="7:8">
      <c r="G11798" s="87"/>
      <c r="H11798" s="90"/>
    </row>
    <row r="11799" spans="7:8">
      <c r="G11799" s="87"/>
      <c r="H11799" s="90"/>
    </row>
    <row r="11800" spans="7:8">
      <c r="G11800" s="87"/>
      <c r="H11800" s="90"/>
    </row>
    <row r="11801" spans="7:8">
      <c r="G11801" s="87"/>
      <c r="H11801" s="90"/>
    </row>
    <row r="11802" spans="7:8">
      <c r="G11802" s="87"/>
      <c r="H11802" s="90"/>
    </row>
    <row r="11803" spans="7:8">
      <c r="G11803" s="87"/>
      <c r="H11803" s="90"/>
    </row>
    <row r="11804" spans="7:8">
      <c r="G11804" s="87"/>
      <c r="H11804" s="90"/>
    </row>
    <row r="11805" spans="7:8">
      <c r="G11805" s="87"/>
      <c r="H11805" s="90"/>
    </row>
    <row r="11806" spans="7:8">
      <c r="G11806" s="87"/>
      <c r="H11806" s="90"/>
    </row>
    <row r="11807" spans="7:8">
      <c r="G11807" s="87"/>
      <c r="H11807" s="90"/>
    </row>
    <row r="11808" spans="7:8">
      <c r="G11808" s="87"/>
      <c r="H11808" s="90"/>
    </row>
    <row r="11809" spans="7:8">
      <c r="G11809" s="87"/>
      <c r="H11809" s="90"/>
    </row>
    <row r="11810" spans="7:8">
      <c r="G11810" s="87"/>
      <c r="H11810" s="90"/>
    </row>
    <row r="11811" spans="7:8">
      <c r="G11811" s="87"/>
      <c r="H11811" s="90"/>
    </row>
    <row r="11812" spans="7:8">
      <c r="G11812" s="87"/>
      <c r="H11812" s="90"/>
    </row>
    <row r="11813" spans="7:8">
      <c r="G11813" s="87"/>
      <c r="H11813" s="90"/>
    </row>
    <row r="11814" spans="7:8">
      <c r="G11814" s="87"/>
      <c r="H11814" s="90"/>
    </row>
    <row r="11815" spans="7:8">
      <c r="G11815" s="87"/>
      <c r="H11815" s="90"/>
    </row>
    <row r="11816" spans="7:8">
      <c r="G11816" s="87"/>
      <c r="H11816" s="90"/>
    </row>
    <row r="11817" spans="7:8">
      <c r="G11817" s="87"/>
      <c r="H11817" s="90"/>
    </row>
    <row r="11818" spans="7:8">
      <c r="G11818" s="87"/>
      <c r="H11818" s="90"/>
    </row>
    <row r="11819" spans="7:8">
      <c r="G11819" s="87"/>
      <c r="H11819" s="90"/>
    </row>
    <row r="11820" spans="7:8">
      <c r="G11820" s="87"/>
      <c r="H11820" s="90"/>
    </row>
    <row r="11821" spans="7:8">
      <c r="G11821" s="87"/>
      <c r="H11821" s="90"/>
    </row>
    <row r="11822" spans="7:8">
      <c r="G11822" s="87"/>
      <c r="H11822" s="90"/>
    </row>
    <row r="11823" spans="7:8">
      <c r="G11823" s="87"/>
      <c r="H11823" s="90"/>
    </row>
    <row r="11824" spans="7:8">
      <c r="G11824" s="87"/>
      <c r="H11824" s="90"/>
    </row>
    <row r="11825" spans="7:8">
      <c r="G11825" s="87"/>
      <c r="H11825" s="90"/>
    </row>
    <row r="11826" spans="7:8">
      <c r="G11826" s="87"/>
      <c r="H11826" s="90"/>
    </row>
    <row r="11827" spans="7:8">
      <c r="G11827" s="87"/>
      <c r="H11827" s="90"/>
    </row>
    <row r="11828" spans="7:8">
      <c r="G11828" s="87"/>
      <c r="H11828" s="90"/>
    </row>
    <row r="11829" spans="7:8">
      <c r="G11829" s="87"/>
      <c r="H11829" s="90"/>
    </row>
    <row r="11830" spans="7:8">
      <c r="G11830" s="87"/>
      <c r="H11830" s="90"/>
    </row>
    <row r="11831" spans="7:8">
      <c r="G11831" s="87"/>
      <c r="H11831" s="90"/>
    </row>
    <row r="11832" spans="7:8">
      <c r="G11832" s="87"/>
      <c r="H11832" s="90"/>
    </row>
    <row r="11833" spans="7:8">
      <c r="G11833" s="87"/>
      <c r="H11833" s="90"/>
    </row>
    <row r="11834" spans="7:8">
      <c r="G11834" s="87"/>
      <c r="H11834" s="90"/>
    </row>
    <row r="11835" spans="7:8">
      <c r="G11835" s="87"/>
      <c r="H11835" s="90"/>
    </row>
    <row r="11836" spans="7:8">
      <c r="G11836" s="87"/>
      <c r="H11836" s="90"/>
    </row>
    <row r="11837" spans="7:8">
      <c r="G11837" s="87"/>
      <c r="H11837" s="90"/>
    </row>
    <row r="11838" spans="7:8">
      <c r="G11838" s="87"/>
      <c r="H11838" s="90"/>
    </row>
    <row r="11839" spans="7:8">
      <c r="G11839" s="87"/>
      <c r="H11839" s="90"/>
    </row>
    <row r="11840" spans="7:8">
      <c r="G11840" s="87"/>
      <c r="H11840" s="90"/>
    </row>
    <row r="11841" spans="7:8">
      <c r="G11841" s="87"/>
      <c r="H11841" s="90"/>
    </row>
    <row r="11842" spans="7:8">
      <c r="G11842" s="87"/>
      <c r="H11842" s="90"/>
    </row>
    <row r="11843" spans="7:8">
      <c r="G11843" s="87"/>
      <c r="H11843" s="90"/>
    </row>
    <row r="11844" spans="7:8">
      <c r="G11844" s="87"/>
      <c r="H11844" s="90"/>
    </row>
    <row r="11845" spans="7:8">
      <c r="G11845" s="87"/>
      <c r="H11845" s="90"/>
    </row>
    <row r="11846" spans="7:8">
      <c r="G11846" s="87"/>
      <c r="H11846" s="90"/>
    </row>
    <row r="11847" spans="7:8">
      <c r="G11847" s="87"/>
      <c r="H11847" s="90"/>
    </row>
    <row r="11848" spans="7:8">
      <c r="G11848" s="87"/>
      <c r="H11848" s="90"/>
    </row>
    <row r="11849" spans="7:8">
      <c r="G11849" s="87"/>
      <c r="H11849" s="90"/>
    </row>
    <row r="11850" spans="7:8">
      <c r="G11850" s="87"/>
      <c r="H11850" s="90"/>
    </row>
    <row r="11851" spans="7:8">
      <c r="G11851" s="87"/>
      <c r="H11851" s="90"/>
    </row>
    <row r="11852" spans="7:8">
      <c r="G11852" s="87"/>
      <c r="H11852" s="90"/>
    </row>
    <row r="11853" spans="7:8">
      <c r="G11853" s="87"/>
      <c r="H11853" s="90"/>
    </row>
    <row r="11854" spans="7:8">
      <c r="G11854" s="87"/>
      <c r="H11854" s="90"/>
    </row>
    <row r="11855" spans="7:8">
      <c r="G11855" s="87"/>
      <c r="H11855" s="90"/>
    </row>
    <row r="11856" spans="7:8">
      <c r="G11856" s="87"/>
      <c r="H11856" s="90"/>
    </row>
    <row r="11857" spans="7:8">
      <c r="G11857" s="87"/>
      <c r="H11857" s="90"/>
    </row>
    <row r="11858" spans="7:8">
      <c r="G11858" s="87"/>
      <c r="H11858" s="90"/>
    </row>
    <row r="11859" spans="7:8">
      <c r="G11859" s="87"/>
      <c r="H11859" s="90"/>
    </row>
    <row r="11860" spans="7:8">
      <c r="G11860" s="87"/>
      <c r="H11860" s="90"/>
    </row>
    <row r="11861" spans="7:8">
      <c r="G11861" s="87"/>
      <c r="H11861" s="90"/>
    </row>
    <row r="11862" spans="7:8">
      <c r="G11862" s="87"/>
      <c r="H11862" s="90"/>
    </row>
    <row r="11863" spans="7:8">
      <c r="G11863" s="87"/>
      <c r="H11863" s="90"/>
    </row>
    <row r="11864" spans="7:8">
      <c r="G11864" s="87"/>
      <c r="H11864" s="90"/>
    </row>
    <row r="11865" spans="7:8">
      <c r="G11865" s="87"/>
      <c r="H11865" s="90"/>
    </row>
    <row r="11866" spans="7:8">
      <c r="G11866" s="87"/>
      <c r="H11866" s="90"/>
    </row>
    <row r="11867" spans="7:8">
      <c r="G11867" s="87"/>
      <c r="H11867" s="90"/>
    </row>
    <row r="11868" spans="7:8">
      <c r="G11868" s="87"/>
      <c r="H11868" s="90"/>
    </row>
    <row r="11869" spans="7:8">
      <c r="G11869" s="87"/>
      <c r="H11869" s="90"/>
    </row>
    <row r="11870" spans="7:8">
      <c r="G11870" s="87"/>
      <c r="H11870" s="90"/>
    </row>
    <row r="11871" spans="7:8">
      <c r="G11871" s="87"/>
      <c r="H11871" s="90"/>
    </row>
    <row r="11872" spans="7:8">
      <c r="G11872" s="87"/>
      <c r="H11872" s="90"/>
    </row>
    <row r="11873" spans="7:8">
      <c r="G11873" s="87"/>
      <c r="H11873" s="90"/>
    </row>
    <row r="11874" spans="7:8">
      <c r="G11874" s="87"/>
      <c r="H11874" s="90"/>
    </row>
    <row r="11875" spans="7:8">
      <c r="G11875" s="87"/>
      <c r="H11875" s="90"/>
    </row>
    <row r="11876" spans="7:8">
      <c r="G11876" s="87"/>
      <c r="H11876" s="90"/>
    </row>
    <row r="11877" spans="7:8">
      <c r="G11877" s="87"/>
      <c r="H11877" s="90"/>
    </row>
    <row r="11878" spans="7:8">
      <c r="G11878" s="87"/>
      <c r="H11878" s="90"/>
    </row>
    <row r="11879" spans="7:8">
      <c r="G11879" s="87"/>
      <c r="H11879" s="90"/>
    </row>
    <row r="11880" spans="7:8">
      <c r="G11880" s="87"/>
      <c r="H11880" s="90"/>
    </row>
    <row r="11881" spans="7:8">
      <c r="G11881" s="87"/>
      <c r="H11881" s="90"/>
    </row>
    <row r="11882" spans="7:8">
      <c r="G11882" s="87"/>
      <c r="H11882" s="90"/>
    </row>
    <row r="11883" spans="7:8">
      <c r="G11883" s="87"/>
      <c r="H11883" s="90"/>
    </row>
    <row r="11884" spans="7:8">
      <c r="G11884" s="87"/>
      <c r="H11884" s="90"/>
    </row>
    <row r="11885" spans="7:8">
      <c r="G11885" s="87"/>
      <c r="H11885" s="90"/>
    </row>
    <row r="11886" spans="7:8">
      <c r="G11886" s="87"/>
      <c r="H11886" s="90"/>
    </row>
    <row r="11887" spans="7:8">
      <c r="G11887" s="87"/>
      <c r="H11887" s="90"/>
    </row>
    <row r="11888" spans="7:8">
      <c r="G11888" s="87"/>
      <c r="H11888" s="90"/>
    </row>
    <row r="11889" spans="7:8">
      <c r="G11889" s="87"/>
      <c r="H11889" s="90"/>
    </row>
    <row r="11890" spans="7:8">
      <c r="G11890" s="87"/>
      <c r="H11890" s="90"/>
    </row>
    <row r="11891" spans="7:8">
      <c r="G11891" s="87"/>
      <c r="H11891" s="90"/>
    </row>
    <row r="11892" spans="7:8">
      <c r="G11892" s="87"/>
      <c r="H11892" s="90"/>
    </row>
    <row r="11893" spans="7:8">
      <c r="G11893" s="87"/>
      <c r="H11893" s="90"/>
    </row>
    <row r="11894" spans="7:8">
      <c r="G11894" s="87"/>
      <c r="H11894" s="90"/>
    </row>
    <row r="11895" spans="7:8">
      <c r="G11895" s="87"/>
      <c r="H11895" s="90"/>
    </row>
    <row r="11896" spans="7:8">
      <c r="G11896" s="87"/>
      <c r="H11896" s="90"/>
    </row>
    <row r="11897" spans="7:8">
      <c r="G11897" s="87"/>
      <c r="H11897" s="90"/>
    </row>
    <row r="11898" spans="7:8">
      <c r="G11898" s="87"/>
      <c r="H11898" s="90"/>
    </row>
    <row r="11899" spans="7:8">
      <c r="G11899" s="87"/>
      <c r="H11899" s="90"/>
    </row>
    <row r="11900" spans="7:8">
      <c r="G11900" s="87"/>
      <c r="H11900" s="90"/>
    </row>
    <row r="11901" spans="7:8">
      <c r="G11901" s="87"/>
      <c r="H11901" s="90"/>
    </row>
    <row r="11902" spans="7:8">
      <c r="G11902" s="87"/>
      <c r="H11902" s="90"/>
    </row>
    <row r="11903" spans="7:8">
      <c r="G11903" s="87"/>
      <c r="H11903" s="90"/>
    </row>
    <row r="11904" spans="7:8">
      <c r="G11904" s="87"/>
      <c r="H11904" s="90"/>
    </row>
    <row r="11905" spans="7:8">
      <c r="G11905" s="87"/>
      <c r="H11905" s="90"/>
    </row>
    <row r="11906" spans="7:8">
      <c r="G11906" s="87"/>
      <c r="H11906" s="90"/>
    </row>
    <row r="11907" spans="7:8">
      <c r="G11907" s="87"/>
      <c r="H11907" s="90"/>
    </row>
    <row r="11908" spans="7:8">
      <c r="G11908" s="87"/>
      <c r="H11908" s="90"/>
    </row>
    <row r="11909" spans="7:8">
      <c r="G11909" s="87"/>
      <c r="H11909" s="90"/>
    </row>
    <row r="11910" spans="7:8">
      <c r="G11910" s="87"/>
      <c r="H11910" s="90"/>
    </row>
    <row r="11911" spans="7:8">
      <c r="G11911" s="87"/>
      <c r="H11911" s="90"/>
    </row>
    <row r="11912" spans="7:8">
      <c r="G11912" s="87"/>
      <c r="H11912" s="90"/>
    </row>
    <row r="11913" spans="7:8">
      <c r="G11913" s="87"/>
      <c r="H11913" s="90"/>
    </row>
    <row r="11914" spans="7:8">
      <c r="G11914" s="87"/>
      <c r="H11914" s="90"/>
    </row>
    <row r="11915" spans="7:8">
      <c r="G11915" s="87"/>
      <c r="H11915" s="90"/>
    </row>
    <row r="11916" spans="7:8">
      <c r="G11916" s="87"/>
      <c r="H11916" s="90"/>
    </row>
    <row r="11917" spans="7:8">
      <c r="G11917" s="87"/>
      <c r="H11917" s="90"/>
    </row>
    <row r="11918" spans="7:8">
      <c r="G11918" s="87"/>
      <c r="H11918" s="90"/>
    </row>
    <row r="11919" spans="7:8">
      <c r="G11919" s="87"/>
      <c r="H11919" s="90"/>
    </row>
    <row r="11920" spans="7:8">
      <c r="G11920" s="87"/>
      <c r="H11920" s="90"/>
    </row>
    <row r="11921" spans="7:8">
      <c r="G11921" s="87"/>
      <c r="H11921" s="90"/>
    </row>
    <row r="11922" spans="7:8">
      <c r="G11922" s="87"/>
      <c r="H11922" s="90"/>
    </row>
    <row r="11923" spans="7:8">
      <c r="G11923" s="87"/>
      <c r="H11923" s="90"/>
    </row>
    <row r="11924" spans="7:8">
      <c r="G11924" s="87"/>
      <c r="H11924" s="90"/>
    </row>
    <row r="11925" spans="7:8">
      <c r="G11925" s="87"/>
      <c r="H11925" s="90"/>
    </row>
    <row r="11926" spans="7:8">
      <c r="G11926" s="87"/>
      <c r="H11926" s="90"/>
    </row>
    <row r="11927" spans="7:8">
      <c r="G11927" s="87"/>
      <c r="H11927" s="90"/>
    </row>
    <row r="11928" spans="7:8">
      <c r="G11928" s="87"/>
      <c r="H11928" s="90"/>
    </row>
    <row r="11929" spans="7:8">
      <c r="G11929" s="87"/>
      <c r="H11929" s="90"/>
    </row>
    <row r="11930" spans="7:8">
      <c r="G11930" s="87"/>
      <c r="H11930" s="90"/>
    </row>
    <row r="11931" spans="7:8">
      <c r="G11931" s="87"/>
      <c r="H11931" s="90"/>
    </row>
    <row r="11932" spans="7:8">
      <c r="G11932" s="87"/>
      <c r="H11932" s="90"/>
    </row>
    <row r="11933" spans="7:8">
      <c r="G11933" s="87"/>
      <c r="H11933" s="90"/>
    </row>
    <row r="11934" spans="7:8">
      <c r="G11934" s="87"/>
      <c r="H11934" s="90"/>
    </row>
    <row r="11935" spans="7:8">
      <c r="G11935" s="87"/>
      <c r="H11935" s="90"/>
    </row>
    <row r="11936" spans="7:8">
      <c r="G11936" s="87"/>
      <c r="H11936" s="90"/>
    </row>
    <row r="11937" spans="7:8">
      <c r="G11937" s="87"/>
      <c r="H11937" s="90"/>
    </row>
    <row r="11938" spans="7:8">
      <c r="G11938" s="87"/>
      <c r="H11938" s="90"/>
    </row>
    <row r="11939" spans="7:8">
      <c r="G11939" s="87"/>
      <c r="H11939" s="90"/>
    </row>
    <row r="11940" spans="7:8">
      <c r="G11940" s="87"/>
      <c r="H11940" s="90"/>
    </row>
    <row r="11941" spans="7:8">
      <c r="G11941" s="87"/>
      <c r="H11941" s="90"/>
    </row>
    <row r="11942" spans="7:8">
      <c r="G11942" s="87"/>
      <c r="H11942" s="90"/>
    </row>
    <row r="11943" spans="7:8">
      <c r="G11943" s="87"/>
      <c r="H11943" s="90"/>
    </row>
    <row r="11944" spans="7:8">
      <c r="G11944" s="87"/>
      <c r="H11944" s="90"/>
    </row>
    <row r="11945" spans="7:8">
      <c r="G11945" s="87"/>
      <c r="H11945" s="90"/>
    </row>
    <row r="11946" spans="7:8">
      <c r="G11946" s="87"/>
      <c r="H11946" s="90"/>
    </row>
    <row r="11947" spans="7:8">
      <c r="G11947" s="87"/>
      <c r="H11947" s="90"/>
    </row>
    <row r="11948" spans="7:8">
      <c r="G11948" s="87"/>
      <c r="H11948" s="90"/>
    </row>
    <row r="11949" spans="7:8">
      <c r="G11949" s="87"/>
      <c r="H11949" s="90"/>
    </row>
    <row r="11950" spans="7:8">
      <c r="G11950" s="87"/>
      <c r="H11950" s="90"/>
    </row>
    <row r="11951" spans="7:8">
      <c r="G11951" s="87"/>
      <c r="H11951" s="90"/>
    </row>
    <row r="11952" spans="7:8">
      <c r="G11952" s="87"/>
      <c r="H11952" s="90"/>
    </row>
    <row r="11953" spans="7:8">
      <c r="G11953" s="87"/>
      <c r="H11953" s="90"/>
    </row>
    <row r="11954" spans="7:8">
      <c r="G11954" s="87"/>
      <c r="H11954" s="90"/>
    </row>
    <row r="11955" spans="7:8">
      <c r="G11955" s="87"/>
      <c r="H11955" s="90"/>
    </row>
    <row r="11956" spans="7:8">
      <c r="G11956" s="87"/>
      <c r="H11956" s="90"/>
    </row>
    <row r="11957" spans="7:8">
      <c r="G11957" s="87"/>
      <c r="H11957" s="90"/>
    </row>
    <row r="11958" spans="7:8">
      <c r="G11958" s="87"/>
      <c r="H11958" s="90"/>
    </row>
    <row r="11959" spans="7:8">
      <c r="G11959" s="87"/>
      <c r="H11959" s="90"/>
    </row>
    <row r="11960" spans="7:8">
      <c r="G11960" s="87"/>
      <c r="H11960" s="90"/>
    </row>
    <row r="11961" spans="7:8">
      <c r="G11961" s="87"/>
      <c r="H11961" s="90"/>
    </row>
    <row r="11962" spans="7:8">
      <c r="G11962" s="87"/>
      <c r="H11962" s="90"/>
    </row>
    <row r="11963" spans="7:8">
      <c r="G11963" s="87"/>
      <c r="H11963" s="90"/>
    </row>
    <row r="11964" spans="7:8">
      <c r="G11964" s="87"/>
      <c r="H11964" s="90"/>
    </row>
    <row r="11965" spans="7:8">
      <c r="G11965" s="87"/>
      <c r="H11965" s="90"/>
    </row>
    <row r="11966" spans="7:8">
      <c r="G11966" s="87"/>
      <c r="H11966" s="90"/>
    </row>
    <row r="11967" spans="7:8">
      <c r="G11967" s="87"/>
      <c r="H11967" s="90"/>
    </row>
    <row r="11968" spans="7:8">
      <c r="G11968" s="87"/>
      <c r="H11968" s="90"/>
    </row>
    <row r="11969" spans="7:8">
      <c r="G11969" s="87"/>
      <c r="H11969" s="90"/>
    </row>
    <row r="11970" spans="7:8">
      <c r="G11970" s="87"/>
      <c r="H11970" s="90"/>
    </row>
    <row r="11971" spans="7:8">
      <c r="G11971" s="87"/>
      <c r="H11971" s="90"/>
    </row>
    <row r="11972" spans="7:8">
      <c r="G11972" s="87"/>
      <c r="H11972" s="90"/>
    </row>
    <row r="11973" spans="7:8">
      <c r="G11973" s="87"/>
      <c r="H11973" s="90"/>
    </row>
    <row r="11974" spans="7:8">
      <c r="G11974" s="87"/>
      <c r="H11974" s="90"/>
    </row>
    <row r="11975" spans="7:8">
      <c r="G11975" s="87"/>
      <c r="H11975" s="90"/>
    </row>
    <row r="11976" spans="7:8">
      <c r="G11976" s="87"/>
      <c r="H11976" s="90"/>
    </row>
    <row r="11977" spans="7:8">
      <c r="G11977" s="87"/>
      <c r="H11977" s="90"/>
    </row>
    <row r="11978" spans="7:8">
      <c r="G11978" s="87"/>
      <c r="H11978" s="90"/>
    </row>
    <row r="11979" spans="7:8">
      <c r="G11979" s="87"/>
      <c r="H11979" s="90"/>
    </row>
    <row r="11980" spans="7:8">
      <c r="G11980" s="87"/>
      <c r="H11980" s="90"/>
    </row>
    <row r="11981" spans="7:8">
      <c r="G11981" s="87"/>
      <c r="H11981" s="90"/>
    </row>
    <row r="11982" spans="7:8">
      <c r="G11982" s="87"/>
      <c r="H11982" s="90"/>
    </row>
    <row r="11983" spans="7:8">
      <c r="G11983" s="87"/>
      <c r="H11983" s="90"/>
    </row>
    <row r="11984" spans="7:8">
      <c r="G11984" s="87"/>
      <c r="H11984" s="90"/>
    </row>
    <row r="11985" spans="7:8">
      <c r="G11985" s="87"/>
      <c r="H11985" s="90"/>
    </row>
    <row r="11986" spans="7:8">
      <c r="G11986" s="87"/>
      <c r="H11986" s="90"/>
    </row>
    <row r="11987" spans="7:8">
      <c r="G11987" s="87"/>
      <c r="H11987" s="90"/>
    </row>
    <row r="11988" spans="7:8">
      <c r="G11988" s="87"/>
      <c r="H11988" s="90"/>
    </row>
    <row r="11989" spans="7:8">
      <c r="G11989" s="87"/>
      <c r="H11989" s="90"/>
    </row>
    <row r="11990" spans="7:8">
      <c r="G11990" s="87"/>
      <c r="H11990" s="90"/>
    </row>
    <row r="11991" spans="7:8">
      <c r="G11991" s="87"/>
      <c r="H11991" s="90"/>
    </row>
    <row r="11992" spans="7:8">
      <c r="G11992" s="87"/>
      <c r="H11992" s="90"/>
    </row>
    <row r="11993" spans="7:8">
      <c r="G11993" s="87"/>
      <c r="H11993" s="90"/>
    </row>
    <row r="11994" spans="7:8">
      <c r="G11994" s="87"/>
      <c r="H11994" s="90"/>
    </row>
    <row r="11995" spans="7:8">
      <c r="G11995" s="87"/>
      <c r="H11995" s="90"/>
    </row>
    <row r="11996" spans="7:8">
      <c r="G11996" s="87"/>
      <c r="H11996" s="90"/>
    </row>
    <row r="11997" spans="7:8">
      <c r="G11997" s="87"/>
      <c r="H11997" s="90"/>
    </row>
    <row r="11998" spans="7:8">
      <c r="G11998" s="87"/>
      <c r="H11998" s="90"/>
    </row>
    <row r="11999" spans="7:8">
      <c r="G11999" s="87"/>
      <c r="H11999" s="90"/>
    </row>
    <row r="12000" spans="7:8">
      <c r="G12000" s="87"/>
      <c r="H12000" s="90"/>
    </row>
    <row r="12001" spans="7:8">
      <c r="G12001" s="87"/>
      <c r="H12001" s="90"/>
    </row>
    <row r="12002" spans="7:8">
      <c r="G12002" s="87"/>
      <c r="H12002" s="90"/>
    </row>
    <row r="12003" spans="7:8">
      <c r="G12003" s="87"/>
      <c r="H12003" s="90"/>
    </row>
    <row r="12004" spans="7:8">
      <c r="G12004" s="87"/>
      <c r="H12004" s="90"/>
    </row>
    <row r="12005" spans="7:8">
      <c r="G12005" s="87"/>
      <c r="H12005" s="90"/>
    </row>
    <row r="12006" spans="7:8">
      <c r="G12006" s="87"/>
      <c r="H12006" s="90"/>
    </row>
    <row r="12007" spans="7:8">
      <c r="G12007" s="87"/>
      <c r="H12007" s="90"/>
    </row>
    <row r="12008" spans="7:8">
      <c r="G12008" s="87"/>
      <c r="H12008" s="90"/>
    </row>
    <row r="12009" spans="7:8">
      <c r="G12009" s="87"/>
      <c r="H12009" s="90"/>
    </row>
    <row r="12010" spans="7:8">
      <c r="G12010" s="87"/>
      <c r="H12010" s="90"/>
    </row>
    <row r="12011" spans="7:8">
      <c r="G12011" s="87"/>
      <c r="H12011" s="90"/>
    </row>
    <row r="12012" spans="7:8">
      <c r="G12012" s="87"/>
      <c r="H12012" s="90"/>
    </row>
    <row r="12013" spans="7:8">
      <c r="G12013" s="87"/>
      <c r="H12013" s="90"/>
    </row>
    <row r="12014" spans="7:8">
      <c r="G12014" s="87"/>
      <c r="H12014" s="90"/>
    </row>
    <row r="12015" spans="7:8">
      <c r="G12015" s="87"/>
      <c r="H12015" s="90"/>
    </row>
    <row r="12016" spans="7:8">
      <c r="G12016" s="87"/>
      <c r="H12016" s="90"/>
    </row>
    <row r="12017" spans="7:8">
      <c r="G12017" s="87"/>
      <c r="H12017" s="90"/>
    </row>
    <row r="12018" spans="7:8">
      <c r="G12018" s="87"/>
      <c r="H12018" s="90"/>
    </row>
    <row r="12019" spans="7:8">
      <c r="G12019" s="87"/>
      <c r="H12019" s="90"/>
    </row>
    <row r="12020" spans="7:8">
      <c r="G12020" s="87"/>
      <c r="H12020" s="90"/>
    </row>
    <row r="12021" spans="7:8">
      <c r="G12021" s="87"/>
      <c r="H12021" s="90"/>
    </row>
    <row r="12022" spans="7:8">
      <c r="G12022" s="87"/>
      <c r="H12022" s="90"/>
    </row>
    <row r="12023" spans="7:8">
      <c r="G12023" s="87"/>
      <c r="H12023" s="90"/>
    </row>
    <row r="12024" spans="7:8">
      <c r="G12024" s="87"/>
      <c r="H12024" s="90"/>
    </row>
    <row r="12025" spans="7:8">
      <c r="G12025" s="87"/>
      <c r="H12025" s="90"/>
    </row>
    <row r="12026" spans="7:8">
      <c r="G12026" s="87"/>
      <c r="H12026" s="90"/>
    </row>
    <row r="12027" spans="7:8">
      <c r="G12027" s="87"/>
      <c r="H12027" s="90"/>
    </row>
    <row r="12028" spans="7:8">
      <c r="G12028" s="87"/>
      <c r="H12028" s="90"/>
    </row>
    <row r="12029" spans="7:8">
      <c r="G12029" s="87"/>
      <c r="H12029" s="90"/>
    </row>
    <row r="12030" spans="7:8">
      <c r="G12030" s="87"/>
      <c r="H12030" s="90"/>
    </row>
    <row r="12031" spans="7:8">
      <c r="G12031" s="87"/>
      <c r="H12031" s="90"/>
    </row>
    <row r="12032" spans="7:8">
      <c r="G12032" s="87"/>
      <c r="H12032" s="90"/>
    </row>
    <row r="12033" spans="7:8">
      <c r="G12033" s="87"/>
      <c r="H12033" s="90"/>
    </row>
    <row r="12034" spans="7:8">
      <c r="G12034" s="87"/>
      <c r="H12034" s="90"/>
    </row>
    <row r="12035" spans="7:8">
      <c r="G12035" s="87"/>
      <c r="H12035" s="90"/>
    </row>
    <row r="12036" spans="7:8">
      <c r="G12036" s="87"/>
      <c r="H12036" s="90"/>
    </row>
    <row r="12037" spans="7:8">
      <c r="G12037" s="87"/>
      <c r="H12037" s="90"/>
    </row>
    <row r="12038" spans="7:8">
      <c r="G12038" s="87"/>
      <c r="H12038" s="90"/>
    </row>
    <row r="12039" spans="7:8">
      <c r="G12039" s="87"/>
      <c r="H12039" s="90"/>
    </row>
    <row r="12040" spans="7:8">
      <c r="G12040" s="87"/>
      <c r="H12040" s="90"/>
    </row>
    <row r="12041" spans="7:8">
      <c r="G12041" s="87"/>
      <c r="H12041" s="90"/>
    </row>
    <row r="12042" spans="7:8">
      <c r="G12042" s="87"/>
      <c r="H12042" s="90"/>
    </row>
    <row r="12043" spans="7:8">
      <c r="G12043" s="87"/>
      <c r="H12043" s="90"/>
    </row>
    <row r="12044" spans="7:8">
      <c r="G12044" s="87"/>
      <c r="H12044" s="90"/>
    </row>
    <row r="12045" spans="7:8">
      <c r="G12045" s="87"/>
      <c r="H12045" s="90"/>
    </row>
    <row r="12046" spans="7:8">
      <c r="G12046" s="87"/>
      <c r="H12046" s="90"/>
    </row>
    <row r="12047" spans="7:8">
      <c r="G12047" s="87"/>
      <c r="H12047" s="90"/>
    </row>
    <row r="12048" spans="7:8">
      <c r="G12048" s="87"/>
      <c r="H12048" s="90"/>
    </row>
    <row r="12049" spans="7:8">
      <c r="G12049" s="87"/>
      <c r="H12049" s="90"/>
    </row>
    <row r="12050" spans="7:8">
      <c r="G12050" s="87"/>
      <c r="H12050" s="90"/>
    </row>
    <row r="12051" spans="7:8">
      <c r="G12051" s="87"/>
      <c r="H12051" s="90"/>
    </row>
    <row r="12052" spans="7:8">
      <c r="G12052" s="87"/>
      <c r="H12052" s="90"/>
    </row>
    <row r="12053" spans="7:8">
      <c r="G12053" s="87"/>
      <c r="H12053" s="90"/>
    </row>
    <row r="12054" spans="7:8">
      <c r="G12054" s="87"/>
      <c r="H12054" s="90"/>
    </row>
    <row r="12055" spans="7:8">
      <c r="G12055" s="87"/>
      <c r="H12055" s="90"/>
    </row>
    <row r="12056" spans="7:8">
      <c r="G12056" s="87"/>
      <c r="H12056" s="90"/>
    </row>
    <row r="12057" spans="7:8">
      <c r="G12057" s="87"/>
      <c r="H12057" s="90"/>
    </row>
    <row r="12058" spans="7:8">
      <c r="G12058" s="87"/>
      <c r="H12058" s="90"/>
    </row>
    <row r="12059" spans="7:8">
      <c r="G12059" s="87"/>
      <c r="H12059" s="90"/>
    </row>
    <row r="12060" spans="7:8">
      <c r="G12060" s="87"/>
      <c r="H12060" s="90"/>
    </row>
    <row r="12061" spans="7:8">
      <c r="G12061" s="87"/>
      <c r="H12061" s="90"/>
    </row>
    <row r="12062" spans="7:8">
      <c r="G12062" s="87"/>
      <c r="H12062" s="90"/>
    </row>
    <row r="12063" spans="7:8">
      <c r="G12063" s="87"/>
      <c r="H12063" s="90"/>
    </row>
    <row r="12064" spans="7:8">
      <c r="G12064" s="87"/>
      <c r="H12064" s="90"/>
    </row>
    <row r="12065" spans="7:8">
      <c r="G12065" s="87"/>
      <c r="H12065" s="90"/>
    </row>
    <row r="12066" spans="7:8">
      <c r="G12066" s="87"/>
      <c r="H12066" s="90"/>
    </row>
    <row r="12067" spans="7:8">
      <c r="G12067" s="87"/>
      <c r="H12067" s="90"/>
    </row>
    <row r="12068" spans="7:8">
      <c r="G12068" s="87"/>
      <c r="H12068" s="90"/>
    </row>
    <row r="12069" spans="7:8">
      <c r="G12069" s="87"/>
      <c r="H12069" s="90"/>
    </row>
    <row r="12070" spans="7:8">
      <c r="G12070" s="87"/>
      <c r="H12070" s="90"/>
    </row>
    <row r="12071" spans="7:8">
      <c r="G12071" s="87"/>
      <c r="H12071" s="90"/>
    </row>
    <row r="12072" spans="7:8">
      <c r="G12072" s="87"/>
      <c r="H12072" s="90"/>
    </row>
    <row r="12073" spans="7:8">
      <c r="G12073" s="87"/>
      <c r="H12073" s="90"/>
    </row>
    <row r="12074" spans="7:8">
      <c r="G12074" s="87"/>
      <c r="H12074" s="90"/>
    </row>
    <row r="12075" spans="7:8">
      <c r="G12075" s="87"/>
      <c r="H12075" s="90"/>
    </row>
    <row r="12076" spans="7:8">
      <c r="G12076" s="87"/>
      <c r="H12076" s="90"/>
    </row>
    <row r="12077" spans="7:8">
      <c r="G12077" s="87"/>
      <c r="H12077" s="90"/>
    </row>
    <row r="12078" spans="7:8">
      <c r="G12078" s="87"/>
      <c r="H12078" s="90"/>
    </row>
    <row r="12079" spans="7:8">
      <c r="G12079" s="87"/>
      <c r="H12079" s="90"/>
    </row>
    <row r="12080" spans="7:8">
      <c r="G12080" s="87"/>
      <c r="H12080" s="90"/>
    </row>
    <row r="12081" spans="7:8">
      <c r="G12081" s="87"/>
      <c r="H12081" s="90"/>
    </row>
    <row r="12082" spans="7:8">
      <c r="G12082" s="87"/>
      <c r="H12082" s="90"/>
    </row>
    <row r="12083" spans="7:8">
      <c r="G12083" s="87"/>
      <c r="H12083" s="90"/>
    </row>
    <row r="12084" spans="7:8">
      <c r="G12084" s="87"/>
      <c r="H12084" s="90"/>
    </row>
    <row r="12085" spans="7:8">
      <c r="G12085" s="87"/>
      <c r="H12085" s="90"/>
    </row>
    <row r="12086" spans="7:8">
      <c r="G12086" s="87"/>
      <c r="H12086" s="90"/>
    </row>
    <row r="12087" spans="7:8">
      <c r="G12087" s="87"/>
      <c r="H12087" s="90"/>
    </row>
    <row r="12088" spans="7:8">
      <c r="G12088" s="87"/>
      <c r="H12088" s="90"/>
    </row>
    <row r="12089" spans="7:8">
      <c r="G12089" s="87"/>
      <c r="H12089" s="90"/>
    </row>
    <row r="12090" spans="7:8">
      <c r="G12090" s="87"/>
      <c r="H12090" s="90"/>
    </row>
    <row r="12091" spans="7:8">
      <c r="G12091" s="87"/>
      <c r="H12091" s="90"/>
    </row>
    <row r="12092" spans="7:8">
      <c r="G12092" s="87"/>
      <c r="H12092" s="90"/>
    </row>
    <row r="12093" spans="7:8">
      <c r="G12093" s="87"/>
      <c r="H12093" s="90"/>
    </row>
    <row r="12094" spans="7:8">
      <c r="G12094" s="87"/>
      <c r="H12094" s="90"/>
    </row>
    <row r="12095" spans="7:8">
      <c r="G12095" s="87"/>
      <c r="H12095" s="90"/>
    </row>
    <row r="12096" spans="7:8">
      <c r="G12096" s="87"/>
      <c r="H12096" s="90"/>
    </row>
    <row r="12097" spans="7:8">
      <c r="G12097" s="87"/>
      <c r="H12097" s="90"/>
    </row>
    <row r="12098" spans="7:8">
      <c r="G12098" s="87"/>
      <c r="H12098" s="90"/>
    </row>
    <row r="12099" spans="7:8">
      <c r="G12099" s="87"/>
      <c r="H12099" s="90"/>
    </row>
    <row r="12100" spans="7:8">
      <c r="G12100" s="87"/>
      <c r="H12100" s="90"/>
    </row>
    <row r="12101" spans="7:8">
      <c r="G12101" s="87"/>
      <c r="H12101" s="90"/>
    </row>
    <row r="12102" spans="7:8">
      <c r="G12102" s="87"/>
      <c r="H12102" s="90"/>
    </row>
    <row r="12103" spans="7:8">
      <c r="G12103" s="87"/>
      <c r="H12103" s="90"/>
    </row>
    <row r="12104" spans="7:8">
      <c r="G12104" s="87"/>
      <c r="H12104" s="90"/>
    </row>
    <row r="12105" spans="7:8">
      <c r="G12105" s="87"/>
      <c r="H12105" s="90"/>
    </row>
    <row r="12106" spans="7:8">
      <c r="G12106" s="87"/>
      <c r="H12106" s="90"/>
    </row>
    <row r="12107" spans="7:8">
      <c r="G12107" s="87"/>
      <c r="H12107" s="90"/>
    </row>
    <row r="12108" spans="7:8">
      <c r="G12108" s="87"/>
      <c r="H12108" s="90"/>
    </row>
    <row r="12109" spans="7:8">
      <c r="G12109" s="87"/>
      <c r="H12109" s="90"/>
    </row>
    <row r="12110" spans="7:8">
      <c r="G12110" s="87"/>
      <c r="H12110" s="90"/>
    </row>
    <row r="12111" spans="7:8">
      <c r="G12111" s="87"/>
      <c r="H12111" s="90"/>
    </row>
    <row r="12112" spans="7:8">
      <c r="G12112" s="87"/>
      <c r="H12112" s="90"/>
    </row>
    <row r="12113" spans="7:8">
      <c r="G12113" s="87"/>
      <c r="H12113" s="90"/>
    </row>
    <row r="12114" spans="7:8">
      <c r="G12114" s="87"/>
      <c r="H12114" s="90"/>
    </row>
    <row r="12115" spans="7:8">
      <c r="G12115" s="87"/>
      <c r="H12115" s="90"/>
    </row>
    <row r="12116" spans="7:8">
      <c r="G12116" s="87"/>
      <c r="H12116" s="90"/>
    </row>
    <row r="12117" spans="7:8">
      <c r="G12117" s="87"/>
      <c r="H12117" s="90"/>
    </row>
    <row r="12118" spans="7:8">
      <c r="G12118" s="87"/>
      <c r="H12118" s="90"/>
    </row>
    <row r="12119" spans="7:8">
      <c r="G12119" s="87"/>
      <c r="H12119" s="90"/>
    </row>
    <row r="12120" spans="7:8">
      <c r="G12120" s="87"/>
      <c r="H12120" s="90"/>
    </row>
    <row r="12121" spans="7:8">
      <c r="G12121" s="87"/>
      <c r="H12121" s="90"/>
    </row>
    <row r="12122" spans="7:8">
      <c r="G12122" s="87"/>
      <c r="H12122" s="90"/>
    </row>
    <row r="12123" spans="7:8">
      <c r="G12123" s="87"/>
      <c r="H12123" s="90"/>
    </row>
    <row r="12124" spans="7:8">
      <c r="G12124" s="87"/>
      <c r="H12124" s="90"/>
    </row>
    <row r="12125" spans="7:8">
      <c r="G12125" s="87"/>
      <c r="H12125" s="90"/>
    </row>
    <row r="12126" spans="7:8">
      <c r="G12126" s="87"/>
      <c r="H12126" s="90"/>
    </row>
    <row r="12127" spans="7:8">
      <c r="G12127" s="87"/>
      <c r="H12127" s="90"/>
    </row>
    <row r="12128" spans="7:8">
      <c r="G12128" s="87"/>
      <c r="H12128" s="90"/>
    </row>
    <row r="12129" spans="7:8">
      <c r="G12129" s="87"/>
      <c r="H12129" s="90"/>
    </row>
    <row r="12130" spans="7:8">
      <c r="G12130" s="87"/>
      <c r="H12130" s="90"/>
    </row>
    <row r="12131" spans="7:8">
      <c r="G12131" s="87"/>
      <c r="H12131" s="90"/>
    </row>
    <row r="12132" spans="7:8">
      <c r="G12132" s="87"/>
      <c r="H12132" s="90"/>
    </row>
    <row r="12133" spans="7:8">
      <c r="G12133" s="87"/>
      <c r="H12133" s="90"/>
    </row>
    <row r="12134" spans="7:8">
      <c r="G12134" s="87"/>
      <c r="H12134" s="90"/>
    </row>
    <row r="12135" spans="7:8">
      <c r="G12135" s="87"/>
      <c r="H12135" s="90"/>
    </row>
    <row r="12136" spans="7:8">
      <c r="G12136" s="87"/>
      <c r="H12136" s="90"/>
    </row>
    <row r="12137" spans="7:8">
      <c r="G12137" s="87"/>
      <c r="H12137" s="90"/>
    </row>
    <row r="12138" spans="7:8">
      <c r="G12138" s="87"/>
      <c r="H12138" s="90"/>
    </row>
    <row r="12139" spans="7:8">
      <c r="G12139" s="87"/>
      <c r="H12139" s="90"/>
    </row>
    <row r="12140" spans="7:8">
      <c r="G12140" s="87"/>
      <c r="H12140" s="90"/>
    </row>
    <row r="12141" spans="7:8">
      <c r="G12141" s="87"/>
      <c r="H12141" s="90"/>
    </row>
    <row r="12142" spans="7:8">
      <c r="G12142" s="87"/>
      <c r="H12142" s="90"/>
    </row>
    <row r="12143" spans="7:8">
      <c r="G12143" s="87"/>
      <c r="H12143" s="90"/>
    </row>
    <row r="12144" spans="7:8">
      <c r="G12144" s="87"/>
      <c r="H12144" s="90"/>
    </row>
    <row r="12145" spans="7:8">
      <c r="G12145" s="87"/>
      <c r="H12145" s="90"/>
    </row>
    <row r="12146" spans="7:8">
      <c r="G12146" s="87"/>
      <c r="H12146" s="90"/>
    </row>
    <row r="12147" spans="7:8">
      <c r="G12147" s="87"/>
      <c r="H12147" s="90"/>
    </row>
    <row r="12148" spans="7:8">
      <c r="G12148" s="87"/>
      <c r="H12148" s="90"/>
    </row>
    <row r="12149" spans="7:8">
      <c r="G12149" s="87"/>
      <c r="H12149" s="90"/>
    </row>
    <row r="12150" spans="7:8">
      <c r="G12150" s="87"/>
      <c r="H12150" s="90"/>
    </row>
    <row r="12151" spans="7:8">
      <c r="G12151" s="87"/>
      <c r="H12151" s="90"/>
    </row>
    <row r="12152" spans="7:8">
      <c r="G12152" s="87"/>
      <c r="H12152" s="90"/>
    </row>
    <row r="12153" spans="7:8">
      <c r="G12153" s="87"/>
      <c r="H12153" s="90"/>
    </row>
    <row r="12154" spans="7:8">
      <c r="G12154" s="87"/>
      <c r="H12154" s="90"/>
    </row>
    <row r="12155" spans="7:8">
      <c r="G12155" s="87"/>
      <c r="H12155" s="90"/>
    </row>
    <row r="12156" spans="7:8">
      <c r="G12156" s="87"/>
      <c r="H12156" s="90"/>
    </row>
    <row r="12157" spans="7:8">
      <c r="G12157" s="87"/>
      <c r="H12157" s="90"/>
    </row>
    <row r="12158" spans="7:8">
      <c r="G12158" s="87"/>
      <c r="H12158" s="90"/>
    </row>
    <row r="12159" spans="7:8">
      <c r="G12159" s="87"/>
      <c r="H12159" s="90"/>
    </row>
    <row r="12160" spans="7:8">
      <c r="G12160" s="87"/>
      <c r="H12160" s="90"/>
    </row>
    <row r="12161" spans="7:8">
      <c r="G12161" s="87"/>
      <c r="H12161" s="90"/>
    </row>
    <row r="12162" spans="7:8">
      <c r="G12162" s="87"/>
      <c r="H12162" s="90"/>
    </row>
    <row r="12163" spans="7:8">
      <c r="G12163" s="87"/>
      <c r="H12163" s="90"/>
    </row>
    <row r="12164" spans="7:8">
      <c r="G12164" s="87"/>
      <c r="H12164" s="90"/>
    </row>
    <row r="12165" spans="7:8">
      <c r="G12165" s="87"/>
      <c r="H12165" s="90"/>
    </row>
    <row r="12166" spans="7:8">
      <c r="G12166" s="87"/>
      <c r="H12166" s="90"/>
    </row>
    <row r="12167" spans="7:8">
      <c r="G12167" s="87"/>
      <c r="H12167" s="90"/>
    </row>
    <row r="12168" spans="7:8">
      <c r="G12168" s="87"/>
      <c r="H12168" s="90"/>
    </row>
    <row r="12169" spans="7:8">
      <c r="G12169" s="87"/>
      <c r="H12169" s="90"/>
    </row>
    <row r="12170" spans="7:8">
      <c r="G12170" s="87"/>
      <c r="H12170" s="90"/>
    </row>
    <row r="12171" spans="7:8">
      <c r="G12171" s="87"/>
      <c r="H12171" s="90"/>
    </row>
    <row r="12172" spans="7:8">
      <c r="G12172" s="87"/>
      <c r="H12172" s="90"/>
    </row>
    <row r="12173" spans="7:8">
      <c r="G12173" s="87"/>
      <c r="H12173" s="90"/>
    </row>
    <row r="12174" spans="7:8">
      <c r="G12174" s="87"/>
      <c r="H12174" s="90"/>
    </row>
    <row r="12175" spans="7:8">
      <c r="G12175" s="87"/>
      <c r="H12175" s="90"/>
    </row>
    <row r="12176" spans="7:8">
      <c r="G12176" s="87"/>
      <c r="H12176" s="90"/>
    </row>
    <row r="12177" spans="7:8">
      <c r="G12177" s="87"/>
      <c r="H12177" s="90"/>
    </row>
    <row r="12178" spans="7:8">
      <c r="G12178" s="87"/>
      <c r="H12178" s="90"/>
    </row>
    <row r="12179" spans="7:8">
      <c r="G12179" s="87"/>
      <c r="H12179" s="90"/>
    </row>
    <row r="12180" spans="7:8">
      <c r="G12180" s="87"/>
      <c r="H12180" s="90"/>
    </row>
    <row r="12181" spans="7:8">
      <c r="G12181" s="87"/>
      <c r="H12181" s="90"/>
    </row>
    <row r="12182" spans="7:8">
      <c r="G12182" s="87"/>
      <c r="H12182" s="90"/>
    </row>
    <row r="12183" spans="7:8">
      <c r="G12183" s="87"/>
      <c r="H12183" s="90"/>
    </row>
    <row r="12184" spans="7:8">
      <c r="G12184" s="87"/>
      <c r="H12184" s="90"/>
    </row>
    <row r="12185" spans="7:8">
      <c r="G12185" s="87"/>
      <c r="H12185" s="90"/>
    </row>
    <row r="12186" spans="7:8">
      <c r="G12186" s="87"/>
      <c r="H12186" s="90"/>
    </row>
    <row r="12187" spans="7:8">
      <c r="G12187" s="87"/>
      <c r="H12187" s="90"/>
    </row>
    <row r="12188" spans="7:8">
      <c r="G12188" s="87"/>
      <c r="H12188" s="90"/>
    </row>
    <row r="12189" spans="7:8">
      <c r="G12189" s="87"/>
      <c r="H12189" s="90"/>
    </row>
    <row r="12190" spans="7:8">
      <c r="G12190" s="87"/>
      <c r="H12190" s="90"/>
    </row>
    <row r="12191" spans="7:8">
      <c r="G12191" s="87"/>
      <c r="H12191" s="90"/>
    </row>
    <row r="12192" spans="7:8">
      <c r="G12192" s="87"/>
      <c r="H12192" s="90"/>
    </row>
    <row r="12193" spans="7:8">
      <c r="G12193" s="87"/>
      <c r="H12193" s="90"/>
    </row>
    <row r="12194" spans="7:8">
      <c r="G12194" s="87"/>
      <c r="H12194" s="90"/>
    </row>
    <row r="12195" spans="7:8">
      <c r="G12195" s="87"/>
      <c r="H12195" s="90"/>
    </row>
    <row r="12196" spans="7:8">
      <c r="G12196" s="87"/>
      <c r="H12196" s="90"/>
    </row>
    <row r="12197" spans="7:8">
      <c r="G12197" s="87"/>
      <c r="H12197" s="90"/>
    </row>
    <row r="12198" spans="7:8">
      <c r="G12198" s="87"/>
      <c r="H12198" s="90"/>
    </row>
    <row r="12199" spans="7:8">
      <c r="G12199" s="87"/>
      <c r="H12199" s="90"/>
    </row>
    <row r="12200" spans="7:8">
      <c r="G12200" s="87"/>
      <c r="H12200" s="90"/>
    </row>
    <row r="12201" spans="7:8">
      <c r="G12201" s="87"/>
      <c r="H12201" s="90"/>
    </row>
    <row r="12202" spans="7:8">
      <c r="G12202" s="87"/>
      <c r="H12202" s="90"/>
    </row>
    <row r="12203" spans="7:8">
      <c r="G12203" s="87"/>
      <c r="H12203" s="90"/>
    </row>
    <row r="12204" spans="7:8">
      <c r="G12204" s="87"/>
      <c r="H12204" s="90"/>
    </row>
    <row r="12205" spans="7:8">
      <c r="G12205" s="87"/>
      <c r="H12205" s="90"/>
    </row>
    <row r="12206" spans="7:8">
      <c r="G12206" s="87"/>
      <c r="H12206" s="90"/>
    </row>
    <row r="12207" spans="7:8">
      <c r="G12207" s="87"/>
      <c r="H12207" s="90"/>
    </row>
    <row r="12208" spans="7:8">
      <c r="G12208" s="87"/>
      <c r="H12208" s="90"/>
    </row>
    <row r="12209" spans="7:8">
      <c r="G12209" s="87"/>
      <c r="H12209" s="90"/>
    </row>
    <row r="12210" spans="7:8">
      <c r="G12210" s="87"/>
      <c r="H12210" s="90"/>
    </row>
    <row r="12211" spans="7:8">
      <c r="G12211" s="87"/>
      <c r="H12211" s="90"/>
    </row>
    <row r="12212" spans="7:8">
      <c r="G12212" s="87"/>
      <c r="H12212" s="90"/>
    </row>
    <row r="12213" spans="7:8">
      <c r="G12213" s="87"/>
      <c r="H12213" s="90"/>
    </row>
    <row r="12214" spans="7:8">
      <c r="G12214" s="87"/>
      <c r="H12214" s="90"/>
    </row>
    <row r="12215" spans="7:8">
      <c r="G12215" s="87"/>
      <c r="H12215" s="90"/>
    </row>
    <row r="12216" spans="7:8">
      <c r="G12216" s="87"/>
      <c r="H12216" s="90"/>
    </row>
    <row r="12217" spans="7:8">
      <c r="G12217" s="87"/>
      <c r="H12217" s="90"/>
    </row>
    <row r="12218" spans="7:8">
      <c r="G12218" s="87"/>
      <c r="H12218" s="90"/>
    </row>
    <row r="12219" spans="7:8">
      <c r="G12219" s="87"/>
      <c r="H12219" s="90"/>
    </row>
    <row r="12220" spans="7:8">
      <c r="G12220" s="87"/>
      <c r="H12220" s="90"/>
    </row>
    <row r="12221" spans="7:8">
      <c r="G12221" s="87"/>
      <c r="H12221" s="90"/>
    </row>
    <row r="12222" spans="7:8">
      <c r="G12222" s="87"/>
      <c r="H12222" s="90"/>
    </row>
    <row r="12223" spans="7:8">
      <c r="G12223" s="87"/>
      <c r="H12223" s="90"/>
    </row>
    <row r="12224" spans="7:8">
      <c r="G12224" s="87"/>
      <c r="H12224" s="90"/>
    </row>
    <row r="12225" spans="7:8">
      <c r="G12225" s="87"/>
      <c r="H12225" s="90"/>
    </row>
    <row r="12226" spans="7:8">
      <c r="G12226" s="87"/>
      <c r="H12226" s="90"/>
    </row>
    <row r="12227" spans="7:8">
      <c r="G12227" s="87"/>
      <c r="H12227" s="90"/>
    </row>
    <row r="12228" spans="7:8">
      <c r="G12228" s="87"/>
      <c r="H12228" s="90"/>
    </row>
    <row r="12229" spans="7:8">
      <c r="G12229" s="87"/>
      <c r="H12229" s="90"/>
    </row>
    <row r="12230" spans="7:8">
      <c r="G12230" s="87"/>
      <c r="H12230" s="90"/>
    </row>
    <row r="12231" spans="7:8">
      <c r="G12231" s="87"/>
      <c r="H12231" s="90"/>
    </row>
    <row r="12232" spans="7:8">
      <c r="G12232" s="87"/>
      <c r="H12232" s="90"/>
    </row>
    <row r="12233" spans="7:8">
      <c r="G12233" s="87"/>
      <c r="H12233" s="90"/>
    </row>
    <row r="12234" spans="7:8">
      <c r="G12234" s="87"/>
      <c r="H12234" s="90"/>
    </row>
    <row r="12235" spans="7:8">
      <c r="G12235" s="87"/>
      <c r="H12235" s="90"/>
    </row>
    <row r="12236" spans="7:8">
      <c r="G12236" s="87"/>
      <c r="H12236" s="90"/>
    </row>
    <row r="12237" spans="7:8">
      <c r="G12237" s="87"/>
      <c r="H12237" s="90"/>
    </row>
    <row r="12238" spans="7:8">
      <c r="G12238" s="87"/>
      <c r="H12238" s="90"/>
    </row>
    <row r="12239" spans="7:8">
      <c r="G12239" s="87"/>
      <c r="H12239" s="90"/>
    </row>
    <row r="12240" spans="7:8">
      <c r="G12240" s="87"/>
      <c r="H12240" s="90"/>
    </row>
    <row r="12241" spans="7:8">
      <c r="G12241" s="87"/>
      <c r="H12241" s="90"/>
    </row>
    <row r="12242" spans="7:8">
      <c r="G12242" s="87"/>
      <c r="H12242" s="90"/>
    </row>
    <row r="12243" spans="7:8">
      <c r="G12243" s="87"/>
      <c r="H12243" s="90"/>
    </row>
    <row r="12244" spans="7:8">
      <c r="G12244" s="87"/>
      <c r="H12244" s="90"/>
    </row>
    <row r="12245" spans="7:8">
      <c r="G12245" s="87"/>
      <c r="H12245" s="90"/>
    </row>
    <row r="12246" spans="7:8">
      <c r="G12246" s="87"/>
      <c r="H12246" s="90"/>
    </row>
    <row r="12247" spans="7:8">
      <c r="G12247" s="87"/>
      <c r="H12247" s="90"/>
    </row>
    <row r="12248" spans="7:8">
      <c r="G12248" s="87"/>
      <c r="H12248" s="90"/>
    </row>
    <row r="12249" spans="7:8">
      <c r="G12249" s="87"/>
      <c r="H12249" s="90"/>
    </row>
    <row r="12250" spans="7:8">
      <c r="G12250" s="87"/>
      <c r="H12250" s="90"/>
    </row>
    <row r="12251" spans="7:8">
      <c r="G12251" s="87"/>
      <c r="H12251" s="90"/>
    </row>
    <row r="12252" spans="7:8">
      <c r="G12252" s="87"/>
      <c r="H12252" s="90"/>
    </row>
    <row r="12253" spans="7:8">
      <c r="G12253" s="87"/>
      <c r="H12253" s="90"/>
    </row>
    <row r="12254" spans="7:8">
      <c r="G12254" s="87"/>
      <c r="H12254" s="90"/>
    </row>
    <row r="12255" spans="7:8">
      <c r="G12255" s="87"/>
      <c r="H12255" s="90"/>
    </row>
    <row r="12256" spans="7:8">
      <c r="G12256" s="87"/>
      <c r="H12256" s="90"/>
    </row>
    <row r="12257" spans="7:8">
      <c r="G12257" s="87"/>
      <c r="H12257" s="90"/>
    </row>
    <row r="12258" spans="7:8">
      <c r="G12258" s="87"/>
      <c r="H12258" s="90"/>
    </row>
    <row r="12259" spans="7:8">
      <c r="G12259" s="87"/>
      <c r="H12259" s="90"/>
    </row>
    <row r="12260" spans="7:8">
      <c r="G12260" s="87"/>
      <c r="H12260" s="90"/>
    </row>
    <row r="12261" spans="7:8">
      <c r="G12261" s="87"/>
      <c r="H12261" s="90"/>
    </row>
    <row r="12262" spans="7:8">
      <c r="G12262" s="87"/>
      <c r="H12262" s="90"/>
    </row>
    <row r="12263" spans="7:8">
      <c r="G12263" s="87"/>
      <c r="H12263" s="90"/>
    </row>
    <row r="12264" spans="7:8">
      <c r="G12264" s="87"/>
      <c r="H12264" s="90"/>
    </row>
    <row r="12265" spans="7:8">
      <c r="G12265" s="87"/>
      <c r="H12265" s="90"/>
    </row>
    <row r="12266" spans="7:8">
      <c r="G12266" s="87"/>
      <c r="H12266" s="90"/>
    </row>
    <row r="12267" spans="7:8">
      <c r="G12267" s="87"/>
      <c r="H12267" s="90"/>
    </row>
    <row r="12268" spans="7:8">
      <c r="G12268" s="87"/>
      <c r="H12268" s="90"/>
    </row>
    <row r="12269" spans="7:8">
      <c r="G12269" s="87"/>
      <c r="H12269" s="90"/>
    </row>
    <row r="12270" spans="7:8">
      <c r="G12270" s="87"/>
      <c r="H12270" s="90"/>
    </row>
    <row r="12271" spans="7:8">
      <c r="G12271" s="87"/>
      <c r="H12271" s="90"/>
    </row>
    <row r="12272" spans="7:8">
      <c r="G12272" s="87"/>
      <c r="H12272" s="90"/>
    </row>
    <row r="12273" spans="7:8">
      <c r="G12273" s="87"/>
      <c r="H12273" s="90"/>
    </row>
    <row r="12274" spans="7:8">
      <c r="G12274" s="87"/>
      <c r="H12274" s="90"/>
    </row>
    <row r="12275" spans="7:8">
      <c r="G12275" s="87"/>
      <c r="H12275" s="90"/>
    </row>
    <row r="12276" spans="7:8">
      <c r="G12276" s="87"/>
      <c r="H12276" s="90"/>
    </row>
    <row r="12277" spans="7:8">
      <c r="G12277" s="87"/>
      <c r="H12277" s="90"/>
    </row>
    <row r="12278" spans="7:8">
      <c r="G12278" s="87"/>
      <c r="H12278" s="90"/>
    </row>
    <row r="12279" spans="7:8">
      <c r="G12279" s="87"/>
      <c r="H12279" s="90"/>
    </row>
    <row r="12280" spans="7:8">
      <c r="G12280" s="87"/>
      <c r="H12280" s="90"/>
    </row>
    <row r="12281" spans="7:8">
      <c r="G12281" s="87"/>
      <c r="H12281" s="90"/>
    </row>
    <row r="12282" spans="7:8">
      <c r="G12282" s="87"/>
      <c r="H12282" s="90"/>
    </row>
    <row r="12283" spans="7:8">
      <c r="G12283" s="87"/>
      <c r="H12283" s="90"/>
    </row>
    <row r="12284" spans="7:8">
      <c r="G12284" s="87"/>
      <c r="H12284" s="90"/>
    </row>
    <row r="12285" spans="7:8">
      <c r="G12285" s="87"/>
      <c r="H12285" s="90"/>
    </row>
    <row r="12286" spans="7:8">
      <c r="G12286" s="87"/>
      <c r="H12286" s="90"/>
    </row>
    <row r="12287" spans="7:8">
      <c r="G12287" s="87"/>
      <c r="H12287" s="90"/>
    </row>
    <row r="12288" spans="7:8">
      <c r="G12288" s="87"/>
      <c r="H12288" s="90"/>
    </row>
    <row r="12289" spans="7:8">
      <c r="G12289" s="87"/>
      <c r="H12289" s="90"/>
    </row>
    <row r="12290" spans="7:8">
      <c r="G12290" s="87"/>
      <c r="H12290" s="90"/>
    </row>
    <row r="12291" spans="7:8">
      <c r="G12291" s="87"/>
      <c r="H12291" s="90"/>
    </row>
    <row r="12292" spans="7:8">
      <c r="G12292" s="87"/>
      <c r="H12292" s="90"/>
    </row>
    <row r="12293" spans="7:8">
      <c r="G12293" s="87"/>
      <c r="H12293" s="90"/>
    </row>
    <row r="12294" spans="7:8">
      <c r="G12294" s="87"/>
      <c r="H12294" s="90"/>
    </row>
    <row r="12295" spans="7:8">
      <c r="G12295" s="87"/>
      <c r="H12295" s="90"/>
    </row>
    <row r="12296" spans="7:8">
      <c r="G12296" s="87"/>
      <c r="H12296" s="90"/>
    </row>
    <row r="12297" spans="7:8">
      <c r="G12297" s="87"/>
      <c r="H12297" s="90"/>
    </row>
    <row r="12298" spans="7:8">
      <c r="G12298" s="87"/>
      <c r="H12298" s="90"/>
    </row>
    <row r="12299" spans="7:8">
      <c r="G12299" s="87"/>
      <c r="H12299" s="90"/>
    </row>
    <row r="12300" spans="7:8">
      <c r="G12300" s="87"/>
      <c r="H12300" s="90"/>
    </row>
    <row r="12301" spans="7:8">
      <c r="G12301" s="87"/>
      <c r="H12301" s="90"/>
    </row>
    <row r="12302" spans="7:8">
      <c r="G12302" s="87"/>
      <c r="H12302" s="90"/>
    </row>
    <row r="12303" spans="7:8">
      <c r="G12303" s="87"/>
      <c r="H12303" s="90"/>
    </row>
    <row r="12304" spans="7:8">
      <c r="G12304" s="87"/>
      <c r="H12304" s="90"/>
    </row>
    <row r="12305" spans="7:8">
      <c r="G12305" s="87"/>
      <c r="H12305" s="90"/>
    </row>
    <row r="12306" spans="7:8">
      <c r="G12306" s="87"/>
      <c r="H12306" s="90"/>
    </row>
    <row r="12307" spans="7:8">
      <c r="G12307" s="87"/>
      <c r="H12307" s="90"/>
    </row>
    <row r="12308" spans="7:8">
      <c r="G12308" s="87"/>
      <c r="H12308" s="90"/>
    </row>
    <row r="12309" spans="7:8">
      <c r="G12309" s="87"/>
      <c r="H12309" s="90"/>
    </row>
    <row r="12310" spans="7:8">
      <c r="G12310" s="87"/>
      <c r="H12310" s="90"/>
    </row>
    <row r="12311" spans="7:8">
      <c r="G12311" s="87"/>
      <c r="H12311" s="90"/>
    </row>
    <row r="12312" spans="7:8">
      <c r="G12312" s="87"/>
      <c r="H12312" s="90"/>
    </row>
    <row r="12313" spans="7:8">
      <c r="G12313" s="87"/>
      <c r="H12313" s="90"/>
    </row>
    <row r="12314" spans="7:8">
      <c r="G12314" s="87"/>
      <c r="H12314" s="90"/>
    </row>
    <row r="12315" spans="7:8">
      <c r="G12315" s="87"/>
      <c r="H12315" s="90"/>
    </row>
    <row r="12316" spans="7:8">
      <c r="G12316" s="87"/>
      <c r="H12316" s="90"/>
    </row>
    <row r="12317" spans="7:8">
      <c r="G12317" s="87"/>
      <c r="H12317" s="90"/>
    </row>
    <row r="12318" spans="7:8">
      <c r="G12318" s="87"/>
      <c r="H12318" s="90"/>
    </row>
    <row r="12319" spans="7:8">
      <c r="G12319" s="87"/>
      <c r="H12319" s="90"/>
    </row>
    <row r="12320" spans="7:8">
      <c r="G12320" s="87"/>
      <c r="H12320" s="90"/>
    </row>
    <row r="12321" spans="7:8">
      <c r="G12321" s="87"/>
      <c r="H12321" s="90"/>
    </row>
    <row r="12322" spans="7:8">
      <c r="G12322" s="87"/>
      <c r="H12322" s="90"/>
    </row>
    <row r="12323" spans="7:8">
      <c r="G12323" s="87"/>
      <c r="H12323" s="90"/>
    </row>
    <row r="12324" spans="7:8">
      <c r="G12324" s="87"/>
      <c r="H12324" s="90"/>
    </row>
    <row r="12325" spans="7:8">
      <c r="G12325" s="87"/>
      <c r="H12325" s="90"/>
    </row>
    <row r="12326" spans="7:8">
      <c r="G12326" s="87"/>
      <c r="H12326" s="90"/>
    </row>
    <row r="12327" spans="7:8">
      <c r="G12327" s="87"/>
      <c r="H12327" s="90"/>
    </row>
    <row r="12328" spans="7:8">
      <c r="G12328" s="87"/>
      <c r="H12328" s="90"/>
    </row>
    <row r="12329" spans="7:8">
      <c r="G12329" s="87"/>
      <c r="H12329" s="90"/>
    </row>
    <row r="12330" spans="7:8">
      <c r="G12330" s="87"/>
      <c r="H12330" s="90"/>
    </row>
    <row r="12331" spans="7:8">
      <c r="G12331" s="87"/>
      <c r="H12331" s="90"/>
    </row>
    <row r="12332" spans="7:8">
      <c r="G12332" s="87"/>
      <c r="H12332" s="90"/>
    </row>
    <row r="12333" spans="7:8">
      <c r="G12333" s="87"/>
      <c r="H12333" s="90"/>
    </row>
    <row r="12334" spans="7:8">
      <c r="G12334" s="87"/>
      <c r="H12334" s="90"/>
    </row>
    <row r="12335" spans="7:8">
      <c r="G12335" s="87"/>
      <c r="H12335" s="90"/>
    </row>
    <row r="12336" spans="7:8">
      <c r="G12336" s="87"/>
      <c r="H12336" s="90"/>
    </row>
    <row r="12337" spans="7:8">
      <c r="G12337" s="87"/>
      <c r="H12337" s="90"/>
    </row>
    <row r="12338" spans="7:8">
      <c r="G12338" s="87"/>
      <c r="H12338" s="90"/>
    </row>
    <row r="12339" spans="7:8">
      <c r="G12339" s="87"/>
      <c r="H12339" s="90"/>
    </row>
    <row r="12340" spans="7:8">
      <c r="G12340" s="87"/>
      <c r="H12340" s="90"/>
    </row>
    <row r="12341" spans="7:8">
      <c r="G12341" s="87"/>
      <c r="H12341" s="90"/>
    </row>
    <row r="12342" spans="7:8">
      <c r="G12342" s="87"/>
      <c r="H12342" s="90"/>
    </row>
    <row r="12343" spans="7:8">
      <c r="G12343" s="87"/>
      <c r="H12343" s="90"/>
    </row>
    <row r="12344" spans="7:8">
      <c r="G12344" s="87"/>
      <c r="H12344" s="90"/>
    </row>
    <row r="12345" spans="7:8">
      <c r="G12345" s="87"/>
      <c r="H12345" s="90"/>
    </row>
    <row r="12346" spans="7:8">
      <c r="G12346" s="87"/>
      <c r="H12346" s="90"/>
    </row>
    <row r="12347" spans="7:8">
      <c r="G12347" s="87"/>
      <c r="H12347" s="90"/>
    </row>
    <row r="12348" spans="7:8">
      <c r="G12348" s="87"/>
      <c r="H12348" s="90"/>
    </row>
    <row r="12349" spans="7:8">
      <c r="G12349" s="87"/>
      <c r="H12349" s="90"/>
    </row>
    <row r="12350" spans="7:8">
      <c r="G12350" s="87"/>
      <c r="H12350" s="90"/>
    </row>
    <row r="12351" spans="7:8">
      <c r="G12351" s="87"/>
      <c r="H12351" s="90"/>
    </row>
    <row r="12352" spans="7:8">
      <c r="G12352" s="87"/>
      <c r="H12352" s="90"/>
    </row>
    <row r="12353" spans="7:8">
      <c r="G12353" s="87"/>
      <c r="H12353" s="90"/>
    </row>
    <row r="12354" spans="7:8">
      <c r="G12354" s="87"/>
      <c r="H12354" s="90"/>
    </row>
    <row r="12355" spans="7:8">
      <c r="G12355" s="87"/>
      <c r="H12355" s="90"/>
    </row>
    <row r="12356" spans="7:8">
      <c r="G12356" s="87"/>
      <c r="H12356" s="90"/>
    </row>
    <row r="12357" spans="7:8">
      <c r="G12357" s="87"/>
      <c r="H12357" s="90"/>
    </row>
    <row r="12358" spans="7:8">
      <c r="G12358" s="87"/>
      <c r="H12358" s="90"/>
    </row>
    <row r="12359" spans="7:8">
      <c r="G12359" s="87"/>
      <c r="H12359" s="90"/>
    </row>
    <row r="12360" spans="7:8">
      <c r="G12360" s="87"/>
      <c r="H12360" s="90"/>
    </row>
    <row r="12361" spans="7:8">
      <c r="G12361" s="87"/>
      <c r="H12361" s="90"/>
    </row>
    <row r="12362" spans="7:8">
      <c r="G12362" s="87"/>
      <c r="H12362" s="90"/>
    </row>
    <row r="12363" spans="7:8">
      <c r="G12363" s="87"/>
      <c r="H12363" s="90"/>
    </row>
    <row r="12364" spans="7:8">
      <c r="G12364" s="87"/>
      <c r="H12364" s="90"/>
    </row>
    <row r="12365" spans="7:8">
      <c r="G12365" s="87"/>
      <c r="H12365" s="90"/>
    </row>
    <row r="12366" spans="7:8">
      <c r="G12366" s="87"/>
      <c r="H12366" s="90"/>
    </row>
    <row r="12367" spans="7:8">
      <c r="G12367" s="87"/>
      <c r="H12367" s="90"/>
    </row>
    <row r="12368" spans="7:8">
      <c r="G12368" s="87"/>
      <c r="H12368" s="90"/>
    </row>
    <row r="12369" spans="7:8">
      <c r="G12369" s="87"/>
      <c r="H12369" s="90"/>
    </row>
    <row r="12370" spans="7:8">
      <c r="G12370" s="87"/>
      <c r="H12370" s="90"/>
    </row>
    <row r="12371" spans="7:8">
      <c r="G12371" s="87"/>
      <c r="H12371" s="90"/>
    </row>
    <row r="12372" spans="7:8">
      <c r="G12372" s="87"/>
      <c r="H12372" s="90"/>
    </row>
    <row r="12373" spans="7:8">
      <c r="G12373" s="87"/>
      <c r="H12373" s="90"/>
    </row>
    <row r="12374" spans="7:8">
      <c r="G12374" s="87"/>
      <c r="H12374" s="90"/>
    </row>
    <row r="12375" spans="7:8">
      <c r="G12375" s="87"/>
      <c r="H12375" s="90"/>
    </row>
    <row r="12376" spans="7:8">
      <c r="G12376" s="87"/>
      <c r="H12376" s="90"/>
    </row>
    <row r="12377" spans="7:8">
      <c r="G12377" s="87"/>
      <c r="H12377" s="90"/>
    </row>
    <row r="12378" spans="7:8">
      <c r="G12378" s="87"/>
      <c r="H12378" s="90"/>
    </row>
    <row r="12379" spans="7:8">
      <c r="G12379" s="87"/>
      <c r="H12379" s="90"/>
    </row>
    <row r="12380" spans="7:8">
      <c r="G12380" s="87"/>
      <c r="H12380" s="90"/>
    </row>
    <row r="12381" spans="7:8">
      <c r="G12381" s="87"/>
      <c r="H12381" s="90"/>
    </row>
    <row r="12382" spans="7:8">
      <c r="G12382" s="87"/>
      <c r="H12382" s="90"/>
    </row>
    <row r="12383" spans="7:8">
      <c r="G12383" s="87"/>
      <c r="H12383" s="90"/>
    </row>
    <row r="12384" spans="7:8">
      <c r="G12384" s="87"/>
      <c r="H12384" s="90"/>
    </row>
    <row r="12385" spans="7:8">
      <c r="G12385" s="87"/>
      <c r="H12385" s="90"/>
    </row>
    <row r="12386" spans="7:8">
      <c r="G12386" s="87"/>
      <c r="H12386" s="90"/>
    </row>
    <row r="12387" spans="7:8">
      <c r="G12387" s="87"/>
      <c r="H12387" s="90"/>
    </row>
    <row r="12388" spans="7:8">
      <c r="G12388" s="87"/>
      <c r="H12388" s="90"/>
    </row>
    <row r="12389" spans="7:8">
      <c r="G12389" s="87"/>
      <c r="H12389" s="90"/>
    </row>
    <row r="12390" spans="7:8">
      <c r="G12390" s="87"/>
      <c r="H12390" s="90"/>
    </row>
    <row r="12391" spans="7:8">
      <c r="G12391" s="87"/>
      <c r="H12391" s="90"/>
    </row>
    <row r="12392" spans="7:8">
      <c r="G12392" s="87"/>
      <c r="H12392" s="90"/>
    </row>
    <row r="12393" spans="7:8">
      <c r="G12393" s="87"/>
      <c r="H12393" s="90"/>
    </row>
    <row r="12394" spans="7:8">
      <c r="G12394" s="87"/>
      <c r="H12394" s="90"/>
    </row>
    <row r="12395" spans="7:8">
      <c r="G12395" s="87"/>
      <c r="H12395" s="90"/>
    </row>
    <row r="12396" spans="7:8">
      <c r="G12396" s="87"/>
      <c r="H12396" s="90"/>
    </row>
    <row r="12397" spans="7:8">
      <c r="G12397" s="87"/>
      <c r="H12397" s="90"/>
    </row>
    <row r="12398" spans="7:8">
      <c r="G12398" s="87"/>
      <c r="H12398" s="90"/>
    </row>
    <row r="12399" spans="7:8">
      <c r="G12399" s="87"/>
      <c r="H12399" s="90"/>
    </row>
    <row r="12400" spans="7:8">
      <c r="G12400" s="87"/>
      <c r="H12400" s="90"/>
    </row>
    <row r="12401" spans="7:8">
      <c r="G12401" s="87"/>
      <c r="H12401" s="90"/>
    </row>
    <row r="12402" spans="7:8">
      <c r="G12402" s="87"/>
      <c r="H12402" s="90"/>
    </row>
    <row r="12403" spans="7:8">
      <c r="G12403" s="87"/>
      <c r="H12403" s="90"/>
    </row>
    <row r="12404" spans="7:8">
      <c r="G12404" s="87"/>
      <c r="H12404" s="90"/>
    </row>
    <row r="12405" spans="7:8">
      <c r="G12405" s="87"/>
      <c r="H12405" s="90"/>
    </row>
    <row r="12406" spans="7:8">
      <c r="G12406" s="87"/>
      <c r="H12406" s="90"/>
    </row>
    <row r="12407" spans="7:8">
      <c r="G12407" s="87"/>
      <c r="H12407" s="90"/>
    </row>
    <row r="12408" spans="7:8">
      <c r="G12408" s="87"/>
      <c r="H12408" s="90"/>
    </row>
    <row r="12409" spans="7:8">
      <c r="G12409" s="87"/>
      <c r="H12409" s="90"/>
    </row>
    <row r="12410" spans="7:8">
      <c r="G12410" s="87"/>
      <c r="H12410" s="90"/>
    </row>
    <row r="12411" spans="7:8">
      <c r="G12411" s="87"/>
      <c r="H12411" s="90"/>
    </row>
    <row r="12412" spans="7:8">
      <c r="G12412" s="87"/>
      <c r="H12412" s="90"/>
    </row>
    <row r="12413" spans="7:8">
      <c r="G12413" s="87"/>
      <c r="H12413" s="90"/>
    </row>
    <row r="12414" spans="7:8">
      <c r="G12414" s="87"/>
      <c r="H12414" s="90"/>
    </row>
    <row r="12415" spans="7:8">
      <c r="G12415" s="87"/>
      <c r="H12415" s="90"/>
    </row>
    <row r="12416" spans="7:8">
      <c r="G12416" s="87"/>
      <c r="H12416" s="90"/>
    </row>
    <row r="12417" spans="7:8">
      <c r="G12417" s="87"/>
      <c r="H12417" s="90"/>
    </row>
    <row r="12418" spans="7:8">
      <c r="G12418" s="87"/>
      <c r="H12418" s="90"/>
    </row>
    <row r="12419" spans="7:8">
      <c r="G12419" s="87"/>
      <c r="H12419" s="90"/>
    </row>
    <row r="12420" spans="7:8">
      <c r="G12420" s="87"/>
      <c r="H12420" s="90"/>
    </row>
    <row r="12421" spans="7:8">
      <c r="G12421" s="87"/>
      <c r="H12421" s="90"/>
    </row>
    <row r="12422" spans="7:8">
      <c r="G12422" s="87"/>
      <c r="H12422" s="90"/>
    </row>
    <row r="12423" spans="7:8">
      <c r="G12423" s="87"/>
      <c r="H12423" s="90"/>
    </row>
    <row r="12424" spans="7:8">
      <c r="G12424" s="87"/>
      <c r="H12424" s="90"/>
    </row>
    <row r="12425" spans="7:8">
      <c r="G12425" s="87"/>
      <c r="H12425" s="90"/>
    </row>
    <row r="12426" spans="7:8">
      <c r="G12426" s="87"/>
      <c r="H12426" s="90"/>
    </row>
    <row r="12427" spans="7:8">
      <c r="G12427" s="87"/>
      <c r="H12427" s="90"/>
    </row>
    <row r="12428" spans="7:8">
      <c r="G12428" s="87"/>
      <c r="H12428" s="90"/>
    </row>
    <row r="12429" spans="7:8">
      <c r="G12429" s="87"/>
      <c r="H12429" s="90"/>
    </row>
    <row r="12430" spans="7:8">
      <c r="G12430" s="87"/>
      <c r="H12430" s="90"/>
    </row>
    <row r="12431" spans="7:8">
      <c r="G12431" s="87"/>
      <c r="H12431" s="90"/>
    </row>
    <row r="12432" spans="7:8">
      <c r="G12432" s="87"/>
      <c r="H12432" s="90"/>
    </row>
    <row r="12433" spans="7:8">
      <c r="G12433" s="87"/>
      <c r="H12433" s="90"/>
    </row>
    <row r="12434" spans="7:8">
      <c r="G12434" s="87"/>
      <c r="H12434" s="90"/>
    </row>
    <row r="12435" spans="7:8">
      <c r="G12435" s="87"/>
      <c r="H12435" s="90"/>
    </row>
    <row r="12436" spans="7:8">
      <c r="G12436" s="87"/>
      <c r="H12436" s="90"/>
    </row>
    <row r="12437" spans="7:8">
      <c r="G12437" s="87"/>
      <c r="H12437" s="90"/>
    </row>
    <row r="12438" spans="7:8">
      <c r="G12438" s="87"/>
      <c r="H12438" s="90"/>
    </row>
    <row r="12439" spans="7:8">
      <c r="G12439" s="87"/>
      <c r="H12439" s="90"/>
    </row>
    <row r="12440" spans="7:8">
      <c r="G12440" s="87"/>
      <c r="H12440" s="90"/>
    </row>
    <row r="12441" spans="7:8">
      <c r="G12441" s="87"/>
      <c r="H12441" s="90"/>
    </row>
    <row r="12442" spans="7:8">
      <c r="G12442" s="87"/>
      <c r="H12442" s="90"/>
    </row>
    <row r="12443" spans="7:8">
      <c r="G12443" s="87"/>
      <c r="H12443" s="90"/>
    </row>
    <row r="12444" spans="7:8">
      <c r="G12444" s="87"/>
      <c r="H12444" s="90"/>
    </row>
    <row r="12445" spans="7:8">
      <c r="G12445" s="87"/>
      <c r="H12445" s="90"/>
    </row>
    <row r="12446" spans="7:8">
      <c r="G12446" s="87"/>
      <c r="H12446" s="90"/>
    </row>
    <row r="12447" spans="7:8">
      <c r="G12447" s="87"/>
      <c r="H12447" s="90"/>
    </row>
    <row r="12448" spans="7:8">
      <c r="G12448" s="87"/>
      <c r="H12448" s="90"/>
    </row>
    <row r="12449" spans="7:8">
      <c r="G12449" s="87"/>
      <c r="H12449" s="90"/>
    </row>
    <row r="12450" spans="7:8">
      <c r="G12450" s="87"/>
      <c r="H12450" s="90"/>
    </row>
    <row r="12451" spans="7:8">
      <c r="G12451" s="87"/>
      <c r="H12451" s="90"/>
    </row>
    <row r="12452" spans="7:8">
      <c r="G12452" s="87"/>
      <c r="H12452" s="90"/>
    </row>
    <row r="12453" spans="7:8">
      <c r="G12453" s="87"/>
      <c r="H12453" s="90"/>
    </row>
    <row r="12454" spans="7:8">
      <c r="G12454" s="87"/>
      <c r="H12454" s="90"/>
    </row>
    <row r="12455" spans="7:8">
      <c r="G12455" s="87"/>
      <c r="H12455" s="90"/>
    </row>
    <row r="12456" spans="7:8">
      <c r="G12456" s="87"/>
      <c r="H12456" s="90"/>
    </row>
    <row r="12457" spans="7:8">
      <c r="G12457" s="87"/>
      <c r="H12457" s="90"/>
    </row>
    <row r="12458" spans="7:8">
      <c r="G12458" s="87"/>
      <c r="H12458" s="90"/>
    </row>
    <row r="12459" spans="7:8">
      <c r="G12459" s="87"/>
      <c r="H12459" s="90"/>
    </row>
    <row r="12460" spans="7:8">
      <c r="G12460" s="87"/>
      <c r="H12460" s="90"/>
    </row>
    <row r="12461" spans="7:8">
      <c r="G12461" s="87"/>
      <c r="H12461" s="90"/>
    </row>
    <row r="12462" spans="7:8">
      <c r="G12462" s="87"/>
      <c r="H12462" s="90"/>
    </row>
    <row r="12463" spans="7:8">
      <c r="G12463" s="87"/>
      <c r="H12463" s="90"/>
    </row>
    <row r="12464" spans="7:8">
      <c r="G12464" s="87"/>
      <c r="H12464" s="90"/>
    </row>
    <row r="12465" spans="7:8">
      <c r="G12465" s="87"/>
      <c r="H12465" s="90"/>
    </row>
    <row r="12466" spans="7:8">
      <c r="G12466" s="87"/>
      <c r="H12466" s="90"/>
    </row>
    <row r="12467" spans="7:8">
      <c r="G12467" s="87"/>
      <c r="H12467" s="90"/>
    </row>
    <row r="12468" spans="7:8">
      <c r="G12468" s="87"/>
      <c r="H12468" s="90"/>
    </row>
    <row r="12469" spans="7:8">
      <c r="G12469" s="87"/>
      <c r="H12469" s="90"/>
    </row>
    <row r="12470" spans="7:8">
      <c r="G12470" s="87"/>
      <c r="H12470" s="90"/>
    </row>
    <row r="12471" spans="7:8">
      <c r="G12471" s="87"/>
      <c r="H12471" s="90"/>
    </row>
    <row r="12472" spans="7:8">
      <c r="G12472" s="87"/>
      <c r="H12472" s="90"/>
    </row>
    <row r="12473" spans="7:8">
      <c r="G12473" s="87"/>
      <c r="H12473" s="90"/>
    </row>
    <row r="12474" spans="7:8">
      <c r="G12474" s="87"/>
      <c r="H12474" s="90"/>
    </row>
    <row r="12475" spans="7:8">
      <c r="G12475" s="87"/>
      <c r="H12475" s="90"/>
    </row>
    <row r="12476" spans="7:8">
      <c r="G12476" s="87"/>
      <c r="H12476" s="90"/>
    </row>
    <row r="12477" spans="7:8">
      <c r="G12477" s="87"/>
      <c r="H12477" s="90"/>
    </row>
    <row r="12478" spans="7:8">
      <c r="G12478" s="87"/>
      <c r="H12478" s="90"/>
    </row>
    <row r="12479" spans="7:8">
      <c r="G12479" s="87"/>
      <c r="H12479" s="90"/>
    </row>
    <row r="12480" spans="7:8">
      <c r="G12480" s="87"/>
      <c r="H12480" s="90"/>
    </row>
    <row r="12481" spans="7:8">
      <c r="G12481" s="87"/>
      <c r="H12481" s="90"/>
    </row>
    <row r="12482" spans="7:8">
      <c r="G12482" s="87"/>
      <c r="H12482" s="90"/>
    </row>
    <row r="12483" spans="7:8">
      <c r="G12483" s="87"/>
      <c r="H12483" s="90"/>
    </row>
    <row r="12484" spans="7:8">
      <c r="G12484" s="87"/>
      <c r="H12484" s="90"/>
    </row>
    <row r="12485" spans="7:8">
      <c r="G12485" s="87"/>
      <c r="H12485" s="90"/>
    </row>
    <row r="12486" spans="7:8">
      <c r="G12486" s="87"/>
      <c r="H12486" s="90"/>
    </row>
    <row r="12487" spans="7:8">
      <c r="G12487" s="87"/>
      <c r="H12487" s="90"/>
    </row>
    <row r="12488" spans="7:8">
      <c r="G12488" s="87"/>
      <c r="H12488" s="90"/>
    </row>
    <row r="12489" spans="7:8">
      <c r="G12489" s="87"/>
      <c r="H12489" s="90"/>
    </row>
    <row r="12490" spans="7:8">
      <c r="G12490" s="87"/>
      <c r="H12490" s="90"/>
    </row>
    <row r="12491" spans="7:8">
      <c r="G12491" s="87"/>
      <c r="H12491" s="90"/>
    </row>
    <row r="12492" spans="7:8">
      <c r="G12492" s="87"/>
      <c r="H12492" s="90"/>
    </row>
    <row r="12493" spans="7:8">
      <c r="G12493" s="87"/>
      <c r="H12493" s="90"/>
    </row>
    <row r="12494" spans="7:8">
      <c r="G12494" s="87"/>
      <c r="H12494" s="90"/>
    </row>
    <row r="12495" spans="7:8">
      <c r="G12495" s="87"/>
      <c r="H12495" s="90"/>
    </row>
    <row r="12496" spans="7:8">
      <c r="G12496" s="87"/>
      <c r="H12496" s="90"/>
    </row>
    <row r="12497" spans="7:8">
      <c r="G12497" s="87"/>
      <c r="H12497" s="90"/>
    </row>
    <row r="12498" spans="7:8">
      <c r="G12498" s="87"/>
      <c r="H12498" s="90"/>
    </row>
    <row r="12499" spans="7:8">
      <c r="G12499" s="87"/>
      <c r="H12499" s="90"/>
    </row>
    <row r="12500" spans="7:8">
      <c r="G12500" s="87"/>
      <c r="H12500" s="90"/>
    </row>
    <row r="12501" spans="7:8">
      <c r="G12501" s="87"/>
      <c r="H12501" s="90"/>
    </row>
    <row r="12502" spans="7:8">
      <c r="G12502" s="87"/>
      <c r="H12502" s="90"/>
    </row>
    <row r="12503" spans="7:8">
      <c r="G12503" s="87"/>
      <c r="H12503" s="90"/>
    </row>
    <row r="12504" spans="7:8">
      <c r="G12504" s="87"/>
      <c r="H12504" s="90"/>
    </row>
    <row r="12505" spans="7:8">
      <c r="G12505" s="87"/>
      <c r="H12505" s="90"/>
    </row>
    <row r="12506" spans="7:8">
      <c r="G12506" s="87"/>
      <c r="H12506" s="90"/>
    </row>
    <row r="12507" spans="7:8">
      <c r="G12507" s="87"/>
      <c r="H12507" s="90"/>
    </row>
    <row r="12508" spans="7:8">
      <c r="G12508" s="87"/>
      <c r="H12508" s="90"/>
    </row>
    <row r="12509" spans="7:8">
      <c r="G12509" s="87"/>
      <c r="H12509" s="90"/>
    </row>
    <row r="12510" spans="7:8">
      <c r="G12510" s="87"/>
      <c r="H12510" s="90"/>
    </row>
    <row r="12511" spans="7:8">
      <c r="G12511" s="87"/>
      <c r="H12511" s="90"/>
    </row>
    <row r="12512" spans="7:8">
      <c r="G12512" s="87"/>
      <c r="H12512" s="90"/>
    </row>
    <row r="12513" spans="7:8">
      <c r="G12513" s="87"/>
      <c r="H12513" s="90"/>
    </row>
    <row r="12514" spans="7:8">
      <c r="G12514" s="87"/>
      <c r="H12514" s="90"/>
    </row>
    <row r="12515" spans="7:8">
      <c r="G12515" s="87"/>
      <c r="H12515" s="90"/>
    </row>
    <row r="12516" spans="7:8">
      <c r="G12516" s="87"/>
      <c r="H12516" s="90"/>
    </row>
    <row r="12517" spans="7:8">
      <c r="G12517" s="87"/>
      <c r="H12517" s="90"/>
    </row>
    <row r="12518" spans="7:8">
      <c r="G12518" s="87"/>
      <c r="H12518" s="90"/>
    </row>
    <row r="12519" spans="7:8">
      <c r="G12519" s="87"/>
      <c r="H12519" s="90"/>
    </row>
    <row r="12520" spans="7:8">
      <c r="G12520" s="87"/>
      <c r="H12520" s="90"/>
    </row>
    <row r="12521" spans="7:8">
      <c r="G12521" s="87"/>
      <c r="H12521" s="90"/>
    </row>
    <row r="12522" spans="7:8">
      <c r="G12522" s="87"/>
      <c r="H12522" s="90"/>
    </row>
    <row r="12523" spans="7:8">
      <c r="G12523" s="87"/>
      <c r="H12523" s="90"/>
    </row>
    <row r="12524" spans="7:8">
      <c r="G12524" s="87"/>
      <c r="H12524" s="90"/>
    </row>
    <row r="12525" spans="7:8">
      <c r="G12525" s="87"/>
      <c r="H12525" s="90"/>
    </row>
    <row r="12526" spans="7:8">
      <c r="G12526" s="87"/>
      <c r="H12526" s="90"/>
    </row>
    <row r="12527" spans="7:8">
      <c r="G12527" s="87"/>
      <c r="H12527" s="90"/>
    </row>
    <row r="12528" spans="7:8">
      <c r="G12528" s="87"/>
      <c r="H12528" s="90"/>
    </row>
    <row r="12529" spans="7:8">
      <c r="G12529" s="87"/>
      <c r="H12529" s="90"/>
    </row>
    <row r="12530" spans="7:8">
      <c r="G12530" s="87"/>
      <c r="H12530" s="90"/>
    </row>
    <row r="12531" spans="7:8">
      <c r="G12531" s="87"/>
      <c r="H12531" s="90"/>
    </row>
    <row r="12532" spans="7:8">
      <c r="G12532" s="87"/>
      <c r="H12532" s="90"/>
    </row>
    <row r="12533" spans="7:8">
      <c r="G12533" s="87"/>
      <c r="H12533" s="90"/>
    </row>
    <row r="12534" spans="7:8">
      <c r="G12534" s="87"/>
      <c r="H12534" s="90"/>
    </row>
    <row r="12535" spans="7:8">
      <c r="G12535" s="87"/>
      <c r="H12535" s="90"/>
    </row>
    <row r="12536" spans="7:8">
      <c r="G12536" s="87"/>
      <c r="H12536" s="90"/>
    </row>
    <row r="12537" spans="7:8">
      <c r="G12537" s="87"/>
      <c r="H12537" s="90"/>
    </row>
    <row r="12538" spans="7:8">
      <c r="G12538" s="87"/>
      <c r="H12538" s="90"/>
    </row>
    <row r="12539" spans="7:8">
      <c r="G12539" s="87"/>
      <c r="H12539" s="90"/>
    </row>
    <row r="12540" spans="7:8">
      <c r="G12540" s="87"/>
      <c r="H12540" s="90"/>
    </row>
    <row r="12541" spans="7:8">
      <c r="G12541" s="87"/>
      <c r="H12541" s="90"/>
    </row>
    <row r="12542" spans="7:8">
      <c r="G12542" s="87"/>
      <c r="H12542" s="90"/>
    </row>
    <row r="12543" spans="7:8">
      <c r="G12543" s="87"/>
      <c r="H12543" s="90"/>
    </row>
    <row r="12544" spans="7:8">
      <c r="G12544" s="87"/>
      <c r="H12544" s="90"/>
    </row>
    <row r="12545" spans="7:8">
      <c r="G12545" s="87"/>
      <c r="H12545" s="90"/>
    </row>
    <row r="12546" spans="7:8">
      <c r="G12546" s="87"/>
      <c r="H12546" s="90"/>
    </row>
    <row r="12547" spans="7:8">
      <c r="G12547" s="87"/>
      <c r="H12547" s="90"/>
    </row>
    <row r="12548" spans="7:8">
      <c r="G12548" s="87"/>
      <c r="H12548" s="90"/>
    </row>
    <row r="12549" spans="7:8">
      <c r="G12549" s="87"/>
      <c r="H12549" s="90"/>
    </row>
    <row r="12550" spans="7:8">
      <c r="G12550" s="87"/>
      <c r="H12550" s="90"/>
    </row>
    <row r="12551" spans="7:8">
      <c r="G12551" s="87"/>
      <c r="H12551" s="90"/>
    </row>
    <row r="12552" spans="7:8">
      <c r="G12552" s="87"/>
      <c r="H12552" s="90"/>
    </row>
    <row r="12553" spans="7:8">
      <c r="G12553" s="87"/>
      <c r="H12553" s="90"/>
    </row>
    <row r="12554" spans="7:8">
      <c r="G12554" s="87"/>
      <c r="H12554" s="90"/>
    </row>
    <row r="12555" spans="7:8">
      <c r="G12555" s="87"/>
      <c r="H12555" s="90"/>
    </row>
    <row r="12556" spans="7:8">
      <c r="G12556" s="87"/>
      <c r="H12556" s="90"/>
    </row>
    <row r="12557" spans="7:8">
      <c r="G12557" s="87"/>
      <c r="H12557" s="90"/>
    </row>
    <row r="12558" spans="7:8">
      <c r="G12558" s="87"/>
      <c r="H12558" s="90"/>
    </row>
    <row r="12559" spans="7:8">
      <c r="G12559" s="87"/>
      <c r="H12559" s="90"/>
    </row>
    <row r="12560" spans="7:8">
      <c r="G12560" s="87"/>
      <c r="H12560" s="90"/>
    </row>
    <row r="12561" spans="7:8">
      <c r="G12561" s="87"/>
      <c r="H12561" s="90"/>
    </row>
    <row r="12562" spans="7:8">
      <c r="G12562" s="87"/>
      <c r="H12562" s="90"/>
    </row>
    <row r="12563" spans="7:8">
      <c r="G12563" s="87"/>
      <c r="H12563" s="90"/>
    </row>
    <row r="12564" spans="7:8">
      <c r="G12564" s="87"/>
      <c r="H12564" s="90"/>
    </row>
    <row r="12565" spans="7:8">
      <c r="G12565" s="87"/>
      <c r="H12565" s="90"/>
    </row>
    <row r="12566" spans="7:8">
      <c r="G12566" s="87"/>
      <c r="H12566" s="90"/>
    </row>
    <row r="12567" spans="7:8">
      <c r="G12567" s="87"/>
      <c r="H12567" s="90"/>
    </row>
    <row r="12568" spans="7:8">
      <c r="G12568" s="87"/>
      <c r="H12568" s="90"/>
    </row>
    <row r="12569" spans="7:8">
      <c r="G12569" s="87"/>
      <c r="H12569" s="90"/>
    </row>
    <row r="12570" spans="7:8">
      <c r="G12570" s="87"/>
      <c r="H12570" s="90"/>
    </row>
    <row r="12571" spans="7:8">
      <c r="G12571" s="87"/>
      <c r="H12571" s="90"/>
    </row>
    <row r="12572" spans="7:8">
      <c r="G12572" s="87"/>
      <c r="H12572" s="90"/>
    </row>
    <row r="12573" spans="7:8">
      <c r="G12573" s="87"/>
      <c r="H12573" s="90"/>
    </row>
    <row r="12574" spans="7:8">
      <c r="G12574" s="87"/>
      <c r="H12574" s="90"/>
    </row>
    <row r="12575" spans="7:8">
      <c r="G12575" s="87"/>
      <c r="H12575" s="90"/>
    </row>
    <row r="12576" spans="7:8">
      <c r="G12576" s="87"/>
      <c r="H12576" s="90"/>
    </row>
    <row r="12577" spans="7:8">
      <c r="G12577" s="87"/>
      <c r="H12577" s="90"/>
    </row>
    <row r="12578" spans="7:8">
      <c r="G12578" s="87"/>
      <c r="H12578" s="90"/>
    </row>
    <row r="12579" spans="7:8">
      <c r="G12579" s="87"/>
      <c r="H12579" s="90"/>
    </row>
    <row r="12580" spans="7:8">
      <c r="G12580" s="87"/>
      <c r="H12580" s="90"/>
    </row>
    <row r="12581" spans="7:8">
      <c r="G12581" s="87"/>
      <c r="H12581" s="90"/>
    </row>
    <row r="12582" spans="7:8">
      <c r="G12582" s="87"/>
      <c r="H12582" s="90"/>
    </row>
    <row r="12583" spans="7:8">
      <c r="G12583" s="87"/>
      <c r="H12583" s="90"/>
    </row>
    <row r="12584" spans="7:8">
      <c r="G12584" s="87"/>
      <c r="H12584" s="90"/>
    </row>
    <row r="12585" spans="7:8">
      <c r="G12585" s="87"/>
      <c r="H12585" s="90"/>
    </row>
    <row r="12586" spans="7:8">
      <c r="G12586" s="87"/>
      <c r="H12586" s="90"/>
    </row>
    <row r="12587" spans="7:8">
      <c r="G12587" s="87"/>
      <c r="H12587" s="90"/>
    </row>
    <row r="12588" spans="7:8">
      <c r="G12588" s="87"/>
      <c r="H12588" s="90"/>
    </row>
    <row r="12589" spans="7:8">
      <c r="G12589" s="87"/>
      <c r="H12589" s="90"/>
    </row>
    <row r="12590" spans="7:8">
      <c r="G12590" s="87"/>
      <c r="H12590" s="90"/>
    </row>
    <row r="12591" spans="7:8">
      <c r="G12591" s="87"/>
      <c r="H12591" s="90"/>
    </row>
    <row r="12592" spans="7:8">
      <c r="G12592" s="87"/>
      <c r="H12592" s="90"/>
    </row>
    <row r="12593" spans="7:8">
      <c r="G12593" s="87"/>
      <c r="H12593" s="90"/>
    </row>
    <row r="12594" spans="7:8">
      <c r="G12594" s="87"/>
      <c r="H12594" s="90"/>
    </row>
    <row r="12595" spans="7:8">
      <c r="G12595" s="87"/>
      <c r="H12595" s="90"/>
    </row>
    <row r="12596" spans="7:8">
      <c r="G12596" s="87"/>
      <c r="H12596" s="90"/>
    </row>
    <row r="12597" spans="7:8">
      <c r="G12597" s="87"/>
      <c r="H12597" s="90"/>
    </row>
    <row r="12598" spans="7:8">
      <c r="G12598" s="87"/>
      <c r="H12598" s="90"/>
    </row>
    <row r="12599" spans="7:8">
      <c r="G12599" s="87"/>
      <c r="H12599" s="90"/>
    </row>
    <row r="12600" spans="7:8">
      <c r="G12600" s="87"/>
      <c r="H12600" s="90"/>
    </row>
    <row r="12601" spans="7:8">
      <c r="G12601" s="87"/>
      <c r="H12601" s="90"/>
    </row>
    <row r="12602" spans="7:8">
      <c r="G12602" s="87"/>
      <c r="H12602" s="90"/>
    </row>
    <row r="12603" spans="7:8">
      <c r="G12603" s="87"/>
      <c r="H12603" s="90"/>
    </row>
    <row r="12604" spans="7:8">
      <c r="G12604" s="87"/>
      <c r="H12604" s="90"/>
    </row>
    <row r="12605" spans="7:8">
      <c r="G12605" s="87"/>
      <c r="H12605" s="90"/>
    </row>
    <row r="12606" spans="7:8">
      <c r="G12606" s="87"/>
      <c r="H12606" s="90"/>
    </row>
    <row r="12607" spans="7:8">
      <c r="G12607" s="87"/>
      <c r="H12607" s="90"/>
    </row>
    <row r="12608" spans="7:8">
      <c r="G12608" s="87"/>
      <c r="H12608" s="90"/>
    </row>
    <row r="12609" spans="7:8">
      <c r="G12609" s="87"/>
      <c r="H12609" s="90"/>
    </row>
    <row r="12610" spans="7:8">
      <c r="G12610" s="87"/>
      <c r="H12610" s="90"/>
    </row>
    <row r="12611" spans="7:8">
      <c r="G12611" s="87"/>
      <c r="H12611" s="90"/>
    </row>
    <row r="12612" spans="7:8">
      <c r="G12612" s="87"/>
      <c r="H12612" s="90"/>
    </row>
    <row r="12613" spans="7:8">
      <c r="G12613" s="87"/>
      <c r="H12613" s="90"/>
    </row>
    <row r="12614" spans="7:8">
      <c r="G12614" s="87"/>
      <c r="H12614" s="90"/>
    </row>
    <row r="12615" spans="7:8">
      <c r="G12615" s="87"/>
      <c r="H12615" s="90"/>
    </row>
    <row r="12616" spans="7:8">
      <c r="G12616" s="87"/>
      <c r="H12616" s="90"/>
    </row>
    <row r="12617" spans="7:8">
      <c r="G12617" s="87"/>
      <c r="H12617" s="90"/>
    </row>
    <row r="12618" spans="7:8">
      <c r="G12618" s="87"/>
      <c r="H12618" s="90"/>
    </row>
    <row r="12619" spans="7:8">
      <c r="G12619" s="87"/>
      <c r="H12619" s="90"/>
    </row>
    <row r="12620" spans="7:8">
      <c r="G12620" s="87"/>
      <c r="H12620" s="90"/>
    </row>
    <row r="12621" spans="7:8">
      <c r="G12621" s="87"/>
      <c r="H12621" s="90"/>
    </row>
    <row r="12622" spans="7:8">
      <c r="G12622" s="87"/>
      <c r="H12622" s="90"/>
    </row>
    <row r="12623" spans="7:8">
      <c r="G12623" s="87"/>
      <c r="H12623" s="90"/>
    </row>
    <row r="12624" spans="7:8">
      <c r="G12624" s="87"/>
      <c r="H12624" s="90"/>
    </row>
    <row r="12625" spans="7:8">
      <c r="G12625" s="87"/>
      <c r="H12625" s="90"/>
    </row>
    <row r="12626" spans="7:8">
      <c r="G12626" s="87"/>
      <c r="H12626" s="90"/>
    </row>
    <row r="12627" spans="7:8">
      <c r="G12627" s="87"/>
      <c r="H12627" s="90"/>
    </row>
    <row r="12628" spans="7:8">
      <c r="G12628" s="87"/>
      <c r="H12628" s="90"/>
    </row>
    <row r="12629" spans="7:8">
      <c r="G12629" s="87"/>
      <c r="H12629" s="90"/>
    </row>
    <row r="12630" spans="7:8">
      <c r="G12630" s="87"/>
      <c r="H12630" s="90"/>
    </row>
    <row r="12631" spans="7:8">
      <c r="G12631" s="87"/>
      <c r="H12631" s="90"/>
    </row>
    <row r="12632" spans="7:8">
      <c r="G12632" s="87"/>
      <c r="H12632" s="90"/>
    </row>
    <row r="12633" spans="7:8">
      <c r="G12633" s="87"/>
      <c r="H12633" s="90"/>
    </row>
    <row r="12634" spans="7:8">
      <c r="G12634" s="87"/>
      <c r="H12634" s="90"/>
    </row>
    <row r="12635" spans="7:8">
      <c r="G12635" s="87"/>
      <c r="H12635" s="90"/>
    </row>
    <row r="12636" spans="7:8">
      <c r="G12636" s="87"/>
      <c r="H12636" s="90"/>
    </row>
    <row r="12637" spans="7:8">
      <c r="G12637" s="87"/>
      <c r="H12637" s="90"/>
    </row>
    <row r="12638" spans="7:8">
      <c r="G12638" s="87"/>
      <c r="H12638" s="90"/>
    </row>
    <row r="12639" spans="7:8">
      <c r="G12639" s="87"/>
      <c r="H12639" s="90"/>
    </row>
    <row r="12640" spans="7:8">
      <c r="G12640" s="87"/>
      <c r="H12640" s="90"/>
    </row>
    <row r="12641" spans="7:8">
      <c r="G12641" s="87"/>
      <c r="H12641" s="90"/>
    </row>
    <row r="12642" spans="7:8">
      <c r="G12642" s="87"/>
      <c r="H12642" s="90"/>
    </row>
    <row r="12643" spans="7:8">
      <c r="G12643" s="87"/>
      <c r="H12643" s="90"/>
    </row>
    <row r="12644" spans="7:8">
      <c r="G12644" s="87"/>
      <c r="H12644" s="90"/>
    </row>
    <row r="12645" spans="7:8">
      <c r="G12645" s="87"/>
      <c r="H12645" s="90"/>
    </row>
    <row r="12646" spans="7:8">
      <c r="G12646" s="87"/>
      <c r="H12646" s="90"/>
    </row>
    <row r="12647" spans="7:8">
      <c r="G12647" s="87"/>
      <c r="H12647" s="90"/>
    </row>
    <row r="12648" spans="7:8">
      <c r="G12648" s="87"/>
      <c r="H12648" s="90"/>
    </row>
    <row r="12649" spans="7:8">
      <c r="G12649" s="87"/>
      <c r="H12649" s="90"/>
    </row>
    <row r="12650" spans="7:8">
      <c r="G12650" s="87"/>
      <c r="H12650" s="90"/>
    </row>
    <row r="12651" spans="7:8">
      <c r="G12651" s="87"/>
      <c r="H12651" s="90"/>
    </row>
    <row r="12652" spans="7:8">
      <c r="G12652" s="87"/>
      <c r="H12652" s="90"/>
    </row>
    <row r="12653" spans="7:8">
      <c r="G12653" s="87"/>
      <c r="H12653" s="90"/>
    </row>
    <row r="12654" spans="7:8">
      <c r="G12654" s="87"/>
      <c r="H12654" s="90"/>
    </row>
    <row r="12655" spans="7:8">
      <c r="G12655" s="87"/>
      <c r="H12655" s="90"/>
    </row>
    <row r="12656" spans="7:8">
      <c r="G12656" s="87"/>
      <c r="H12656" s="90"/>
    </row>
    <row r="12657" spans="7:8">
      <c r="G12657" s="87"/>
      <c r="H12657" s="90"/>
    </row>
    <row r="12658" spans="7:8">
      <c r="G12658" s="87"/>
      <c r="H12658" s="90"/>
    </row>
    <row r="12659" spans="7:8">
      <c r="G12659" s="87"/>
      <c r="H12659" s="90"/>
    </row>
    <row r="12660" spans="7:8">
      <c r="G12660" s="87"/>
      <c r="H12660" s="90"/>
    </row>
    <row r="12661" spans="7:8">
      <c r="G12661" s="87"/>
      <c r="H12661" s="90"/>
    </row>
    <row r="12662" spans="7:8">
      <c r="G12662" s="87"/>
      <c r="H12662" s="90"/>
    </row>
    <row r="12663" spans="7:8">
      <c r="G12663" s="87"/>
      <c r="H12663" s="90"/>
    </row>
    <row r="12664" spans="7:8">
      <c r="G12664" s="87"/>
      <c r="H12664" s="90"/>
    </row>
    <row r="12665" spans="7:8">
      <c r="G12665" s="87"/>
      <c r="H12665" s="90"/>
    </row>
    <row r="12666" spans="7:8">
      <c r="G12666" s="87"/>
      <c r="H12666" s="90"/>
    </row>
    <row r="12667" spans="7:8">
      <c r="G12667" s="87"/>
      <c r="H12667" s="90"/>
    </row>
    <row r="12668" spans="7:8">
      <c r="G12668" s="87"/>
      <c r="H12668" s="90"/>
    </row>
    <row r="12669" spans="7:8">
      <c r="G12669" s="87"/>
      <c r="H12669" s="90"/>
    </row>
    <row r="12670" spans="7:8">
      <c r="G12670" s="87"/>
      <c r="H12670" s="90"/>
    </row>
    <row r="12671" spans="7:8">
      <c r="G12671" s="87"/>
      <c r="H12671" s="90"/>
    </row>
    <row r="12672" spans="7:8">
      <c r="G12672" s="87"/>
      <c r="H12672" s="90"/>
    </row>
    <row r="12673" spans="7:8">
      <c r="G12673" s="87"/>
      <c r="H12673" s="90"/>
    </row>
    <row r="12674" spans="7:8">
      <c r="G12674" s="87"/>
      <c r="H12674" s="90"/>
    </row>
    <row r="12675" spans="7:8">
      <c r="G12675" s="87"/>
      <c r="H12675" s="90"/>
    </row>
    <row r="12676" spans="7:8">
      <c r="G12676" s="87"/>
      <c r="H12676" s="90"/>
    </row>
    <row r="12677" spans="7:8">
      <c r="G12677" s="87"/>
      <c r="H12677" s="90"/>
    </row>
    <row r="12678" spans="7:8">
      <c r="G12678" s="87"/>
      <c r="H12678" s="90"/>
    </row>
    <row r="12679" spans="7:8">
      <c r="G12679" s="87"/>
      <c r="H12679" s="90"/>
    </row>
    <row r="12680" spans="7:8">
      <c r="G12680" s="87"/>
      <c r="H12680" s="90"/>
    </row>
    <row r="12681" spans="7:8">
      <c r="G12681" s="87"/>
      <c r="H12681" s="90"/>
    </row>
    <row r="12682" spans="7:8">
      <c r="G12682" s="87"/>
      <c r="H12682" s="90"/>
    </row>
    <row r="12683" spans="7:8">
      <c r="G12683" s="87"/>
      <c r="H12683" s="90"/>
    </row>
    <row r="12684" spans="7:8">
      <c r="G12684" s="87"/>
      <c r="H12684" s="90"/>
    </row>
    <row r="12685" spans="7:8">
      <c r="G12685" s="87"/>
      <c r="H12685" s="90"/>
    </row>
    <row r="12686" spans="7:8">
      <c r="G12686" s="87"/>
      <c r="H12686" s="90"/>
    </row>
    <row r="12687" spans="7:8">
      <c r="G12687" s="87"/>
      <c r="H12687" s="90"/>
    </row>
    <row r="12688" spans="7:8">
      <c r="G12688" s="87"/>
      <c r="H12688" s="90"/>
    </row>
    <row r="12689" spans="7:8">
      <c r="G12689" s="87"/>
      <c r="H12689" s="90"/>
    </row>
    <row r="12690" spans="7:8">
      <c r="G12690" s="87"/>
      <c r="H12690" s="90"/>
    </row>
    <row r="12691" spans="7:8">
      <c r="G12691" s="87"/>
      <c r="H12691" s="90"/>
    </row>
    <row r="12692" spans="7:8">
      <c r="G12692" s="87"/>
      <c r="H12692" s="90"/>
    </row>
    <row r="12693" spans="7:8">
      <c r="G12693" s="87"/>
      <c r="H12693" s="90"/>
    </row>
    <row r="12694" spans="7:8">
      <c r="G12694" s="87"/>
      <c r="H12694" s="90"/>
    </row>
    <row r="12695" spans="7:8">
      <c r="G12695" s="87"/>
      <c r="H12695" s="90"/>
    </row>
    <row r="12696" spans="7:8">
      <c r="G12696" s="87"/>
      <c r="H12696" s="90"/>
    </row>
    <row r="12697" spans="7:8">
      <c r="G12697" s="87"/>
      <c r="H12697" s="90"/>
    </row>
    <row r="12698" spans="7:8">
      <c r="G12698" s="87"/>
      <c r="H12698" s="90"/>
    </row>
    <row r="12699" spans="7:8">
      <c r="G12699" s="87"/>
      <c r="H12699" s="90"/>
    </row>
    <row r="12700" spans="7:8">
      <c r="G12700" s="87"/>
      <c r="H12700" s="90"/>
    </row>
    <row r="12701" spans="7:8">
      <c r="G12701" s="87"/>
      <c r="H12701" s="90"/>
    </row>
    <row r="12702" spans="7:8">
      <c r="G12702" s="87"/>
      <c r="H12702" s="90"/>
    </row>
    <row r="12703" spans="7:8">
      <c r="G12703" s="87"/>
      <c r="H12703" s="90"/>
    </row>
    <row r="12704" spans="7:8">
      <c r="G12704" s="87"/>
      <c r="H12704" s="90"/>
    </row>
    <row r="12705" spans="7:8">
      <c r="G12705" s="87"/>
      <c r="H12705" s="90"/>
    </row>
    <row r="12706" spans="7:8">
      <c r="G12706" s="87"/>
      <c r="H12706" s="90"/>
    </row>
    <row r="12707" spans="7:8">
      <c r="G12707" s="87"/>
      <c r="H12707" s="90"/>
    </row>
    <row r="12708" spans="7:8">
      <c r="G12708" s="87"/>
      <c r="H12708" s="90"/>
    </row>
    <row r="12709" spans="7:8">
      <c r="G12709" s="87"/>
      <c r="H12709" s="90"/>
    </row>
    <row r="12710" spans="7:8">
      <c r="G12710" s="87"/>
      <c r="H12710" s="90"/>
    </row>
    <row r="12711" spans="7:8">
      <c r="G12711" s="87"/>
      <c r="H12711" s="90"/>
    </row>
    <row r="12712" spans="7:8">
      <c r="G12712" s="87"/>
      <c r="H12712" s="90"/>
    </row>
    <row r="12713" spans="7:8">
      <c r="G12713" s="87"/>
      <c r="H12713" s="90"/>
    </row>
    <row r="12714" spans="7:8">
      <c r="G12714" s="87"/>
      <c r="H12714" s="90"/>
    </row>
    <row r="12715" spans="7:8">
      <c r="G12715" s="87"/>
      <c r="H12715" s="90"/>
    </row>
    <row r="12716" spans="7:8">
      <c r="G12716" s="87"/>
      <c r="H12716" s="90"/>
    </row>
    <row r="12717" spans="7:8">
      <c r="G12717" s="87"/>
      <c r="H12717" s="90"/>
    </row>
    <row r="12718" spans="7:8">
      <c r="G12718" s="87"/>
      <c r="H12718" s="90"/>
    </row>
    <row r="12719" spans="7:8">
      <c r="G12719" s="87"/>
      <c r="H12719" s="90"/>
    </row>
    <row r="12720" spans="7:8">
      <c r="G12720" s="87"/>
      <c r="H12720" s="90"/>
    </row>
    <row r="12721" spans="7:8">
      <c r="G12721" s="87"/>
      <c r="H12721" s="90"/>
    </row>
    <row r="12722" spans="7:8">
      <c r="G12722" s="87"/>
      <c r="H12722" s="90"/>
    </row>
    <row r="12723" spans="7:8">
      <c r="G12723" s="87"/>
      <c r="H12723" s="90"/>
    </row>
    <row r="12724" spans="7:8">
      <c r="G12724" s="87"/>
      <c r="H12724" s="90"/>
    </row>
    <row r="12725" spans="7:8">
      <c r="G12725" s="87"/>
      <c r="H12725" s="90"/>
    </row>
    <row r="12726" spans="7:8">
      <c r="G12726" s="87"/>
      <c r="H12726" s="90"/>
    </row>
    <row r="12727" spans="7:8">
      <c r="G12727" s="87"/>
      <c r="H12727" s="90"/>
    </row>
    <row r="12728" spans="7:8">
      <c r="G12728" s="87"/>
      <c r="H12728" s="90"/>
    </row>
    <row r="12729" spans="7:8">
      <c r="G12729" s="87"/>
      <c r="H12729" s="90"/>
    </row>
    <row r="12730" spans="7:8">
      <c r="G12730" s="87"/>
      <c r="H12730" s="90"/>
    </row>
    <row r="12731" spans="7:8">
      <c r="G12731" s="87"/>
      <c r="H12731" s="90"/>
    </row>
    <row r="12732" spans="7:8">
      <c r="G12732" s="87"/>
      <c r="H12732" s="90"/>
    </row>
    <row r="12733" spans="7:8">
      <c r="G12733" s="87"/>
      <c r="H12733" s="90"/>
    </row>
    <row r="12734" spans="7:8">
      <c r="G12734" s="87"/>
      <c r="H12734" s="90"/>
    </row>
    <row r="12735" spans="7:8">
      <c r="G12735" s="87"/>
      <c r="H12735" s="90"/>
    </row>
    <row r="12736" spans="7:8">
      <c r="G12736" s="87"/>
      <c r="H12736" s="90"/>
    </row>
    <row r="12737" spans="7:8">
      <c r="G12737" s="87"/>
      <c r="H12737" s="90"/>
    </row>
    <row r="12738" spans="7:8">
      <c r="G12738" s="87"/>
      <c r="H12738" s="90"/>
    </row>
    <row r="12739" spans="7:8">
      <c r="G12739" s="87"/>
      <c r="H12739" s="90"/>
    </row>
    <row r="12740" spans="7:8">
      <c r="G12740" s="87"/>
      <c r="H12740" s="90"/>
    </row>
    <row r="12741" spans="7:8">
      <c r="G12741" s="87"/>
      <c r="H12741" s="90"/>
    </row>
    <row r="12742" spans="7:8">
      <c r="G12742" s="87"/>
      <c r="H12742" s="90"/>
    </row>
    <row r="12743" spans="7:8">
      <c r="G12743" s="87"/>
      <c r="H12743" s="90"/>
    </row>
    <row r="12744" spans="7:8">
      <c r="G12744" s="87"/>
      <c r="H12744" s="90"/>
    </row>
    <row r="12745" spans="7:8">
      <c r="G12745" s="87"/>
      <c r="H12745" s="90"/>
    </row>
    <row r="12746" spans="7:8">
      <c r="G12746" s="87"/>
      <c r="H12746" s="90"/>
    </row>
    <row r="12747" spans="7:8">
      <c r="G12747" s="87"/>
      <c r="H12747" s="90"/>
    </row>
    <row r="12748" spans="7:8">
      <c r="G12748" s="87"/>
      <c r="H12748" s="90"/>
    </row>
    <row r="12749" spans="7:8">
      <c r="G12749" s="87"/>
      <c r="H12749" s="90"/>
    </row>
    <row r="12750" spans="7:8">
      <c r="G12750" s="87"/>
      <c r="H12750" s="90"/>
    </row>
    <row r="12751" spans="7:8">
      <c r="G12751" s="87"/>
      <c r="H12751" s="90"/>
    </row>
    <row r="12752" spans="7:8">
      <c r="G12752" s="87"/>
      <c r="H12752" s="90"/>
    </row>
    <row r="12753" spans="7:8">
      <c r="G12753" s="87"/>
      <c r="H12753" s="90"/>
    </row>
    <row r="12754" spans="7:8">
      <c r="G12754" s="87"/>
      <c r="H12754" s="90"/>
    </row>
    <row r="12755" spans="7:8">
      <c r="G12755" s="87"/>
      <c r="H12755" s="90"/>
    </row>
    <row r="12756" spans="7:8">
      <c r="G12756" s="87"/>
      <c r="H12756" s="90"/>
    </row>
    <row r="12757" spans="7:8">
      <c r="G12757" s="87"/>
      <c r="H12757" s="90"/>
    </row>
    <row r="12758" spans="7:8">
      <c r="G12758" s="87"/>
      <c r="H12758" s="90"/>
    </row>
    <row r="12759" spans="7:8">
      <c r="G12759" s="87"/>
      <c r="H12759" s="90"/>
    </row>
    <row r="12760" spans="7:8">
      <c r="G12760" s="87"/>
      <c r="H12760" s="90"/>
    </row>
    <row r="12761" spans="7:8">
      <c r="G12761" s="87"/>
      <c r="H12761" s="90"/>
    </row>
    <row r="12762" spans="7:8">
      <c r="G12762" s="87"/>
      <c r="H12762" s="90"/>
    </row>
    <row r="12763" spans="7:8">
      <c r="G12763" s="87"/>
      <c r="H12763" s="90"/>
    </row>
    <row r="12764" spans="7:8">
      <c r="G12764" s="87"/>
      <c r="H12764" s="90"/>
    </row>
    <row r="12765" spans="7:8">
      <c r="G12765" s="87"/>
      <c r="H12765" s="90"/>
    </row>
    <row r="12766" spans="7:8">
      <c r="G12766" s="87"/>
      <c r="H12766" s="90"/>
    </row>
    <row r="12767" spans="7:8">
      <c r="G12767" s="87"/>
      <c r="H12767" s="90"/>
    </row>
    <row r="12768" spans="7:8">
      <c r="G12768" s="87"/>
      <c r="H12768" s="90"/>
    </row>
    <row r="12769" spans="7:8">
      <c r="G12769" s="87"/>
      <c r="H12769" s="90"/>
    </row>
    <row r="12770" spans="7:8">
      <c r="G12770" s="87"/>
      <c r="H12770" s="90"/>
    </row>
    <row r="12771" spans="7:8">
      <c r="G12771" s="87"/>
      <c r="H12771" s="90"/>
    </row>
    <row r="12772" spans="7:8">
      <c r="G12772" s="87"/>
      <c r="H12772" s="90"/>
    </row>
    <row r="12773" spans="7:8">
      <c r="G12773" s="87"/>
      <c r="H12773" s="90"/>
    </row>
    <row r="12774" spans="7:8">
      <c r="G12774" s="87"/>
      <c r="H12774" s="90"/>
    </row>
    <row r="12775" spans="7:8">
      <c r="G12775" s="87"/>
      <c r="H12775" s="90"/>
    </row>
    <row r="12776" spans="7:8">
      <c r="G12776" s="87"/>
      <c r="H12776" s="90"/>
    </row>
    <row r="12777" spans="7:8">
      <c r="G12777" s="87"/>
      <c r="H12777" s="90"/>
    </row>
    <row r="12778" spans="7:8">
      <c r="G12778" s="87"/>
      <c r="H12778" s="90"/>
    </row>
    <row r="12779" spans="7:8">
      <c r="G12779" s="87"/>
      <c r="H12779" s="90"/>
    </row>
    <row r="12780" spans="7:8">
      <c r="G12780" s="87"/>
      <c r="H12780" s="90"/>
    </row>
    <row r="12781" spans="7:8">
      <c r="G12781" s="87"/>
      <c r="H12781" s="90"/>
    </row>
    <row r="12782" spans="7:8">
      <c r="G12782" s="87"/>
      <c r="H12782" s="90"/>
    </row>
    <row r="12783" spans="7:8">
      <c r="G12783" s="87"/>
      <c r="H12783" s="90"/>
    </row>
    <row r="12784" spans="7:8">
      <c r="G12784" s="87"/>
      <c r="H12784" s="90"/>
    </row>
    <row r="12785" spans="7:8">
      <c r="G12785" s="87"/>
      <c r="H12785" s="90"/>
    </row>
    <row r="12786" spans="7:8">
      <c r="G12786" s="87"/>
      <c r="H12786" s="90"/>
    </row>
    <row r="12787" spans="7:8">
      <c r="G12787" s="87"/>
      <c r="H12787" s="90"/>
    </row>
    <row r="12788" spans="7:8">
      <c r="G12788" s="87"/>
      <c r="H12788" s="90"/>
    </row>
    <row r="12789" spans="7:8">
      <c r="G12789" s="87"/>
      <c r="H12789" s="90"/>
    </row>
    <row r="12790" spans="7:8">
      <c r="G12790" s="87"/>
      <c r="H12790" s="90"/>
    </row>
    <row r="12791" spans="7:8">
      <c r="G12791" s="87"/>
      <c r="H12791" s="90"/>
    </row>
    <row r="12792" spans="7:8">
      <c r="G12792" s="87"/>
      <c r="H12792" s="90"/>
    </row>
    <row r="12793" spans="7:8">
      <c r="G12793" s="87"/>
      <c r="H12793" s="90"/>
    </row>
    <row r="12794" spans="7:8">
      <c r="G12794" s="87"/>
      <c r="H12794" s="90"/>
    </row>
    <row r="12795" spans="7:8">
      <c r="G12795" s="87"/>
      <c r="H12795" s="90"/>
    </row>
    <row r="12796" spans="7:8">
      <c r="G12796" s="87"/>
      <c r="H12796" s="90"/>
    </row>
    <row r="12797" spans="7:8">
      <c r="G12797" s="87"/>
      <c r="H12797" s="90"/>
    </row>
    <row r="12798" spans="7:8">
      <c r="G12798" s="87"/>
      <c r="H12798" s="90"/>
    </row>
    <row r="12799" spans="7:8">
      <c r="G12799" s="87"/>
      <c r="H12799" s="90"/>
    </row>
    <row r="12800" spans="7:8">
      <c r="G12800" s="87"/>
      <c r="H12800" s="90"/>
    </row>
    <row r="12801" spans="7:8">
      <c r="G12801" s="87"/>
      <c r="H12801" s="90"/>
    </row>
    <row r="12802" spans="7:8">
      <c r="G12802" s="87"/>
      <c r="H12802" s="90"/>
    </row>
    <row r="12803" spans="7:8">
      <c r="G12803" s="87"/>
      <c r="H12803" s="90"/>
    </row>
    <row r="12804" spans="7:8">
      <c r="G12804" s="87"/>
      <c r="H12804" s="90"/>
    </row>
    <row r="12805" spans="7:8">
      <c r="G12805" s="87"/>
      <c r="H12805" s="90"/>
    </row>
    <row r="12806" spans="7:8">
      <c r="G12806" s="87"/>
      <c r="H12806" s="90"/>
    </row>
    <row r="12807" spans="7:8">
      <c r="G12807" s="87"/>
      <c r="H12807" s="90"/>
    </row>
    <row r="12808" spans="7:8">
      <c r="G12808" s="87"/>
      <c r="H12808" s="90"/>
    </row>
    <row r="12809" spans="7:8">
      <c r="G12809" s="87"/>
      <c r="H12809" s="90"/>
    </row>
    <row r="12810" spans="7:8">
      <c r="G12810" s="87"/>
      <c r="H12810" s="90"/>
    </row>
    <row r="12811" spans="7:8">
      <c r="G12811" s="87"/>
      <c r="H12811" s="90"/>
    </row>
    <row r="12812" spans="7:8">
      <c r="G12812" s="87"/>
      <c r="H12812" s="90"/>
    </row>
    <row r="12813" spans="7:8">
      <c r="G12813" s="87"/>
      <c r="H12813" s="90"/>
    </row>
    <row r="12814" spans="7:8">
      <c r="G12814" s="87"/>
      <c r="H12814" s="90"/>
    </row>
    <row r="12815" spans="7:8">
      <c r="G12815" s="87"/>
      <c r="H12815" s="90"/>
    </row>
    <row r="12816" spans="7:8">
      <c r="G12816" s="87"/>
      <c r="H12816" s="90"/>
    </row>
    <row r="12817" spans="7:8">
      <c r="G12817" s="87"/>
      <c r="H12817" s="90"/>
    </row>
    <row r="12818" spans="7:8">
      <c r="G12818" s="87"/>
      <c r="H12818" s="90"/>
    </row>
    <row r="12819" spans="7:8">
      <c r="G12819" s="87"/>
      <c r="H12819" s="90"/>
    </row>
    <row r="12820" spans="7:8">
      <c r="G12820" s="87"/>
      <c r="H12820" s="90"/>
    </row>
    <row r="12821" spans="7:8">
      <c r="G12821" s="87"/>
      <c r="H12821" s="90"/>
    </row>
    <row r="12822" spans="7:8">
      <c r="G12822" s="87"/>
      <c r="H12822" s="90"/>
    </row>
    <row r="12823" spans="7:8">
      <c r="G12823" s="87"/>
      <c r="H12823" s="90"/>
    </row>
    <row r="12824" spans="7:8">
      <c r="G12824" s="87"/>
      <c r="H12824" s="90"/>
    </row>
    <row r="12825" spans="7:8">
      <c r="G12825" s="87"/>
      <c r="H12825" s="90"/>
    </row>
    <row r="12826" spans="7:8">
      <c r="G12826" s="87"/>
      <c r="H12826" s="90"/>
    </row>
    <row r="12827" spans="7:8">
      <c r="G12827" s="87"/>
      <c r="H12827" s="90"/>
    </row>
    <row r="12828" spans="7:8">
      <c r="G12828" s="87"/>
      <c r="H12828" s="90"/>
    </row>
    <row r="12829" spans="7:8">
      <c r="G12829" s="87"/>
      <c r="H12829" s="90"/>
    </row>
    <row r="12830" spans="7:8">
      <c r="G12830" s="87"/>
      <c r="H12830" s="90"/>
    </row>
    <row r="12831" spans="7:8">
      <c r="G12831" s="87"/>
      <c r="H12831" s="90"/>
    </row>
    <row r="12832" spans="7:8">
      <c r="G12832" s="87"/>
      <c r="H12832" s="90"/>
    </row>
    <row r="12833" spans="7:8">
      <c r="G12833" s="87"/>
      <c r="H12833" s="90"/>
    </row>
    <row r="12834" spans="7:8">
      <c r="G12834" s="87"/>
      <c r="H12834" s="90"/>
    </row>
    <row r="12835" spans="7:8">
      <c r="G12835" s="87"/>
      <c r="H12835" s="90"/>
    </row>
    <row r="12836" spans="7:8">
      <c r="G12836" s="87"/>
      <c r="H12836" s="90"/>
    </row>
    <row r="12837" spans="7:8">
      <c r="G12837" s="87"/>
      <c r="H12837" s="90"/>
    </row>
    <row r="12838" spans="7:8">
      <c r="G12838" s="87"/>
      <c r="H12838" s="90"/>
    </row>
    <row r="12839" spans="7:8">
      <c r="G12839" s="87"/>
      <c r="H12839" s="90"/>
    </row>
    <row r="12840" spans="7:8">
      <c r="G12840" s="87"/>
      <c r="H12840" s="90"/>
    </row>
    <row r="12841" spans="7:8">
      <c r="G12841" s="87"/>
      <c r="H12841" s="90"/>
    </row>
    <row r="12842" spans="7:8">
      <c r="G12842" s="87"/>
      <c r="H12842" s="90"/>
    </row>
    <row r="12843" spans="7:8">
      <c r="G12843" s="87"/>
      <c r="H12843" s="90"/>
    </row>
    <row r="12844" spans="7:8">
      <c r="G12844" s="87"/>
      <c r="H12844" s="90"/>
    </row>
    <row r="12845" spans="7:8">
      <c r="G12845" s="87"/>
      <c r="H12845" s="90"/>
    </row>
    <row r="12846" spans="7:8">
      <c r="G12846" s="87"/>
      <c r="H12846" s="90"/>
    </row>
    <row r="12847" spans="7:8">
      <c r="G12847" s="87"/>
      <c r="H12847" s="90"/>
    </row>
    <row r="12848" spans="7:8">
      <c r="G12848" s="87"/>
      <c r="H12848" s="90"/>
    </row>
    <row r="12849" spans="7:8">
      <c r="G12849" s="87"/>
      <c r="H12849" s="90"/>
    </row>
    <row r="12850" spans="7:8">
      <c r="G12850" s="87"/>
      <c r="H12850" s="90"/>
    </row>
    <row r="12851" spans="7:8">
      <c r="G12851" s="87"/>
      <c r="H12851" s="90"/>
    </row>
    <row r="12852" spans="7:8">
      <c r="G12852" s="87"/>
      <c r="H12852" s="90"/>
    </row>
    <row r="12853" spans="7:8">
      <c r="G12853" s="87"/>
      <c r="H12853" s="90"/>
    </row>
    <row r="12854" spans="7:8">
      <c r="G12854" s="87"/>
      <c r="H12854" s="90"/>
    </row>
    <row r="12855" spans="7:8">
      <c r="G12855" s="87"/>
      <c r="H12855" s="90"/>
    </row>
    <row r="12856" spans="7:8">
      <c r="G12856" s="87"/>
      <c r="H12856" s="90"/>
    </row>
    <row r="12857" spans="7:8">
      <c r="G12857" s="87"/>
      <c r="H12857" s="90"/>
    </row>
    <row r="12858" spans="7:8">
      <c r="G12858" s="87"/>
      <c r="H12858" s="90"/>
    </row>
    <row r="12859" spans="7:8">
      <c r="G12859" s="87"/>
      <c r="H12859" s="90"/>
    </row>
    <row r="12860" spans="7:8">
      <c r="G12860" s="87"/>
      <c r="H12860" s="90"/>
    </row>
    <row r="12861" spans="7:8">
      <c r="G12861" s="87"/>
      <c r="H12861" s="90"/>
    </row>
    <row r="12862" spans="7:8">
      <c r="G12862" s="87"/>
      <c r="H12862" s="90"/>
    </row>
    <row r="12863" spans="7:8">
      <c r="G12863" s="87"/>
      <c r="H12863" s="90"/>
    </row>
    <row r="12864" spans="7:8">
      <c r="G12864" s="87"/>
      <c r="H12864" s="90"/>
    </row>
    <row r="12865" spans="7:8">
      <c r="G12865" s="87"/>
      <c r="H12865" s="90"/>
    </row>
    <row r="12866" spans="7:8">
      <c r="G12866" s="87"/>
      <c r="H12866" s="90"/>
    </row>
    <row r="12867" spans="7:8">
      <c r="G12867" s="87"/>
      <c r="H12867" s="90"/>
    </row>
    <row r="12868" spans="7:8">
      <c r="G12868" s="87"/>
      <c r="H12868" s="90"/>
    </row>
    <row r="12869" spans="7:8">
      <c r="G12869" s="87"/>
      <c r="H12869" s="90"/>
    </row>
    <row r="12870" spans="7:8">
      <c r="G12870" s="87"/>
      <c r="H12870" s="90"/>
    </row>
    <row r="12871" spans="7:8">
      <c r="G12871" s="87"/>
      <c r="H12871" s="90"/>
    </row>
    <row r="12872" spans="7:8">
      <c r="G12872" s="87"/>
      <c r="H12872" s="90"/>
    </row>
    <row r="12873" spans="7:8">
      <c r="G12873" s="87"/>
      <c r="H12873" s="90"/>
    </row>
    <row r="12874" spans="7:8">
      <c r="G12874" s="87"/>
      <c r="H12874" s="90"/>
    </row>
    <row r="12875" spans="7:8">
      <c r="G12875" s="87"/>
      <c r="H12875" s="90"/>
    </row>
    <row r="12876" spans="7:8">
      <c r="G12876" s="87"/>
      <c r="H12876" s="90"/>
    </row>
    <row r="12877" spans="7:8">
      <c r="G12877" s="87"/>
      <c r="H12877" s="90"/>
    </row>
    <row r="12878" spans="7:8">
      <c r="G12878" s="87"/>
      <c r="H12878" s="90"/>
    </row>
    <row r="12879" spans="7:8">
      <c r="G12879" s="87"/>
      <c r="H12879" s="90"/>
    </row>
    <row r="12880" spans="7:8">
      <c r="G12880" s="87"/>
      <c r="H12880" s="90"/>
    </row>
    <row r="12881" spans="7:8">
      <c r="G12881" s="87"/>
      <c r="H12881" s="90"/>
    </row>
    <row r="12882" spans="7:8">
      <c r="G12882" s="87"/>
      <c r="H12882" s="90"/>
    </row>
    <row r="12883" spans="7:8">
      <c r="G12883" s="87"/>
      <c r="H12883" s="90"/>
    </row>
    <row r="12884" spans="7:8">
      <c r="G12884" s="87"/>
      <c r="H12884" s="90"/>
    </row>
    <row r="12885" spans="7:8">
      <c r="G12885" s="87"/>
      <c r="H12885" s="90"/>
    </row>
    <row r="12886" spans="7:8">
      <c r="G12886" s="87"/>
      <c r="H12886" s="90"/>
    </row>
    <row r="12887" spans="7:8">
      <c r="G12887" s="87"/>
      <c r="H12887" s="90"/>
    </row>
    <row r="12888" spans="7:8">
      <c r="G12888" s="87"/>
      <c r="H12888" s="90"/>
    </row>
    <row r="12889" spans="7:8">
      <c r="G12889" s="87"/>
      <c r="H12889" s="90"/>
    </row>
    <row r="12890" spans="7:8">
      <c r="G12890" s="87"/>
      <c r="H12890" s="90"/>
    </row>
    <row r="12891" spans="7:8">
      <c r="G12891" s="87"/>
      <c r="H12891" s="90"/>
    </row>
    <row r="12892" spans="7:8">
      <c r="G12892" s="87"/>
      <c r="H12892" s="90"/>
    </row>
    <row r="12893" spans="7:8">
      <c r="G12893" s="87"/>
      <c r="H12893" s="90"/>
    </row>
    <row r="12894" spans="7:8">
      <c r="G12894" s="87"/>
      <c r="H12894" s="90"/>
    </row>
    <row r="12895" spans="7:8">
      <c r="G12895" s="87"/>
      <c r="H12895" s="90"/>
    </row>
    <row r="12896" spans="7:8">
      <c r="G12896" s="87"/>
      <c r="H12896" s="90"/>
    </row>
    <row r="12897" spans="7:8">
      <c r="G12897" s="87"/>
      <c r="H12897" s="90"/>
    </row>
    <row r="12898" spans="7:8">
      <c r="G12898" s="87"/>
      <c r="H12898" s="90"/>
    </row>
    <row r="12899" spans="7:8">
      <c r="G12899" s="87"/>
      <c r="H12899" s="90"/>
    </row>
    <row r="12900" spans="7:8">
      <c r="G12900" s="87"/>
      <c r="H12900" s="90"/>
    </row>
    <row r="12901" spans="7:8">
      <c r="G12901" s="87"/>
      <c r="H12901" s="90"/>
    </row>
    <row r="12902" spans="7:8">
      <c r="G12902" s="87"/>
      <c r="H12902" s="90"/>
    </row>
    <row r="12903" spans="7:8">
      <c r="G12903" s="87"/>
      <c r="H12903" s="90"/>
    </row>
    <row r="12904" spans="7:8">
      <c r="G12904" s="87"/>
      <c r="H12904" s="90"/>
    </row>
    <row r="12905" spans="7:8">
      <c r="G12905" s="87"/>
      <c r="H12905" s="90"/>
    </row>
    <row r="12906" spans="7:8">
      <c r="G12906" s="87"/>
      <c r="H12906" s="90"/>
    </row>
    <row r="12907" spans="7:8">
      <c r="G12907" s="87"/>
      <c r="H12907" s="90"/>
    </row>
    <row r="12908" spans="7:8">
      <c r="G12908" s="87"/>
      <c r="H12908" s="90"/>
    </row>
    <row r="12909" spans="7:8">
      <c r="G12909" s="87"/>
      <c r="H12909" s="90"/>
    </row>
    <row r="12910" spans="7:8">
      <c r="G12910" s="87"/>
      <c r="H12910" s="90"/>
    </row>
    <row r="12911" spans="7:8">
      <c r="G12911" s="87"/>
      <c r="H12911" s="90"/>
    </row>
    <row r="12912" spans="7:8">
      <c r="G12912" s="87"/>
      <c r="H12912" s="90"/>
    </row>
    <row r="12913" spans="7:8">
      <c r="G12913" s="87"/>
      <c r="H12913" s="90"/>
    </row>
    <row r="12914" spans="7:8">
      <c r="G12914" s="87"/>
      <c r="H12914" s="90"/>
    </row>
    <row r="12915" spans="7:8">
      <c r="G12915" s="87"/>
      <c r="H12915" s="90"/>
    </row>
    <row r="12916" spans="7:8">
      <c r="G12916" s="87"/>
      <c r="H12916" s="90"/>
    </row>
    <row r="12917" spans="7:8">
      <c r="G12917" s="87"/>
      <c r="H12917" s="90"/>
    </row>
    <row r="12918" spans="7:8">
      <c r="G12918" s="87"/>
      <c r="H12918" s="90"/>
    </row>
    <row r="12919" spans="7:8">
      <c r="G12919" s="87"/>
      <c r="H12919" s="90"/>
    </row>
    <row r="12920" spans="7:8">
      <c r="G12920" s="87"/>
      <c r="H12920" s="90"/>
    </row>
    <row r="12921" spans="7:8">
      <c r="G12921" s="87"/>
      <c r="H12921" s="90"/>
    </row>
    <row r="12922" spans="7:8">
      <c r="G12922" s="87"/>
      <c r="H12922" s="90"/>
    </row>
    <row r="12923" spans="7:8">
      <c r="G12923" s="87"/>
      <c r="H12923" s="90"/>
    </row>
    <row r="12924" spans="7:8">
      <c r="G12924" s="87"/>
      <c r="H12924" s="90"/>
    </row>
    <row r="12925" spans="7:8">
      <c r="G12925" s="87"/>
      <c r="H12925" s="90"/>
    </row>
    <row r="12926" spans="7:8">
      <c r="G12926" s="87"/>
      <c r="H12926" s="90"/>
    </row>
    <row r="12927" spans="7:8">
      <c r="G12927" s="87"/>
      <c r="H12927" s="90"/>
    </row>
    <row r="12928" spans="7:8">
      <c r="G12928" s="87"/>
      <c r="H12928" s="90"/>
    </row>
    <row r="12929" spans="7:8">
      <c r="G12929" s="87"/>
      <c r="H12929" s="90"/>
    </row>
    <row r="12930" spans="7:8">
      <c r="G12930" s="87"/>
      <c r="H12930" s="90"/>
    </row>
    <row r="12931" spans="7:8">
      <c r="G12931" s="87"/>
      <c r="H12931" s="90"/>
    </row>
    <row r="12932" spans="7:8">
      <c r="G12932" s="87"/>
      <c r="H12932" s="90"/>
    </row>
    <row r="12933" spans="7:8">
      <c r="G12933" s="87"/>
      <c r="H12933" s="90"/>
    </row>
    <row r="12934" spans="7:8">
      <c r="G12934" s="87"/>
      <c r="H12934" s="90"/>
    </row>
    <row r="12935" spans="7:8">
      <c r="G12935" s="87"/>
      <c r="H12935" s="90"/>
    </row>
    <row r="12936" spans="7:8">
      <c r="G12936" s="87"/>
      <c r="H12936" s="90"/>
    </row>
    <row r="12937" spans="7:8">
      <c r="G12937" s="87"/>
      <c r="H12937" s="90"/>
    </row>
    <row r="12938" spans="7:8">
      <c r="G12938" s="87"/>
      <c r="H12938" s="90"/>
    </row>
    <row r="12939" spans="7:8">
      <c r="G12939" s="87"/>
      <c r="H12939" s="90"/>
    </row>
    <row r="12940" spans="7:8">
      <c r="G12940" s="87"/>
      <c r="H12940" s="90"/>
    </row>
    <row r="12941" spans="7:8">
      <c r="G12941" s="87"/>
      <c r="H12941" s="90"/>
    </row>
    <row r="12942" spans="7:8">
      <c r="G12942" s="87"/>
      <c r="H12942" s="90"/>
    </row>
    <row r="12943" spans="7:8">
      <c r="G12943" s="87"/>
      <c r="H12943" s="90"/>
    </row>
    <row r="12944" spans="7:8">
      <c r="G12944" s="87"/>
      <c r="H12944" s="90"/>
    </row>
    <row r="12945" spans="7:8">
      <c r="G12945" s="87"/>
      <c r="H12945" s="90"/>
    </row>
    <row r="12946" spans="7:8">
      <c r="G12946" s="87"/>
      <c r="H12946" s="90"/>
    </row>
    <row r="12947" spans="7:8">
      <c r="G12947" s="87"/>
      <c r="H12947" s="90"/>
    </row>
    <row r="12948" spans="7:8">
      <c r="G12948" s="87"/>
      <c r="H12948" s="90"/>
    </row>
    <row r="12949" spans="7:8">
      <c r="G12949" s="87"/>
      <c r="H12949" s="90"/>
    </row>
    <row r="12950" spans="7:8">
      <c r="G12950" s="87"/>
      <c r="H12950" s="90"/>
    </row>
    <row r="12951" spans="7:8">
      <c r="G12951" s="87"/>
      <c r="H12951" s="90"/>
    </row>
    <row r="12952" spans="7:8">
      <c r="G12952" s="87"/>
      <c r="H12952" s="90"/>
    </row>
    <row r="12953" spans="7:8">
      <c r="G12953" s="87"/>
      <c r="H12953" s="90"/>
    </row>
    <row r="12954" spans="7:8">
      <c r="G12954" s="87"/>
      <c r="H12954" s="90"/>
    </row>
    <row r="12955" spans="7:8">
      <c r="G12955" s="87"/>
      <c r="H12955" s="90"/>
    </row>
    <row r="12956" spans="7:8">
      <c r="G12956" s="87"/>
      <c r="H12956" s="90"/>
    </row>
    <row r="12957" spans="7:8">
      <c r="G12957" s="87"/>
      <c r="H12957" s="90"/>
    </row>
    <row r="12958" spans="7:8">
      <c r="G12958" s="87"/>
      <c r="H12958" s="90"/>
    </row>
    <row r="12959" spans="7:8">
      <c r="G12959" s="87"/>
      <c r="H12959" s="90"/>
    </row>
    <row r="12960" spans="7:8">
      <c r="G12960" s="87"/>
      <c r="H12960" s="90"/>
    </row>
    <row r="12961" spans="7:8">
      <c r="G12961" s="87"/>
      <c r="H12961" s="90"/>
    </row>
    <row r="12962" spans="7:8">
      <c r="G12962" s="87"/>
      <c r="H12962" s="90"/>
    </row>
    <row r="12963" spans="7:8">
      <c r="G12963" s="87"/>
      <c r="H12963" s="90"/>
    </row>
    <row r="12964" spans="7:8">
      <c r="G12964" s="87"/>
      <c r="H12964" s="90"/>
    </row>
    <row r="12965" spans="7:8">
      <c r="G12965" s="87"/>
      <c r="H12965" s="90"/>
    </row>
    <row r="12966" spans="7:8">
      <c r="G12966" s="87"/>
      <c r="H12966" s="90"/>
    </row>
    <row r="12967" spans="7:8">
      <c r="G12967" s="87"/>
      <c r="H12967" s="90"/>
    </row>
    <row r="12968" spans="7:8">
      <c r="G12968" s="87"/>
      <c r="H12968" s="90"/>
    </row>
    <row r="12969" spans="7:8">
      <c r="G12969" s="87"/>
      <c r="H12969" s="90"/>
    </row>
    <row r="12970" spans="7:8">
      <c r="G12970" s="87"/>
      <c r="H12970" s="90"/>
    </row>
    <row r="12971" spans="7:8">
      <c r="G12971" s="87"/>
      <c r="H12971" s="90"/>
    </row>
    <row r="12972" spans="7:8">
      <c r="G12972" s="87"/>
      <c r="H12972" s="90"/>
    </row>
    <row r="12973" spans="7:8">
      <c r="G12973" s="87"/>
      <c r="H12973" s="90"/>
    </row>
    <row r="12974" spans="7:8">
      <c r="G12974" s="87"/>
      <c r="H12974" s="90"/>
    </row>
    <row r="12975" spans="7:8">
      <c r="G12975" s="87"/>
      <c r="H12975" s="90"/>
    </row>
    <row r="12976" spans="7:8">
      <c r="G12976" s="87"/>
      <c r="H12976" s="90"/>
    </row>
    <row r="12977" spans="7:8">
      <c r="G12977" s="87"/>
      <c r="H12977" s="90"/>
    </row>
    <row r="12978" spans="7:8">
      <c r="G12978" s="87"/>
      <c r="H12978" s="90"/>
    </row>
    <row r="12979" spans="7:8">
      <c r="G12979" s="87"/>
      <c r="H12979" s="90"/>
    </row>
    <row r="12980" spans="7:8">
      <c r="G12980" s="87"/>
      <c r="H12980" s="90"/>
    </row>
    <row r="12981" spans="7:8">
      <c r="G12981" s="87"/>
      <c r="H12981" s="90"/>
    </row>
    <row r="12982" spans="7:8">
      <c r="G12982" s="87"/>
      <c r="H12982" s="90"/>
    </row>
    <row r="12983" spans="7:8">
      <c r="G12983" s="87"/>
      <c r="H12983" s="90"/>
    </row>
    <row r="12984" spans="7:8">
      <c r="G12984" s="87"/>
      <c r="H12984" s="90"/>
    </row>
    <row r="12985" spans="7:8">
      <c r="G12985" s="87"/>
      <c r="H12985" s="90"/>
    </row>
    <row r="12986" spans="7:8">
      <c r="G12986" s="87"/>
      <c r="H12986" s="90"/>
    </row>
    <row r="12987" spans="7:8">
      <c r="G12987" s="87"/>
      <c r="H12987" s="90"/>
    </row>
    <row r="12988" spans="7:8">
      <c r="G12988" s="87"/>
      <c r="H12988" s="90"/>
    </row>
    <row r="12989" spans="7:8">
      <c r="G12989" s="87"/>
      <c r="H12989" s="90"/>
    </row>
    <row r="12990" spans="7:8">
      <c r="G12990" s="87"/>
      <c r="H12990" s="90"/>
    </row>
    <row r="12991" spans="7:8">
      <c r="G12991" s="87"/>
      <c r="H12991" s="90"/>
    </row>
    <row r="12992" spans="7:8">
      <c r="G12992" s="87"/>
      <c r="H12992" s="90"/>
    </row>
    <row r="12993" spans="7:8">
      <c r="G12993" s="87"/>
      <c r="H12993" s="90"/>
    </row>
    <row r="12994" spans="7:8">
      <c r="G12994" s="87"/>
      <c r="H12994" s="90"/>
    </row>
    <row r="12995" spans="7:8">
      <c r="G12995" s="87"/>
      <c r="H12995" s="90"/>
    </row>
    <row r="12996" spans="7:8">
      <c r="G12996" s="87"/>
      <c r="H12996" s="90"/>
    </row>
    <row r="12997" spans="7:8">
      <c r="G12997" s="87"/>
      <c r="H12997" s="90"/>
    </row>
    <row r="12998" spans="7:8">
      <c r="G12998" s="87"/>
      <c r="H12998" s="90"/>
    </row>
    <row r="12999" spans="7:8">
      <c r="G12999" s="87"/>
      <c r="H12999" s="90"/>
    </row>
    <row r="13000" spans="7:8">
      <c r="G13000" s="87"/>
      <c r="H13000" s="90"/>
    </row>
    <row r="13001" spans="7:8">
      <c r="G13001" s="87"/>
      <c r="H13001" s="90"/>
    </row>
    <row r="13002" spans="7:8">
      <c r="G13002" s="87"/>
      <c r="H13002" s="90"/>
    </row>
    <row r="13003" spans="7:8">
      <c r="G13003" s="87"/>
      <c r="H13003" s="90"/>
    </row>
    <row r="13004" spans="7:8">
      <c r="G13004" s="87"/>
      <c r="H13004" s="90"/>
    </row>
    <row r="13005" spans="7:8">
      <c r="G13005" s="87"/>
      <c r="H13005" s="90"/>
    </row>
    <row r="13006" spans="7:8">
      <c r="G13006" s="87"/>
      <c r="H13006" s="90"/>
    </row>
    <row r="13007" spans="7:8">
      <c r="G13007" s="87"/>
      <c r="H13007" s="90"/>
    </row>
    <row r="13008" spans="7:8">
      <c r="G13008" s="87"/>
      <c r="H13008" s="90"/>
    </row>
    <row r="13009" spans="7:8">
      <c r="G13009" s="87"/>
      <c r="H13009" s="90"/>
    </row>
    <row r="13010" spans="7:8">
      <c r="G13010" s="87"/>
      <c r="H13010" s="90"/>
    </row>
    <row r="13011" spans="7:8">
      <c r="G13011" s="87"/>
      <c r="H13011" s="90"/>
    </row>
    <row r="13012" spans="7:8">
      <c r="G13012" s="87"/>
      <c r="H13012" s="90"/>
    </row>
    <row r="13013" spans="7:8">
      <c r="G13013" s="87"/>
      <c r="H13013" s="90"/>
    </row>
    <row r="13014" spans="7:8">
      <c r="G13014" s="87"/>
      <c r="H13014" s="90"/>
    </row>
    <row r="13015" spans="7:8">
      <c r="G13015" s="87"/>
      <c r="H13015" s="90"/>
    </row>
    <row r="13016" spans="7:8">
      <c r="G13016" s="87"/>
      <c r="H13016" s="90"/>
    </row>
    <row r="13017" spans="7:8">
      <c r="G13017" s="87"/>
      <c r="H13017" s="90"/>
    </row>
    <row r="13018" spans="7:8">
      <c r="G13018" s="87"/>
      <c r="H13018" s="90"/>
    </row>
    <row r="13019" spans="7:8">
      <c r="G13019" s="87"/>
      <c r="H13019" s="90"/>
    </row>
    <row r="13020" spans="7:8">
      <c r="G13020" s="87"/>
      <c r="H13020" s="90"/>
    </row>
    <row r="13021" spans="7:8">
      <c r="G13021" s="87"/>
      <c r="H13021" s="90"/>
    </row>
    <row r="13022" spans="7:8">
      <c r="G13022" s="87"/>
      <c r="H13022" s="90"/>
    </row>
    <row r="13023" spans="7:8">
      <c r="G13023" s="87"/>
      <c r="H13023" s="90"/>
    </row>
    <row r="13024" spans="7:8">
      <c r="G13024" s="87"/>
      <c r="H13024" s="90"/>
    </row>
    <row r="13025" spans="7:8">
      <c r="G13025" s="87"/>
      <c r="H13025" s="90"/>
    </row>
    <row r="13026" spans="7:8">
      <c r="G13026" s="87"/>
      <c r="H13026" s="90"/>
    </row>
    <row r="13027" spans="7:8">
      <c r="G13027" s="87"/>
      <c r="H13027" s="90"/>
    </row>
    <row r="13028" spans="7:8">
      <c r="G13028" s="87"/>
      <c r="H13028" s="90"/>
    </row>
    <row r="13029" spans="7:8">
      <c r="G13029" s="87"/>
      <c r="H13029" s="90"/>
    </row>
    <row r="13030" spans="7:8">
      <c r="G13030" s="87"/>
      <c r="H13030" s="90"/>
    </row>
    <row r="13031" spans="7:8">
      <c r="G13031" s="87"/>
      <c r="H13031" s="90"/>
    </row>
    <row r="13032" spans="7:8">
      <c r="G13032" s="87"/>
      <c r="H13032" s="90"/>
    </row>
    <row r="13033" spans="7:8">
      <c r="G13033" s="87"/>
      <c r="H13033" s="90"/>
    </row>
    <row r="13034" spans="7:8">
      <c r="G13034" s="87"/>
      <c r="H13034" s="90"/>
    </row>
    <row r="13035" spans="7:8">
      <c r="G13035" s="87"/>
      <c r="H13035" s="90"/>
    </row>
    <row r="13036" spans="7:8">
      <c r="G13036" s="87"/>
      <c r="H13036" s="90"/>
    </row>
    <row r="13037" spans="7:8">
      <c r="G13037" s="87"/>
      <c r="H13037" s="90"/>
    </row>
    <row r="13038" spans="7:8">
      <c r="G13038" s="87"/>
      <c r="H13038" s="90"/>
    </row>
    <row r="13039" spans="7:8">
      <c r="G13039" s="87"/>
      <c r="H13039" s="90"/>
    </row>
    <row r="13040" spans="7:8">
      <c r="G13040" s="87"/>
      <c r="H13040" s="90"/>
    </row>
    <row r="13041" spans="7:8">
      <c r="G13041" s="87"/>
      <c r="H13041" s="90"/>
    </row>
    <row r="13042" spans="7:8">
      <c r="G13042" s="87"/>
      <c r="H13042" s="90"/>
    </row>
    <row r="13043" spans="7:8">
      <c r="G13043" s="87"/>
      <c r="H13043" s="90"/>
    </row>
    <row r="13044" spans="7:8">
      <c r="G13044" s="87"/>
      <c r="H13044" s="90"/>
    </row>
    <row r="13045" spans="7:8">
      <c r="G13045" s="87"/>
      <c r="H13045" s="90"/>
    </row>
    <row r="13046" spans="7:8">
      <c r="G13046" s="87"/>
      <c r="H13046" s="90"/>
    </row>
    <row r="13047" spans="7:8">
      <c r="G13047" s="87"/>
      <c r="H13047" s="90"/>
    </row>
    <row r="13048" spans="7:8">
      <c r="G13048" s="87"/>
      <c r="H13048" s="90"/>
    </row>
    <row r="13049" spans="7:8">
      <c r="G13049" s="87"/>
      <c r="H13049" s="90"/>
    </row>
    <row r="13050" spans="7:8">
      <c r="G13050" s="87"/>
      <c r="H13050" s="90"/>
    </row>
    <row r="13051" spans="7:8">
      <c r="G13051" s="87"/>
      <c r="H13051" s="90"/>
    </row>
    <row r="13052" spans="7:8">
      <c r="G13052" s="87"/>
      <c r="H13052" s="90"/>
    </row>
    <row r="13053" spans="7:8">
      <c r="G13053" s="87"/>
      <c r="H13053" s="90"/>
    </row>
    <row r="13054" spans="7:8">
      <c r="G13054" s="87"/>
      <c r="H13054" s="90"/>
    </row>
    <row r="13055" spans="7:8">
      <c r="G13055" s="87"/>
      <c r="H13055" s="90"/>
    </row>
    <row r="13056" spans="7:8">
      <c r="G13056" s="87"/>
      <c r="H13056" s="90"/>
    </row>
    <row r="13057" spans="7:8">
      <c r="G13057" s="87"/>
      <c r="H13057" s="90"/>
    </row>
    <row r="13058" spans="7:8">
      <c r="G13058" s="87"/>
      <c r="H13058" s="90"/>
    </row>
    <row r="13059" spans="7:8">
      <c r="G13059" s="87"/>
      <c r="H13059" s="90"/>
    </row>
    <row r="13060" spans="7:8">
      <c r="G13060" s="87"/>
      <c r="H13060" s="90"/>
    </row>
    <row r="13061" spans="7:8">
      <c r="G13061" s="87"/>
      <c r="H13061" s="90"/>
    </row>
    <row r="13062" spans="7:8">
      <c r="G13062" s="87"/>
      <c r="H13062" s="90"/>
    </row>
    <row r="13063" spans="7:8">
      <c r="G13063" s="87"/>
      <c r="H13063" s="90"/>
    </row>
    <row r="13064" spans="7:8">
      <c r="G13064" s="87"/>
      <c r="H13064" s="90"/>
    </row>
    <row r="13065" spans="7:8">
      <c r="G13065" s="87"/>
      <c r="H13065" s="90"/>
    </row>
    <row r="13066" spans="7:8">
      <c r="G13066" s="87"/>
      <c r="H13066" s="90"/>
    </row>
    <row r="13067" spans="7:8">
      <c r="G13067" s="87"/>
      <c r="H13067" s="90"/>
    </row>
    <row r="13068" spans="7:8">
      <c r="G13068" s="87"/>
      <c r="H13068" s="90"/>
    </row>
    <row r="13069" spans="7:8">
      <c r="G13069" s="87"/>
      <c r="H13069" s="90"/>
    </row>
    <row r="13070" spans="7:8">
      <c r="G13070" s="87"/>
      <c r="H13070" s="90"/>
    </row>
    <row r="13071" spans="7:8">
      <c r="G13071" s="87"/>
      <c r="H13071" s="90"/>
    </row>
    <row r="13072" spans="7:8">
      <c r="G13072" s="87"/>
      <c r="H13072" s="90"/>
    </row>
    <row r="13073" spans="7:8">
      <c r="G13073" s="87"/>
      <c r="H13073" s="90"/>
    </row>
    <row r="13074" spans="7:8">
      <c r="G13074" s="87"/>
      <c r="H13074" s="90"/>
    </row>
    <row r="13075" spans="7:8">
      <c r="G13075" s="87"/>
      <c r="H13075" s="90"/>
    </row>
    <row r="13076" spans="7:8">
      <c r="G13076" s="87"/>
      <c r="H13076" s="90"/>
    </row>
    <row r="13077" spans="7:8">
      <c r="G13077" s="87"/>
      <c r="H13077" s="90"/>
    </row>
    <row r="13078" spans="7:8">
      <c r="G13078" s="87"/>
      <c r="H13078" s="90"/>
    </row>
    <row r="13079" spans="7:8">
      <c r="G13079" s="87"/>
      <c r="H13079" s="90"/>
    </row>
    <row r="13080" spans="7:8">
      <c r="G13080" s="87"/>
      <c r="H13080" s="90"/>
    </row>
    <row r="13081" spans="7:8">
      <c r="G13081" s="87"/>
      <c r="H13081" s="90"/>
    </row>
    <row r="13082" spans="7:8">
      <c r="G13082" s="87"/>
      <c r="H13082" s="90"/>
    </row>
    <row r="13083" spans="7:8">
      <c r="G13083" s="87"/>
      <c r="H13083" s="90"/>
    </row>
    <row r="13084" spans="7:8">
      <c r="G13084" s="87"/>
      <c r="H13084" s="90"/>
    </row>
    <row r="13085" spans="7:8">
      <c r="G13085" s="87"/>
      <c r="H13085" s="90"/>
    </row>
    <row r="13086" spans="7:8">
      <c r="G13086" s="87"/>
      <c r="H13086" s="90"/>
    </row>
    <row r="13087" spans="7:8">
      <c r="G13087" s="87"/>
      <c r="H13087" s="90"/>
    </row>
    <row r="13088" spans="7:8">
      <c r="G13088" s="87"/>
      <c r="H13088" s="90"/>
    </row>
    <row r="13089" spans="7:8">
      <c r="G13089" s="87"/>
      <c r="H13089" s="90"/>
    </row>
    <row r="13090" spans="7:8">
      <c r="G13090" s="87"/>
      <c r="H13090" s="90"/>
    </row>
    <row r="13091" spans="7:8">
      <c r="G13091" s="87"/>
      <c r="H13091" s="90"/>
    </row>
    <row r="13092" spans="7:8">
      <c r="G13092" s="87"/>
      <c r="H13092" s="90"/>
    </row>
    <row r="13093" spans="7:8">
      <c r="G13093" s="87"/>
      <c r="H13093" s="90"/>
    </row>
    <row r="13094" spans="7:8">
      <c r="G13094" s="87"/>
      <c r="H13094" s="90"/>
    </row>
    <row r="13095" spans="7:8">
      <c r="G13095" s="87"/>
      <c r="H13095" s="90"/>
    </row>
    <row r="13096" spans="7:8">
      <c r="G13096" s="87"/>
      <c r="H13096" s="90"/>
    </row>
    <row r="13097" spans="7:8">
      <c r="G13097" s="87"/>
      <c r="H13097" s="90"/>
    </row>
    <row r="13098" spans="7:8">
      <c r="G13098" s="87"/>
      <c r="H13098" s="90"/>
    </row>
    <row r="13099" spans="7:8">
      <c r="G13099" s="87"/>
      <c r="H13099" s="90"/>
    </row>
    <row r="13100" spans="7:8">
      <c r="G13100" s="87"/>
      <c r="H13100" s="90"/>
    </row>
    <row r="13101" spans="7:8">
      <c r="G13101" s="87"/>
      <c r="H13101" s="90"/>
    </row>
    <row r="13102" spans="7:8">
      <c r="G13102" s="87"/>
      <c r="H13102" s="90"/>
    </row>
    <row r="13103" spans="7:8">
      <c r="G13103" s="87"/>
      <c r="H13103" s="90"/>
    </row>
    <row r="13104" spans="7:8">
      <c r="G13104" s="87"/>
      <c r="H13104" s="90"/>
    </row>
    <row r="13105" spans="7:8">
      <c r="G13105" s="87"/>
      <c r="H13105" s="90"/>
    </row>
    <row r="13106" spans="7:8">
      <c r="G13106" s="87"/>
      <c r="H13106" s="90"/>
    </row>
    <row r="13107" spans="7:8">
      <c r="G13107" s="87"/>
      <c r="H13107" s="90"/>
    </row>
    <row r="13108" spans="7:8">
      <c r="G13108" s="87"/>
      <c r="H13108" s="90"/>
    </row>
    <row r="13109" spans="7:8">
      <c r="G13109" s="87"/>
      <c r="H13109" s="90"/>
    </row>
    <row r="13110" spans="7:8">
      <c r="G13110" s="87"/>
      <c r="H13110" s="90"/>
    </row>
    <row r="13111" spans="7:8">
      <c r="G13111" s="87"/>
      <c r="H13111" s="90"/>
    </row>
    <row r="13112" spans="7:8">
      <c r="G13112" s="87"/>
      <c r="H13112" s="90"/>
    </row>
    <row r="13113" spans="7:8">
      <c r="G13113" s="87"/>
      <c r="H13113" s="90"/>
    </row>
    <row r="13114" spans="7:8">
      <c r="G13114" s="87"/>
      <c r="H13114" s="90"/>
    </row>
    <row r="13115" spans="7:8">
      <c r="G13115" s="87"/>
      <c r="H13115" s="90"/>
    </row>
    <row r="13116" spans="7:8">
      <c r="G13116" s="87"/>
      <c r="H13116" s="90"/>
    </row>
    <row r="13117" spans="7:8">
      <c r="G13117" s="87"/>
      <c r="H13117" s="90"/>
    </row>
    <row r="13118" spans="7:8">
      <c r="G13118" s="87"/>
      <c r="H13118" s="90"/>
    </row>
    <row r="13119" spans="7:8">
      <c r="G13119" s="87"/>
      <c r="H13119" s="90"/>
    </row>
    <row r="13120" spans="7:8">
      <c r="G13120" s="87"/>
      <c r="H13120" s="90"/>
    </row>
    <row r="13121" spans="7:8">
      <c r="G13121" s="87"/>
      <c r="H13121" s="90"/>
    </row>
    <row r="13122" spans="7:8">
      <c r="G13122" s="87"/>
      <c r="H13122" s="90"/>
    </row>
    <row r="13123" spans="7:8">
      <c r="G13123" s="87"/>
      <c r="H13123" s="90"/>
    </row>
    <row r="13124" spans="7:8">
      <c r="G13124" s="87"/>
      <c r="H13124" s="90"/>
    </row>
    <row r="13125" spans="7:8">
      <c r="G13125" s="87"/>
      <c r="H13125" s="90"/>
    </row>
    <row r="13126" spans="7:8">
      <c r="G13126" s="87"/>
      <c r="H13126" s="90"/>
    </row>
    <row r="13127" spans="7:8">
      <c r="G13127" s="87"/>
      <c r="H13127" s="90"/>
    </row>
    <row r="13128" spans="7:8">
      <c r="G13128" s="87"/>
      <c r="H13128" s="90"/>
    </row>
    <row r="13129" spans="7:8">
      <c r="G13129" s="87"/>
      <c r="H13129" s="90"/>
    </row>
    <row r="13130" spans="7:8">
      <c r="G13130" s="87"/>
      <c r="H13130" s="90"/>
    </row>
    <row r="13131" spans="7:8">
      <c r="G13131" s="87"/>
      <c r="H13131" s="90"/>
    </row>
    <row r="13132" spans="7:8">
      <c r="G13132" s="87"/>
      <c r="H13132" s="90"/>
    </row>
    <row r="13133" spans="7:8">
      <c r="G13133" s="87"/>
      <c r="H13133" s="90"/>
    </row>
    <row r="13134" spans="7:8">
      <c r="G13134" s="87"/>
      <c r="H13134" s="90"/>
    </row>
    <row r="13135" spans="7:8">
      <c r="G13135" s="87"/>
      <c r="H13135" s="90"/>
    </row>
    <row r="13136" spans="7:8">
      <c r="G13136" s="87"/>
      <c r="H13136" s="90"/>
    </row>
    <row r="13137" spans="7:8">
      <c r="G13137" s="87"/>
      <c r="H13137" s="90"/>
    </row>
    <row r="13138" spans="7:8">
      <c r="G13138" s="87"/>
      <c r="H13138" s="90"/>
    </row>
    <row r="13139" spans="7:8">
      <c r="G13139" s="87"/>
      <c r="H13139" s="90"/>
    </row>
    <row r="13140" spans="7:8">
      <c r="G13140" s="87"/>
      <c r="H13140" s="90"/>
    </row>
    <row r="13141" spans="7:8">
      <c r="G13141" s="87"/>
      <c r="H13141" s="90"/>
    </row>
    <row r="13142" spans="7:8">
      <c r="G13142" s="87"/>
      <c r="H13142" s="90"/>
    </row>
    <row r="13143" spans="7:8">
      <c r="G13143" s="87"/>
      <c r="H13143" s="90"/>
    </row>
    <row r="13144" spans="7:8">
      <c r="G13144" s="87"/>
      <c r="H13144" s="90"/>
    </row>
    <row r="13145" spans="7:8">
      <c r="G13145" s="87"/>
      <c r="H13145" s="90"/>
    </row>
    <row r="13146" spans="7:8">
      <c r="G13146" s="87"/>
      <c r="H13146" s="90"/>
    </row>
    <row r="13147" spans="7:8">
      <c r="G13147" s="87"/>
      <c r="H13147" s="90"/>
    </row>
    <row r="13148" spans="7:8">
      <c r="G13148" s="87"/>
      <c r="H13148" s="90"/>
    </row>
    <row r="13149" spans="7:8">
      <c r="G13149" s="87"/>
      <c r="H13149" s="90"/>
    </row>
    <row r="13150" spans="7:8">
      <c r="G13150" s="87"/>
      <c r="H13150" s="90"/>
    </row>
    <row r="13151" spans="7:8">
      <c r="G13151" s="87"/>
      <c r="H13151" s="90"/>
    </row>
    <row r="13152" spans="7:8">
      <c r="G13152" s="87"/>
      <c r="H13152" s="90"/>
    </row>
    <row r="13153" spans="7:8">
      <c r="G13153" s="87"/>
      <c r="H13153" s="90"/>
    </row>
    <row r="13154" spans="7:8">
      <c r="G13154" s="87"/>
      <c r="H13154" s="90"/>
    </row>
    <row r="13155" spans="7:8">
      <c r="G13155" s="87"/>
      <c r="H13155" s="90"/>
    </row>
    <row r="13156" spans="7:8">
      <c r="G13156" s="87"/>
      <c r="H13156" s="90"/>
    </row>
    <row r="13157" spans="7:8">
      <c r="G13157" s="87"/>
      <c r="H13157" s="90"/>
    </row>
    <row r="13158" spans="7:8">
      <c r="G13158" s="87"/>
      <c r="H13158" s="90"/>
    </row>
    <row r="13159" spans="7:8">
      <c r="G13159" s="87"/>
      <c r="H13159" s="90"/>
    </row>
    <row r="13160" spans="7:8">
      <c r="G13160" s="87"/>
      <c r="H13160" s="90"/>
    </row>
    <row r="13161" spans="7:8">
      <c r="G13161" s="87"/>
      <c r="H13161" s="90"/>
    </row>
    <row r="13162" spans="7:8">
      <c r="G13162" s="87"/>
      <c r="H13162" s="90"/>
    </row>
    <row r="13163" spans="7:8">
      <c r="G13163" s="87"/>
      <c r="H13163" s="90"/>
    </row>
    <row r="13164" spans="7:8">
      <c r="G13164" s="87"/>
      <c r="H13164" s="90"/>
    </row>
    <row r="13165" spans="7:8">
      <c r="G13165" s="87"/>
      <c r="H13165" s="90"/>
    </row>
    <row r="13166" spans="7:8">
      <c r="G13166" s="87"/>
      <c r="H13166" s="90"/>
    </row>
    <row r="13167" spans="7:8">
      <c r="G13167" s="87"/>
      <c r="H13167" s="90"/>
    </row>
    <row r="13168" spans="7:8">
      <c r="G13168" s="87"/>
      <c r="H13168" s="90"/>
    </row>
    <row r="13169" spans="7:8">
      <c r="G13169" s="87"/>
      <c r="H13169" s="90"/>
    </row>
    <row r="13170" spans="7:8">
      <c r="G13170" s="87"/>
      <c r="H13170" s="90"/>
    </row>
    <row r="13171" spans="7:8">
      <c r="G13171" s="87"/>
      <c r="H13171" s="90"/>
    </row>
    <row r="13172" spans="7:8">
      <c r="G13172" s="87"/>
      <c r="H13172" s="90"/>
    </row>
    <row r="13173" spans="7:8">
      <c r="G13173" s="87"/>
      <c r="H13173" s="90"/>
    </row>
    <row r="13174" spans="7:8">
      <c r="G13174" s="87"/>
      <c r="H13174" s="90"/>
    </row>
    <row r="13175" spans="7:8">
      <c r="G13175" s="87"/>
      <c r="H13175" s="90"/>
    </row>
    <row r="13176" spans="7:8">
      <c r="G13176" s="87"/>
      <c r="H13176" s="90"/>
    </row>
    <row r="13177" spans="7:8">
      <c r="G13177" s="87"/>
      <c r="H13177" s="90"/>
    </row>
    <row r="13178" spans="7:8">
      <c r="G13178" s="87"/>
      <c r="H13178" s="90"/>
    </row>
    <row r="13179" spans="7:8">
      <c r="G13179" s="87"/>
      <c r="H13179" s="90"/>
    </row>
    <row r="13180" spans="7:8">
      <c r="G13180" s="87"/>
      <c r="H13180" s="90"/>
    </row>
    <row r="13181" spans="7:8">
      <c r="G13181" s="87"/>
      <c r="H13181" s="90"/>
    </row>
    <row r="13182" spans="7:8">
      <c r="G13182" s="87"/>
      <c r="H13182" s="90"/>
    </row>
    <row r="13183" spans="7:8">
      <c r="G13183" s="87"/>
      <c r="H13183" s="90"/>
    </row>
    <row r="13184" spans="7:8">
      <c r="G13184" s="87"/>
      <c r="H13184" s="90"/>
    </row>
    <row r="13185" spans="7:8">
      <c r="G13185" s="87"/>
      <c r="H13185" s="90"/>
    </row>
    <row r="13186" spans="7:8">
      <c r="G13186" s="87"/>
      <c r="H13186" s="90"/>
    </row>
    <row r="13187" spans="7:8">
      <c r="G13187" s="87"/>
      <c r="H13187" s="90"/>
    </row>
    <row r="13188" spans="7:8">
      <c r="G13188" s="87"/>
      <c r="H13188" s="90"/>
    </row>
    <row r="13189" spans="7:8">
      <c r="G13189" s="87"/>
      <c r="H13189" s="90"/>
    </row>
    <row r="13190" spans="7:8">
      <c r="G13190" s="87"/>
      <c r="H13190" s="90"/>
    </row>
    <row r="13191" spans="7:8">
      <c r="G13191" s="87"/>
      <c r="H13191" s="90"/>
    </row>
    <row r="13192" spans="7:8">
      <c r="G13192" s="87"/>
      <c r="H13192" s="90"/>
    </row>
    <row r="13193" spans="7:8">
      <c r="G13193" s="87"/>
      <c r="H13193" s="90"/>
    </row>
    <row r="13194" spans="7:8">
      <c r="G13194" s="87"/>
      <c r="H13194" s="90"/>
    </row>
    <row r="13195" spans="7:8">
      <c r="G13195" s="87"/>
      <c r="H13195" s="90"/>
    </row>
    <row r="13196" spans="7:8">
      <c r="G13196" s="87"/>
      <c r="H13196" s="90"/>
    </row>
    <row r="13197" spans="7:8">
      <c r="G13197" s="87"/>
      <c r="H13197" s="90"/>
    </row>
    <row r="13198" spans="7:8">
      <c r="G13198" s="87"/>
      <c r="H13198" s="90"/>
    </row>
    <row r="13199" spans="7:8">
      <c r="G13199" s="87"/>
      <c r="H13199" s="90"/>
    </row>
    <row r="13200" spans="7:8">
      <c r="G13200" s="87"/>
      <c r="H13200" s="90"/>
    </row>
    <row r="13201" spans="7:8">
      <c r="G13201" s="87"/>
      <c r="H13201" s="90"/>
    </row>
    <row r="13202" spans="7:8">
      <c r="G13202" s="87"/>
      <c r="H13202" s="90"/>
    </row>
    <row r="13203" spans="7:8">
      <c r="G13203" s="87"/>
      <c r="H13203" s="90"/>
    </row>
    <row r="13204" spans="7:8">
      <c r="G13204" s="87"/>
      <c r="H13204" s="90"/>
    </row>
    <row r="13205" spans="7:8">
      <c r="G13205" s="87"/>
      <c r="H13205" s="90"/>
    </row>
    <row r="13206" spans="7:8">
      <c r="G13206" s="87"/>
      <c r="H13206" s="90"/>
    </row>
    <row r="13207" spans="7:8">
      <c r="G13207" s="87"/>
      <c r="H13207" s="90"/>
    </row>
    <row r="13208" spans="7:8">
      <c r="G13208" s="87"/>
      <c r="H13208" s="90"/>
    </row>
    <row r="13209" spans="7:8">
      <c r="G13209" s="87"/>
      <c r="H13209" s="90"/>
    </row>
    <row r="13210" spans="7:8">
      <c r="G13210" s="87"/>
      <c r="H13210" s="90"/>
    </row>
    <row r="13211" spans="7:8">
      <c r="G13211" s="87"/>
      <c r="H13211" s="90"/>
    </row>
    <row r="13212" spans="7:8">
      <c r="G13212" s="87"/>
      <c r="H13212" s="90"/>
    </row>
    <row r="13213" spans="7:8">
      <c r="G13213" s="87"/>
      <c r="H13213" s="90"/>
    </row>
    <row r="13214" spans="7:8">
      <c r="G13214" s="87"/>
      <c r="H13214" s="90"/>
    </row>
    <row r="13215" spans="7:8">
      <c r="G13215" s="87"/>
      <c r="H13215" s="90"/>
    </row>
    <row r="13216" spans="7:8">
      <c r="G13216" s="87"/>
      <c r="H13216" s="90"/>
    </row>
    <row r="13217" spans="7:8">
      <c r="G13217" s="87"/>
      <c r="H13217" s="90"/>
    </row>
    <row r="13218" spans="7:8">
      <c r="G13218" s="87"/>
      <c r="H13218" s="90"/>
    </row>
    <row r="13219" spans="7:8">
      <c r="G13219" s="87"/>
      <c r="H13219" s="90"/>
    </row>
    <row r="13220" spans="7:8">
      <c r="G13220" s="87"/>
      <c r="H13220" s="90"/>
    </row>
    <row r="13221" spans="7:8">
      <c r="G13221" s="87"/>
      <c r="H13221" s="90"/>
    </row>
    <row r="13222" spans="7:8">
      <c r="G13222" s="87"/>
      <c r="H13222" s="90"/>
    </row>
    <row r="13223" spans="7:8">
      <c r="G13223" s="87"/>
      <c r="H13223" s="90"/>
    </row>
    <row r="13224" spans="7:8">
      <c r="G13224" s="87"/>
      <c r="H13224" s="90"/>
    </row>
    <row r="13225" spans="7:8">
      <c r="G13225" s="87"/>
      <c r="H13225" s="90"/>
    </row>
    <row r="13226" spans="7:8">
      <c r="G13226" s="87"/>
      <c r="H13226" s="90"/>
    </row>
    <row r="13227" spans="7:8">
      <c r="G13227" s="87"/>
      <c r="H13227" s="90"/>
    </row>
    <row r="13228" spans="7:8">
      <c r="G13228" s="87"/>
      <c r="H13228" s="90"/>
    </row>
    <row r="13229" spans="7:8">
      <c r="G13229" s="87"/>
      <c r="H13229" s="90"/>
    </row>
    <row r="13230" spans="7:8">
      <c r="G13230" s="87"/>
      <c r="H13230" s="90"/>
    </row>
    <row r="13231" spans="7:8">
      <c r="G13231" s="87"/>
      <c r="H13231" s="90"/>
    </row>
    <row r="13232" spans="7:8">
      <c r="G13232" s="87"/>
      <c r="H13232" s="90"/>
    </row>
    <row r="13233" spans="7:8">
      <c r="G13233" s="87"/>
      <c r="H13233" s="90"/>
    </row>
    <row r="13234" spans="7:8">
      <c r="G13234" s="87"/>
      <c r="H13234" s="90"/>
    </row>
    <row r="13235" spans="7:8">
      <c r="G13235" s="87"/>
      <c r="H13235" s="90"/>
    </row>
    <row r="13236" spans="7:8">
      <c r="G13236" s="87"/>
      <c r="H13236" s="90"/>
    </row>
    <row r="13237" spans="7:8">
      <c r="G13237" s="87"/>
      <c r="H13237" s="90"/>
    </row>
    <row r="13238" spans="7:8">
      <c r="G13238" s="87"/>
      <c r="H13238" s="90"/>
    </row>
    <row r="13239" spans="7:8">
      <c r="G13239" s="87"/>
      <c r="H13239" s="90"/>
    </row>
    <row r="13240" spans="7:8">
      <c r="G13240" s="87"/>
      <c r="H13240" s="90"/>
    </row>
    <row r="13241" spans="7:8">
      <c r="G13241" s="87"/>
      <c r="H13241" s="90"/>
    </row>
    <row r="13242" spans="7:8">
      <c r="G13242" s="87"/>
      <c r="H13242" s="90"/>
    </row>
    <row r="13243" spans="7:8">
      <c r="G13243" s="87"/>
      <c r="H13243" s="90"/>
    </row>
    <row r="13244" spans="7:8">
      <c r="G13244" s="87"/>
      <c r="H13244" s="90"/>
    </row>
    <row r="13245" spans="7:8">
      <c r="G13245" s="87"/>
      <c r="H13245" s="90"/>
    </row>
    <row r="13246" spans="7:8">
      <c r="G13246" s="87"/>
      <c r="H13246" s="90"/>
    </row>
    <row r="13247" spans="7:8">
      <c r="G13247" s="87"/>
      <c r="H13247" s="90"/>
    </row>
    <row r="13248" spans="7:8">
      <c r="G13248" s="87"/>
      <c r="H13248" s="90"/>
    </row>
    <row r="13249" spans="7:8">
      <c r="G13249" s="87"/>
      <c r="H13249" s="90"/>
    </row>
    <row r="13250" spans="7:8">
      <c r="G13250" s="87"/>
      <c r="H13250" s="90"/>
    </row>
    <row r="13251" spans="7:8">
      <c r="G13251" s="87"/>
      <c r="H13251" s="90"/>
    </row>
    <row r="13252" spans="7:8">
      <c r="G13252" s="87"/>
      <c r="H13252" s="90"/>
    </row>
    <row r="13253" spans="7:8">
      <c r="G13253" s="87"/>
      <c r="H13253" s="90"/>
    </row>
    <row r="13254" spans="7:8">
      <c r="G13254" s="87"/>
      <c r="H13254" s="90"/>
    </row>
    <row r="13255" spans="7:8">
      <c r="G13255" s="87"/>
      <c r="H13255" s="90"/>
    </row>
    <row r="13256" spans="7:8">
      <c r="G13256" s="87"/>
      <c r="H13256" s="90"/>
    </row>
    <row r="13257" spans="7:8">
      <c r="G13257" s="87"/>
      <c r="H13257" s="90"/>
    </row>
    <row r="13258" spans="7:8">
      <c r="G13258" s="87"/>
      <c r="H13258" s="90"/>
    </row>
    <row r="13259" spans="7:8">
      <c r="G13259" s="87"/>
      <c r="H13259" s="90"/>
    </row>
    <row r="13260" spans="7:8">
      <c r="G13260" s="87"/>
      <c r="H13260" s="90"/>
    </row>
    <row r="13261" spans="7:8">
      <c r="G13261" s="87"/>
      <c r="H13261" s="90"/>
    </row>
    <row r="13262" spans="7:8">
      <c r="G13262" s="87"/>
      <c r="H13262" s="90"/>
    </row>
    <row r="13263" spans="7:8">
      <c r="G13263" s="87"/>
      <c r="H13263" s="90"/>
    </row>
    <row r="13264" spans="7:8">
      <c r="G13264" s="87"/>
      <c r="H13264" s="90"/>
    </row>
    <row r="13265" spans="7:8">
      <c r="G13265" s="87"/>
      <c r="H13265" s="90"/>
    </row>
    <row r="13266" spans="7:8">
      <c r="G13266" s="87"/>
      <c r="H13266" s="90"/>
    </row>
    <row r="13267" spans="7:8">
      <c r="G13267" s="87"/>
      <c r="H13267" s="90"/>
    </row>
    <row r="13268" spans="7:8">
      <c r="G13268" s="87"/>
      <c r="H13268" s="90"/>
    </row>
    <row r="13269" spans="7:8">
      <c r="G13269" s="87"/>
      <c r="H13269" s="90"/>
    </row>
    <row r="13270" spans="7:8">
      <c r="G13270" s="87"/>
      <c r="H13270" s="90"/>
    </row>
    <row r="13271" spans="7:8">
      <c r="G13271" s="87"/>
      <c r="H13271" s="90"/>
    </row>
    <row r="13272" spans="7:8">
      <c r="G13272" s="87"/>
      <c r="H13272" s="90"/>
    </row>
    <row r="13273" spans="7:8">
      <c r="G13273" s="87"/>
      <c r="H13273" s="90"/>
    </row>
    <row r="13274" spans="7:8">
      <c r="G13274" s="87"/>
      <c r="H13274" s="90"/>
    </row>
    <row r="13275" spans="7:8">
      <c r="G13275" s="87"/>
      <c r="H13275" s="90"/>
    </row>
    <row r="13276" spans="7:8">
      <c r="G13276" s="87"/>
      <c r="H13276" s="90"/>
    </row>
    <row r="13277" spans="7:8">
      <c r="G13277" s="87"/>
      <c r="H13277" s="90"/>
    </row>
    <row r="13278" spans="7:8">
      <c r="G13278" s="87"/>
      <c r="H13278" s="90"/>
    </row>
    <row r="13279" spans="7:8">
      <c r="G13279" s="87"/>
      <c r="H13279" s="90"/>
    </row>
    <row r="13280" spans="7:8">
      <c r="G13280" s="87"/>
      <c r="H13280" s="90"/>
    </row>
    <row r="13281" spans="7:8">
      <c r="G13281" s="87"/>
      <c r="H13281" s="90"/>
    </row>
    <row r="13282" spans="7:8">
      <c r="G13282" s="87"/>
      <c r="H13282" s="90"/>
    </row>
    <row r="13283" spans="7:8">
      <c r="G13283" s="87"/>
      <c r="H13283" s="90"/>
    </row>
    <row r="13284" spans="7:8">
      <c r="G13284" s="87"/>
      <c r="H13284" s="90"/>
    </row>
    <row r="13285" spans="7:8">
      <c r="G13285" s="87"/>
      <c r="H13285" s="90"/>
    </row>
    <row r="13286" spans="7:8">
      <c r="G13286" s="87"/>
      <c r="H13286" s="90"/>
    </row>
    <row r="13287" spans="7:8">
      <c r="G13287" s="87"/>
      <c r="H13287" s="90"/>
    </row>
    <row r="13288" spans="7:8">
      <c r="G13288" s="87"/>
      <c r="H13288" s="90"/>
    </row>
    <row r="13289" spans="7:8">
      <c r="G13289" s="87"/>
      <c r="H13289" s="90"/>
    </row>
    <row r="13290" spans="7:8">
      <c r="G13290" s="87"/>
      <c r="H13290" s="90"/>
    </row>
    <row r="13291" spans="7:8">
      <c r="G13291" s="87"/>
      <c r="H13291" s="90"/>
    </row>
    <row r="13292" spans="7:8">
      <c r="G13292" s="87"/>
      <c r="H13292" s="90"/>
    </row>
    <row r="13293" spans="7:8">
      <c r="G13293" s="87"/>
      <c r="H13293" s="90"/>
    </row>
    <row r="13294" spans="7:8">
      <c r="G13294" s="87"/>
      <c r="H13294" s="90"/>
    </row>
    <row r="13295" spans="7:8">
      <c r="G13295" s="87"/>
      <c r="H13295" s="90"/>
    </row>
    <row r="13296" spans="7:8">
      <c r="G13296" s="87"/>
      <c r="H13296" s="90"/>
    </row>
    <row r="13297" spans="7:8">
      <c r="G13297" s="87"/>
      <c r="H13297" s="90"/>
    </row>
    <row r="13298" spans="7:8">
      <c r="G13298" s="87"/>
      <c r="H13298" s="90"/>
    </row>
    <row r="13299" spans="7:8">
      <c r="G13299" s="87"/>
      <c r="H13299" s="90"/>
    </row>
    <row r="13300" spans="7:8">
      <c r="G13300" s="87"/>
      <c r="H13300" s="90"/>
    </row>
    <row r="13301" spans="7:8">
      <c r="G13301" s="87"/>
      <c r="H13301" s="90"/>
    </row>
    <row r="13302" spans="7:8">
      <c r="G13302" s="87"/>
      <c r="H13302" s="90"/>
    </row>
    <row r="13303" spans="7:8">
      <c r="G13303" s="87"/>
      <c r="H13303" s="90"/>
    </row>
    <row r="13304" spans="7:8">
      <c r="G13304" s="87"/>
      <c r="H13304" s="90"/>
    </row>
    <row r="13305" spans="7:8">
      <c r="G13305" s="87"/>
      <c r="H13305" s="90"/>
    </row>
    <row r="13306" spans="7:8">
      <c r="G13306" s="87"/>
      <c r="H13306" s="90"/>
    </row>
    <row r="13307" spans="7:8">
      <c r="G13307" s="87"/>
      <c r="H13307" s="90"/>
    </row>
    <row r="13308" spans="7:8">
      <c r="G13308" s="87"/>
      <c r="H13308" s="90"/>
    </row>
    <row r="13309" spans="7:8">
      <c r="G13309" s="87"/>
      <c r="H13309" s="90"/>
    </row>
    <row r="13310" spans="7:8">
      <c r="G13310" s="87"/>
      <c r="H13310" s="90"/>
    </row>
    <row r="13311" spans="7:8">
      <c r="G13311" s="87"/>
      <c r="H13311" s="90"/>
    </row>
    <row r="13312" spans="7:8">
      <c r="G13312" s="87"/>
      <c r="H13312" s="90"/>
    </row>
    <row r="13313" spans="7:8">
      <c r="G13313" s="87"/>
      <c r="H13313" s="90"/>
    </row>
    <row r="13314" spans="7:8">
      <c r="G13314" s="87"/>
      <c r="H13314" s="90"/>
    </row>
    <row r="13315" spans="7:8">
      <c r="G13315" s="87"/>
      <c r="H13315" s="90"/>
    </row>
    <row r="13316" spans="7:8">
      <c r="G13316" s="87"/>
      <c r="H13316" s="90"/>
    </row>
    <row r="13317" spans="7:8">
      <c r="G13317" s="87"/>
      <c r="H13317" s="90"/>
    </row>
    <row r="13318" spans="7:8">
      <c r="G13318" s="87"/>
      <c r="H13318" s="90"/>
    </row>
    <row r="13319" spans="7:8">
      <c r="G13319" s="87"/>
      <c r="H13319" s="90"/>
    </row>
    <row r="13320" spans="7:8">
      <c r="G13320" s="87"/>
      <c r="H13320" s="90"/>
    </row>
    <row r="13321" spans="7:8">
      <c r="G13321" s="87"/>
      <c r="H13321" s="90"/>
    </row>
    <row r="13322" spans="7:8">
      <c r="G13322" s="87"/>
      <c r="H13322" s="90"/>
    </row>
    <row r="13323" spans="7:8">
      <c r="G13323" s="87"/>
      <c r="H13323" s="90"/>
    </row>
    <row r="13324" spans="7:8">
      <c r="G13324" s="87"/>
      <c r="H13324" s="90"/>
    </row>
    <row r="13325" spans="7:8">
      <c r="G13325" s="87"/>
      <c r="H13325" s="90"/>
    </row>
    <row r="13326" spans="7:8">
      <c r="G13326" s="87"/>
      <c r="H13326" s="90"/>
    </row>
    <row r="13327" spans="7:8">
      <c r="G13327" s="87"/>
      <c r="H13327" s="90"/>
    </row>
    <row r="13328" spans="7:8">
      <c r="G13328" s="87"/>
      <c r="H13328" s="90"/>
    </row>
    <row r="13329" spans="7:8">
      <c r="G13329" s="87"/>
      <c r="H13329" s="90"/>
    </row>
    <row r="13330" spans="7:8">
      <c r="G13330" s="87"/>
      <c r="H13330" s="90"/>
    </row>
    <row r="13331" spans="7:8">
      <c r="G13331" s="87"/>
      <c r="H13331" s="90"/>
    </row>
    <row r="13332" spans="7:8">
      <c r="G13332" s="87"/>
      <c r="H13332" s="90"/>
    </row>
    <row r="13333" spans="7:8">
      <c r="G13333" s="87"/>
      <c r="H13333" s="90"/>
    </row>
    <row r="13334" spans="7:8">
      <c r="G13334" s="87"/>
      <c r="H13334" s="90"/>
    </row>
    <row r="13335" spans="7:8">
      <c r="G13335" s="87"/>
      <c r="H13335" s="90"/>
    </row>
    <row r="13336" spans="7:8">
      <c r="G13336" s="87"/>
      <c r="H13336" s="90"/>
    </row>
    <row r="13337" spans="7:8">
      <c r="G13337" s="87"/>
      <c r="H13337" s="90"/>
    </row>
    <row r="13338" spans="7:8">
      <c r="G13338" s="87"/>
      <c r="H13338" s="90"/>
    </row>
    <row r="13339" spans="7:8">
      <c r="G13339" s="87"/>
      <c r="H13339" s="90"/>
    </row>
    <row r="13340" spans="7:8">
      <c r="G13340" s="87"/>
      <c r="H13340" s="90"/>
    </row>
    <row r="13341" spans="7:8">
      <c r="G13341" s="87"/>
      <c r="H13341" s="90"/>
    </row>
    <row r="13342" spans="7:8">
      <c r="G13342" s="87"/>
      <c r="H13342" s="90"/>
    </row>
    <row r="13343" spans="7:8">
      <c r="G13343" s="87"/>
      <c r="H13343" s="90"/>
    </row>
    <row r="13344" spans="7:8">
      <c r="G13344" s="87"/>
      <c r="H13344" s="90"/>
    </row>
    <row r="13345" spans="7:8">
      <c r="G13345" s="87"/>
      <c r="H13345" s="90"/>
    </row>
    <row r="13346" spans="7:8">
      <c r="G13346" s="87"/>
      <c r="H13346" s="90"/>
    </row>
    <row r="13347" spans="7:8">
      <c r="G13347" s="87"/>
      <c r="H13347" s="90"/>
    </row>
    <row r="13348" spans="7:8">
      <c r="G13348" s="87"/>
      <c r="H13348" s="90"/>
    </row>
    <row r="13349" spans="7:8">
      <c r="G13349" s="87"/>
      <c r="H13349" s="90"/>
    </row>
    <row r="13350" spans="7:8">
      <c r="G13350" s="87"/>
      <c r="H13350" s="90"/>
    </row>
    <row r="13351" spans="7:8">
      <c r="G13351" s="87"/>
      <c r="H13351" s="90"/>
    </row>
    <row r="13352" spans="7:8">
      <c r="G13352" s="87"/>
      <c r="H13352" s="90"/>
    </row>
    <row r="13353" spans="7:8">
      <c r="G13353" s="87"/>
      <c r="H13353" s="90"/>
    </row>
    <row r="13354" spans="7:8">
      <c r="G13354" s="87"/>
      <c r="H13354" s="90"/>
    </row>
    <row r="13355" spans="7:8">
      <c r="G13355" s="87"/>
      <c r="H13355" s="90"/>
    </row>
    <row r="13356" spans="7:8">
      <c r="G13356" s="87"/>
      <c r="H13356" s="90"/>
    </row>
    <row r="13357" spans="7:8">
      <c r="G13357" s="87"/>
      <c r="H13357" s="90"/>
    </row>
    <row r="13358" spans="7:8">
      <c r="G13358" s="87"/>
      <c r="H13358" s="90"/>
    </row>
    <row r="13359" spans="7:8">
      <c r="G13359" s="87"/>
      <c r="H13359" s="90"/>
    </row>
    <row r="13360" spans="7:8">
      <c r="G13360" s="87"/>
      <c r="H13360" s="90"/>
    </row>
    <row r="13361" spans="7:8">
      <c r="G13361" s="87"/>
      <c r="H13361" s="90"/>
    </row>
    <row r="13362" spans="7:8">
      <c r="G13362" s="87"/>
      <c r="H13362" s="90"/>
    </row>
    <row r="13363" spans="7:8">
      <c r="G13363" s="87"/>
      <c r="H13363" s="90"/>
    </row>
    <row r="13364" spans="7:8">
      <c r="G13364" s="87"/>
      <c r="H13364" s="90"/>
    </row>
    <row r="13365" spans="7:8">
      <c r="G13365" s="87"/>
      <c r="H13365" s="90"/>
    </row>
    <row r="13366" spans="7:8">
      <c r="G13366" s="87"/>
      <c r="H13366" s="90"/>
    </row>
    <row r="13367" spans="7:8">
      <c r="G13367" s="87"/>
      <c r="H13367" s="90"/>
    </row>
    <row r="13368" spans="7:8">
      <c r="G13368" s="87"/>
      <c r="H13368" s="90"/>
    </row>
    <row r="13369" spans="7:8">
      <c r="G13369" s="87"/>
      <c r="H13369" s="90"/>
    </row>
    <row r="13370" spans="7:8">
      <c r="G13370" s="87"/>
      <c r="H13370" s="90"/>
    </row>
    <row r="13371" spans="7:8">
      <c r="G13371" s="87"/>
      <c r="H13371" s="90"/>
    </row>
    <row r="13372" spans="7:8">
      <c r="G13372" s="87"/>
      <c r="H13372" s="90"/>
    </row>
    <row r="13373" spans="7:8">
      <c r="G13373" s="87"/>
      <c r="H13373" s="90"/>
    </row>
    <row r="13374" spans="7:8">
      <c r="G13374" s="87"/>
      <c r="H13374" s="90"/>
    </row>
    <row r="13375" spans="7:8">
      <c r="G13375" s="87"/>
      <c r="H13375" s="90"/>
    </row>
    <row r="13376" spans="7:8">
      <c r="G13376" s="87"/>
      <c r="H13376" s="90"/>
    </row>
    <row r="13377" spans="7:8">
      <c r="G13377" s="87"/>
      <c r="H13377" s="90"/>
    </row>
    <row r="13378" spans="7:8">
      <c r="G13378" s="87"/>
      <c r="H13378" s="90"/>
    </row>
    <row r="13379" spans="7:8">
      <c r="G13379" s="87"/>
      <c r="H13379" s="90"/>
    </row>
    <row r="13380" spans="7:8">
      <c r="G13380" s="87"/>
      <c r="H13380" s="90"/>
    </row>
    <row r="13381" spans="7:8">
      <c r="G13381" s="87"/>
      <c r="H13381" s="90"/>
    </row>
    <row r="13382" spans="7:8">
      <c r="G13382" s="87"/>
      <c r="H13382" s="90"/>
    </row>
    <row r="13383" spans="7:8">
      <c r="G13383" s="87"/>
      <c r="H13383" s="90"/>
    </row>
    <row r="13384" spans="7:8">
      <c r="G13384" s="87"/>
      <c r="H13384" s="90"/>
    </row>
    <row r="13385" spans="7:8">
      <c r="G13385" s="87"/>
      <c r="H13385" s="90"/>
    </row>
    <row r="13386" spans="7:8">
      <c r="G13386" s="87"/>
      <c r="H13386" s="90"/>
    </row>
    <row r="13387" spans="7:8">
      <c r="G13387" s="87"/>
      <c r="H13387" s="90"/>
    </row>
    <row r="13388" spans="7:8">
      <c r="G13388" s="87"/>
      <c r="H13388" s="90"/>
    </row>
    <row r="13389" spans="7:8">
      <c r="G13389" s="87"/>
      <c r="H13389" s="90"/>
    </row>
    <row r="13390" spans="7:8">
      <c r="G13390" s="87"/>
      <c r="H13390" s="90"/>
    </row>
    <row r="13391" spans="7:8">
      <c r="G13391" s="87"/>
      <c r="H13391" s="90"/>
    </row>
    <row r="13392" spans="7:8">
      <c r="G13392" s="87"/>
      <c r="H13392" s="90"/>
    </row>
    <row r="13393" spans="7:8">
      <c r="G13393" s="87"/>
      <c r="H13393" s="90"/>
    </row>
    <row r="13394" spans="7:8">
      <c r="G13394" s="87"/>
      <c r="H13394" s="90"/>
    </row>
    <row r="13395" spans="7:8">
      <c r="G13395" s="87"/>
      <c r="H13395" s="90"/>
    </row>
    <row r="13396" spans="7:8">
      <c r="G13396" s="87"/>
      <c r="H13396" s="90"/>
    </row>
    <row r="13397" spans="7:8">
      <c r="G13397" s="87"/>
      <c r="H13397" s="90"/>
    </row>
    <row r="13398" spans="7:8">
      <c r="G13398" s="87"/>
      <c r="H13398" s="90"/>
    </row>
    <row r="13399" spans="7:8">
      <c r="G13399" s="87"/>
      <c r="H13399" s="90"/>
    </row>
    <row r="13400" spans="7:8">
      <c r="G13400" s="87"/>
      <c r="H13400" s="90"/>
    </row>
    <row r="13401" spans="7:8">
      <c r="G13401" s="87"/>
      <c r="H13401" s="90"/>
    </row>
    <row r="13402" spans="7:8">
      <c r="G13402" s="87"/>
      <c r="H13402" s="90"/>
    </row>
    <row r="13403" spans="7:8">
      <c r="G13403" s="87"/>
      <c r="H13403" s="90"/>
    </row>
    <row r="13404" spans="7:8">
      <c r="G13404" s="87"/>
      <c r="H13404" s="90"/>
    </row>
    <row r="13405" spans="7:8">
      <c r="G13405" s="87"/>
      <c r="H13405" s="90"/>
    </row>
    <row r="13406" spans="7:8">
      <c r="G13406" s="87"/>
      <c r="H13406" s="90"/>
    </row>
    <row r="13407" spans="7:8">
      <c r="G13407" s="87"/>
      <c r="H13407" s="90"/>
    </row>
    <row r="13408" spans="7:8">
      <c r="G13408" s="87"/>
      <c r="H13408" s="90"/>
    </row>
    <row r="13409" spans="7:8">
      <c r="G13409" s="87"/>
      <c r="H13409" s="90"/>
    </row>
    <row r="13410" spans="7:8">
      <c r="G13410" s="87"/>
      <c r="H13410" s="90"/>
    </row>
    <row r="13411" spans="7:8">
      <c r="G13411" s="87"/>
      <c r="H13411" s="90"/>
    </row>
    <row r="13412" spans="7:8">
      <c r="G13412" s="87"/>
      <c r="H13412" s="90"/>
    </row>
    <row r="13413" spans="7:8">
      <c r="G13413" s="87"/>
      <c r="H13413" s="90"/>
    </row>
    <row r="13414" spans="7:8">
      <c r="G13414" s="87"/>
      <c r="H13414" s="90"/>
    </row>
    <row r="13415" spans="7:8">
      <c r="G13415" s="87"/>
      <c r="H13415" s="90"/>
    </row>
    <row r="13416" spans="7:8">
      <c r="G13416" s="87"/>
      <c r="H13416" s="90"/>
    </row>
    <row r="13417" spans="7:8">
      <c r="G13417" s="87"/>
      <c r="H13417" s="90"/>
    </row>
    <row r="13418" spans="7:8">
      <c r="G13418" s="87"/>
      <c r="H13418" s="90"/>
    </row>
    <row r="13419" spans="7:8">
      <c r="G13419" s="87"/>
      <c r="H13419" s="90"/>
    </row>
    <row r="13420" spans="7:8">
      <c r="G13420" s="87"/>
      <c r="H13420" s="90"/>
    </row>
    <row r="13421" spans="7:8">
      <c r="G13421" s="87"/>
      <c r="H13421" s="90"/>
    </row>
    <row r="13422" spans="7:8">
      <c r="G13422" s="87"/>
      <c r="H13422" s="90"/>
    </row>
    <row r="13423" spans="7:8">
      <c r="G13423" s="87"/>
      <c r="H13423" s="90"/>
    </row>
    <row r="13424" spans="7:8">
      <c r="G13424" s="87"/>
      <c r="H13424" s="90"/>
    </row>
    <row r="13425" spans="7:8">
      <c r="G13425" s="87"/>
      <c r="H13425" s="90"/>
    </row>
    <row r="13426" spans="7:8">
      <c r="G13426" s="87"/>
      <c r="H13426" s="90"/>
    </row>
    <row r="13427" spans="7:8">
      <c r="G13427" s="87"/>
      <c r="H13427" s="90"/>
    </row>
    <row r="13428" spans="7:8">
      <c r="G13428" s="87"/>
      <c r="H13428" s="90"/>
    </row>
    <row r="13429" spans="7:8">
      <c r="G13429" s="87"/>
      <c r="H13429" s="90"/>
    </row>
    <row r="13430" spans="7:8">
      <c r="G13430" s="87"/>
      <c r="H13430" s="90"/>
    </row>
    <row r="13431" spans="7:8">
      <c r="G13431" s="87"/>
      <c r="H13431" s="90"/>
    </row>
    <row r="13432" spans="7:8">
      <c r="G13432" s="87"/>
      <c r="H13432" s="90"/>
    </row>
    <row r="13433" spans="7:8">
      <c r="G13433" s="87"/>
      <c r="H13433" s="90"/>
    </row>
    <row r="13434" spans="7:8">
      <c r="G13434" s="87"/>
      <c r="H13434" s="90"/>
    </row>
    <row r="13435" spans="7:8">
      <c r="G13435" s="87"/>
      <c r="H13435" s="90"/>
    </row>
    <row r="13436" spans="7:8">
      <c r="G13436" s="87"/>
      <c r="H13436" s="90"/>
    </row>
    <row r="13437" spans="7:8">
      <c r="G13437" s="87"/>
      <c r="H13437" s="90"/>
    </row>
    <row r="13438" spans="7:8">
      <c r="G13438" s="87"/>
      <c r="H13438" s="90"/>
    </row>
    <row r="13439" spans="7:8">
      <c r="G13439" s="87"/>
      <c r="H13439" s="90"/>
    </row>
    <row r="13440" spans="7:8">
      <c r="G13440" s="87"/>
      <c r="H13440" s="90"/>
    </row>
    <row r="13441" spans="7:8">
      <c r="G13441" s="87"/>
      <c r="H13441" s="90"/>
    </row>
    <row r="13442" spans="7:8">
      <c r="G13442" s="87"/>
      <c r="H13442" s="90"/>
    </row>
    <row r="13443" spans="7:8">
      <c r="G13443" s="87"/>
      <c r="H13443" s="90"/>
    </row>
    <row r="13444" spans="7:8">
      <c r="G13444" s="87"/>
      <c r="H13444" s="90"/>
    </row>
    <row r="13445" spans="7:8">
      <c r="G13445" s="87"/>
      <c r="H13445" s="90"/>
    </row>
    <row r="13446" spans="7:8">
      <c r="G13446" s="87"/>
      <c r="H13446" s="90"/>
    </row>
    <row r="13447" spans="7:8">
      <c r="G13447" s="87"/>
      <c r="H13447" s="90"/>
    </row>
    <row r="13448" spans="7:8">
      <c r="G13448" s="87"/>
      <c r="H13448" s="90"/>
    </row>
    <row r="13449" spans="7:8">
      <c r="G13449" s="87"/>
      <c r="H13449" s="90"/>
    </row>
    <row r="13450" spans="7:8">
      <c r="G13450" s="87"/>
      <c r="H13450" s="90"/>
    </row>
    <row r="13451" spans="7:8">
      <c r="G13451" s="87"/>
      <c r="H13451" s="90"/>
    </row>
    <row r="13452" spans="7:8">
      <c r="G13452" s="87"/>
      <c r="H13452" s="90"/>
    </row>
    <row r="13453" spans="7:8">
      <c r="G13453" s="87"/>
      <c r="H13453" s="90"/>
    </row>
    <row r="13454" spans="7:8">
      <c r="G13454" s="87"/>
      <c r="H13454" s="90"/>
    </row>
    <row r="13455" spans="7:8">
      <c r="G13455" s="87"/>
      <c r="H13455" s="90"/>
    </row>
    <row r="13456" spans="7:8">
      <c r="G13456" s="87"/>
      <c r="H13456" s="90"/>
    </row>
    <row r="13457" spans="7:8">
      <c r="G13457" s="87"/>
      <c r="H13457" s="90"/>
    </row>
    <row r="13458" spans="7:8">
      <c r="G13458" s="87"/>
      <c r="H13458" s="90"/>
    </row>
    <row r="13459" spans="7:8">
      <c r="G13459" s="87"/>
      <c r="H13459" s="90"/>
    </row>
    <row r="13460" spans="7:8">
      <c r="G13460" s="87"/>
      <c r="H13460" s="90"/>
    </row>
    <row r="13461" spans="7:8">
      <c r="G13461" s="87"/>
      <c r="H13461" s="90"/>
    </row>
    <row r="13462" spans="7:8">
      <c r="G13462" s="87"/>
      <c r="H13462" s="90"/>
    </row>
    <row r="13463" spans="7:8">
      <c r="G13463" s="87"/>
      <c r="H13463" s="90"/>
    </row>
    <row r="13464" spans="7:8">
      <c r="G13464" s="87"/>
      <c r="H13464" s="90"/>
    </row>
    <row r="13465" spans="7:8">
      <c r="G13465" s="87"/>
      <c r="H13465" s="90"/>
    </row>
    <row r="13466" spans="7:8">
      <c r="G13466" s="87"/>
      <c r="H13466" s="90"/>
    </row>
    <row r="13467" spans="7:8">
      <c r="G13467" s="87"/>
      <c r="H13467" s="90"/>
    </row>
    <row r="13468" spans="7:8">
      <c r="G13468" s="87"/>
      <c r="H13468" s="90"/>
    </row>
    <row r="13469" spans="7:8">
      <c r="G13469" s="87"/>
      <c r="H13469" s="90"/>
    </row>
    <row r="13470" spans="7:8">
      <c r="G13470" s="87"/>
      <c r="H13470" s="90"/>
    </row>
    <row r="13471" spans="7:8">
      <c r="G13471" s="87"/>
      <c r="H13471" s="90"/>
    </row>
    <row r="13472" spans="7:8">
      <c r="G13472" s="87"/>
      <c r="H13472" s="90"/>
    </row>
    <row r="13473" spans="7:8">
      <c r="G13473" s="87"/>
      <c r="H13473" s="90"/>
    </row>
    <row r="13474" spans="7:8">
      <c r="G13474" s="87"/>
      <c r="H13474" s="90"/>
    </row>
    <row r="13475" spans="7:8">
      <c r="G13475" s="87"/>
      <c r="H13475" s="90"/>
    </row>
    <row r="13476" spans="7:8">
      <c r="G13476" s="87"/>
      <c r="H13476" s="90"/>
    </row>
    <row r="13477" spans="7:8">
      <c r="G13477" s="87"/>
      <c r="H13477" s="90"/>
    </row>
    <row r="13478" spans="7:8">
      <c r="G13478" s="87"/>
      <c r="H13478" s="90"/>
    </row>
    <row r="13479" spans="7:8">
      <c r="G13479" s="87"/>
      <c r="H13479" s="90"/>
    </row>
    <row r="13480" spans="7:8">
      <c r="G13480" s="87"/>
      <c r="H13480" s="90"/>
    </row>
    <row r="13481" spans="7:8">
      <c r="G13481" s="87"/>
      <c r="H13481" s="90"/>
    </row>
    <row r="13482" spans="7:8">
      <c r="G13482" s="87"/>
      <c r="H13482" s="90"/>
    </row>
    <row r="13483" spans="7:8">
      <c r="G13483" s="87"/>
      <c r="H13483" s="90"/>
    </row>
    <row r="13484" spans="7:8">
      <c r="G13484" s="87"/>
      <c r="H13484" s="90"/>
    </row>
    <row r="13485" spans="7:8">
      <c r="G13485" s="87"/>
      <c r="H13485" s="90"/>
    </row>
    <row r="13486" spans="7:8">
      <c r="G13486" s="87"/>
      <c r="H13486" s="90"/>
    </row>
    <row r="13487" spans="7:8">
      <c r="G13487" s="87"/>
      <c r="H13487" s="90"/>
    </row>
    <row r="13488" spans="7:8">
      <c r="G13488" s="87"/>
      <c r="H13488" s="90"/>
    </row>
    <row r="13489" spans="7:8">
      <c r="G13489" s="87"/>
      <c r="H13489" s="90"/>
    </row>
    <row r="13490" spans="7:8">
      <c r="G13490" s="87"/>
      <c r="H13490" s="90"/>
    </row>
    <row r="13491" spans="7:8">
      <c r="G13491" s="87"/>
      <c r="H13491" s="90"/>
    </row>
    <row r="13492" spans="7:8">
      <c r="G13492" s="87"/>
      <c r="H13492" s="90"/>
    </row>
    <row r="13493" spans="7:8">
      <c r="G13493" s="87"/>
      <c r="H13493" s="90"/>
    </row>
    <row r="13494" spans="7:8">
      <c r="G13494" s="87"/>
      <c r="H13494" s="90"/>
    </row>
    <row r="13495" spans="7:8">
      <c r="G13495" s="87"/>
      <c r="H13495" s="90"/>
    </row>
    <row r="13496" spans="7:8">
      <c r="G13496" s="87"/>
      <c r="H13496" s="90"/>
    </row>
    <row r="13497" spans="7:8">
      <c r="G13497" s="87"/>
      <c r="H13497" s="90"/>
    </row>
    <row r="13498" spans="7:8">
      <c r="G13498" s="87"/>
      <c r="H13498" s="90"/>
    </row>
    <row r="13499" spans="7:8">
      <c r="G13499" s="87"/>
      <c r="H13499" s="90"/>
    </row>
    <row r="13500" spans="7:8">
      <c r="G13500" s="87"/>
      <c r="H13500" s="90"/>
    </row>
    <row r="13501" spans="7:8">
      <c r="G13501" s="87"/>
      <c r="H13501" s="90"/>
    </row>
    <row r="13502" spans="7:8">
      <c r="G13502" s="87"/>
      <c r="H13502" s="90"/>
    </row>
    <row r="13503" spans="7:8">
      <c r="G13503" s="87"/>
      <c r="H13503" s="90"/>
    </row>
    <row r="13504" spans="7:8">
      <c r="G13504" s="87"/>
      <c r="H13504" s="90"/>
    </row>
    <row r="13505" spans="7:8">
      <c r="G13505" s="87"/>
      <c r="H13505" s="90"/>
    </row>
    <row r="13506" spans="7:8">
      <c r="G13506" s="87"/>
      <c r="H13506" s="90"/>
    </row>
    <row r="13507" spans="7:8">
      <c r="G13507" s="87"/>
      <c r="H13507" s="90"/>
    </row>
    <row r="13508" spans="7:8">
      <c r="G13508" s="87"/>
      <c r="H13508" s="90"/>
    </row>
    <row r="13509" spans="7:8">
      <c r="G13509" s="87"/>
      <c r="H13509" s="90"/>
    </row>
    <row r="13510" spans="7:8">
      <c r="G13510" s="87"/>
      <c r="H13510" s="90"/>
    </row>
    <row r="13511" spans="7:8">
      <c r="G13511" s="87"/>
      <c r="H13511" s="90"/>
    </row>
    <row r="13512" spans="7:8">
      <c r="G13512" s="87"/>
      <c r="H13512" s="90"/>
    </row>
    <row r="13513" spans="7:8">
      <c r="G13513" s="87"/>
      <c r="H13513" s="90"/>
    </row>
    <row r="13514" spans="7:8">
      <c r="G13514" s="87"/>
      <c r="H13514" s="90"/>
    </row>
    <row r="13515" spans="7:8">
      <c r="G13515" s="87"/>
      <c r="H13515" s="90"/>
    </row>
    <row r="13516" spans="7:8">
      <c r="G13516" s="87"/>
      <c r="H13516" s="90"/>
    </row>
    <row r="13517" spans="7:8">
      <c r="G13517" s="87"/>
      <c r="H13517" s="90"/>
    </row>
    <row r="13518" spans="7:8">
      <c r="G13518" s="87"/>
      <c r="H13518" s="90"/>
    </row>
    <row r="13519" spans="7:8">
      <c r="G13519" s="87"/>
      <c r="H13519" s="90"/>
    </row>
    <row r="13520" spans="7:8">
      <c r="G13520" s="87"/>
      <c r="H13520" s="90"/>
    </row>
    <row r="13521" spans="7:8">
      <c r="G13521" s="87"/>
      <c r="H13521" s="90"/>
    </row>
    <row r="13522" spans="7:8">
      <c r="G13522" s="87"/>
      <c r="H13522" s="90"/>
    </row>
    <row r="13523" spans="7:8">
      <c r="G13523" s="87"/>
      <c r="H13523" s="90"/>
    </row>
    <row r="13524" spans="7:8">
      <c r="G13524" s="87"/>
      <c r="H13524" s="90"/>
    </row>
    <row r="13525" spans="7:8">
      <c r="G13525" s="87"/>
      <c r="H13525" s="90"/>
    </row>
    <row r="13526" spans="7:8">
      <c r="G13526" s="87"/>
      <c r="H13526" s="90"/>
    </row>
    <row r="13527" spans="7:8">
      <c r="G13527" s="87"/>
      <c r="H13527" s="90"/>
    </row>
    <row r="13528" spans="7:8">
      <c r="G13528" s="87"/>
      <c r="H13528" s="90"/>
    </row>
    <row r="13529" spans="7:8">
      <c r="G13529" s="87"/>
      <c r="H13529" s="90"/>
    </row>
    <row r="13530" spans="7:8">
      <c r="G13530" s="87"/>
      <c r="H13530" s="90"/>
    </row>
    <row r="13531" spans="7:8">
      <c r="G13531" s="87"/>
      <c r="H13531" s="90"/>
    </row>
    <row r="13532" spans="7:8">
      <c r="G13532" s="87"/>
      <c r="H13532" s="90"/>
    </row>
    <row r="13533" spans="7:8">
      <c r="G13533" s="87"/>
      <c r="H13533" s="90"/>
    </row>
    <row r="13534" spans="7:8">
      <c r="G13534" s="87"/>
      <c r="H13534" s="90"/>
    </row>
    <row r="13535" spans="7:8">
      <c r="G13535" s="87"/>
      <c r="H13535" s="90"/>
    </row>
    <row r="13536" spans="7:8">
      <c r="G13536" s="87"/>
      <c r="H13536" s="90"/>
    </row>
    <row r="13537" spans="7:8">
      <c r="G13537" s="87"/>
      <c r="H13537" s="90"/>
    </row>
    <row r="13538" spans="7:8">
      <c r="G13538" s="87"/>
      <c r="H13538" s="90"/>
    </row>
    <row r="13539" spans="7:8">
      <c r="G13539" s="87"/>
      <c r="H13539" s="90"/>
    </row>
    <row r="13540" spans="7:8">
      <c r="G13540" s="87"/>
      <c r="H13540" s="90"/>
    </row>
    <row r="13541" spans="7:8">
      <c r="G13541" s="87"/>
      <c r="H13541" s="90"/>
    </row>
    <row r="13542" spans="7:8">
      <c r="G13542" s="87"/>
      <c r="H13542" s="90"/>
    </row>
    <row r="13543" spans="7:8">
      <c r="G13543" s="87"/>
      <c r="H13543" s="90"/>
    </row>
    <row r="13544" spans="7:8">
      <c r="G13544" s="87"/>
      <c r="H13544" s="90"/>
    </row>
    <row r="13545" spans="7:8">
      <c r="G13545" s="87"/>
      <c r="H13545" s="90"/>
    </row>
    <row r="13546" spans="7:8">
      <c r="G13546" s="87"/>
      <c r="H13546" s="90"/>
    </row>
    <row r="13547" spans="7:8">
      <c r="G13547" s="87"/>
      <c r="H13547" s="90"/>
    </row>
    <row r="13548" spans="7:8">
      <c r="G13548" s="87"/>
      <c r="H13548" s="90"/>
    </row>
    <row r="13549" spans="7:8">
      <c r="G13549" s="87"/>
      <c r="H13549" s="90"/>
    </row>
    <row r="13550" spans="7:8">
      <c r="G13550" s="87"/>
      <c r="H13550" s="90"/>
    </row>
    <row r="13551" spans="7:8">
      <c r="G13551" s="87"/>
      <c r="H13551" s="90"/>
    </row>
    <row r="13552" spans="7:8">
      <c r="G13552" s="87"/>
      <c r="H13552" s="90"/>
    </row>
    <row r="13553" spans="7:8">
      <c r="G13553" s="87"/>
      <c r="H13553" s="90"/>
    </row>
    <row r="13554" spans="7:8">
      <c r="G13554" s="87"/>
      <c r="H13554" s="90"/>
    </row>
    <row r="13555" spans="7:8">
      <c r="G13555" s="87"/>
      <c r="H13555" s="90"/>
    </row>
    <row r="13556" spans="7:8">
      <c r="G13556" s="87"/>
      <c r="H13556" s="90"/>
    </row>
    <row r="13557" spans="7:8">
      <c r="G13557" s="87"/>
      <c r="H13557" s="90"/>
    </row>
    <row r="13558" spans="7:8">
      <c r="G13558" s="87"/>
      <c r="H13558" s="90"/>
    </row>
    <row r="13559" spans="7:8">
      <c r="G13559" s="87"/>
      <c r="H13559" s="90"/>
    </row>
    <row r="13560" spans="7:8">
      <c r="G13560" s="87"/>
      <c r="H13560" s="90"/>
    </row>
    <row r="13561" spans="7:8">
      <c r="G13561" s="87"/>
      <c r="H13561" s="90"/>
    </row>
    <row r="13562" spans="7:8">
      <c r="G13562" s="87"/>
      <c r="H13562" s="90"/>
    </row>
    <row r="13563" spans="7:8">
      <c r="G13563" s="87"/>
      <c r="H13563" s="90"/>
    </row>
    <row r="13564" spans="7:8">
      <c r="G13564" s="87"/>
      <c r="H13564" s="90"/>
    </row>
    <row r="13565" spans="7:8">
      <c r="G13565" s="87"/>
      <c r="H13565" s="90"/>
    </row>
    <row r="13566" spans="7:8">
      <c r="G13566" s="87"/>
      <c r="H13566" s="90"/>
    </row>
    <row r="13567" spans="7:8">
      <c r="G13567" s="87"/>
      <c r="H13567" s="90"/>
    </row>
    <row r="13568" spans="7:8">
      <c r="G13568" s="87"/>
      <c r="H13568" s="90"/>
    </row>
    <row r="13569" spans="7:8">
      <c r="G13569" s="87"/>
      <c r="H13569" s="90"/>
    </row>
    <row r="13570" spans="7:8">
      <c r="G13570" s="87"/>
      <c r="H13570" s="90"/>
    </row>
    <row r="13571" spans="7:8">
      <c r="G13571" s="87"/>
      <c r="H13571" s="90"/>
    </row>
    <row r="13572" spans="7:8">
      <c r="G13572" s="87"/>
      <c r="H13572" s="90"/>
    </row>
    <row r="13573" spans="7:8">
      <c r="G13573" s="87"/>
      <c r="H13573" s="90"/>
    </row>
    <row r="13574" spans="7:8">
      <c r="G13574" s="87"/>
      <c r="H13574" s="90"/>
    </row>
    <row r="13575" spans="7:8">
      <c r="G13575" s="87"/>
      <c r="H13575" s="90"/>
    </row>
    <row r="13576" spans="7:8">
      <c r="G13576" s="87"/>
      <c r="H13576" s="90"/>
    </row>
    <row r="13577" spans="7:8">
      <c r="G13577" s="87"/>
      <c r="H13577" s="90"/>
    </row>
    <row r="13578" spans="7:8">
      <c r="G13578" s="87"/>
      <c r="H13578" s="90"/>
    </row>
    <row r="13579" spans="7:8">
      <c r="G13579" s="87"/>
      <c r="H13579" s="90"/>
    </row>
    <row r="13580" spans="7:8">
      <c r="G13580" s="87"/>
      <c r="H13580" s="90"/>
    </row>
    <row r="13581" spans="7:8">
      <c r="G13581" s="87"/>
      <c r="H13581" s="90"/>
    </row>
    <row r="13582" spans="7:8">
      <c r="G13582" s="87"/>
      <c r="H13582" s="90"/>
    </row>
    <row r="13583" spans="7:8">
      <c r="G13583" s="87"/>
      <c r="H13583" s="90"/>
    </row>
    <row r="13584" spans="7:8">
      <c r="G13584" s="87"/>
      <c r="H13584" s="90"/>
    </row>
    <row r="13585" spans="7:8">
      <c r="G13585" s="87"/>
      <c r="H13585" s="90"/>
    </row>
    <row r="13586" spans="7:8">
      <c r="G13586" s="87"/>
      <c r="H13586" s="90"/>
    </row>
    <row r="13587" spans="7:8">
      <c r="G13587" s="87"/>
      <c r="H13587" s="90"/>
    </row>
    <row r="13588" spans="7:8">
      <c r="G13588" s="87"/>
      <c r="H13588" s="90"/>
    </row>
    <row r="13589" spans="7:8">
      <c r="G13589" s="87"/>
      <c r="H13589" s="90"/>
    </row>
    <row r="13590" spans="7:8">
      <c r="G13590" s="87"/>
      <c r="H13590" s="90"/>
    </row>
    <row r="13591" spans="7:8">
      <c r="G13591" s="87"/>
      <c r="H13591" s="90"/>
    </row>
    <row r="13592" spans="7:8">
      <c r="G13592" s="87"/>
      <c r="H13592" s="90"/>
    </row>
    <row r="13593" spans="7:8">
      <c r="G13593" s="87"/>
      <c r="H13593" s="90"/>
    </row>
    <row r="13594" spans="7:8">
      <c r="G13594" s="87"/>
      <c r="H13594" s="90"/>
    </row>
    <row r="13595" spans="7:8">
      <c r="G13595" s="87"/>
      <c r="H13595" s="90"/>
    </row>
    <row r="13596" spans="7:8">
      <c r="G13596" s="87"/>
      <c r="H13596" s="90"/>
    </row>
    <row r="13597" spans="7:8">
      <c r="G13597" s="87"/>
      <c r="H13597" s="90"/>
    </row>
    <row r="13598" spans="7:8">
      <c r="G13598" s="87"/>
      <c r="H13598" s="90"/>
    </row>
    <row r="13599" spans="7:8">
      <c r="G13599" s="87"/>
      <c r="H13599" s="90"/>
    </row>
    <row r="13600" spans="7:8">
      <c r="G13600" s="87"/>
      <c r="H13600" s="90"/>
    </row>
    <row r="13601" spans="7:8">
      <c r="G13601" s="87"/>
      <c r="H13601" s="90"/>
    </row>
    <row r="13602" spans="7:8">
      <c r="G13602" s="87"/>
      <c r="H13602" s="90"/>
    </row>
    <row r="13603" spans="7:8">
      <c r="G13603" s="87"/>
      <c r="H13603" s="90"/>
    </row>
    <row r="13604" spans="7:8">
      <c r="G13604" s="87"/>
      <c r="H13604" s="90"/>
    </row>
    <row r="13605" spans="7:8">
      <c r="G13605" s="87"/>
      <c r="H13605" s="90"/>
    </row>
    <row r="13606" spans="7:8">
      <c r="G13606" s="87"/>
      <c r="H13606" s="90"/>
    </row>
    <row r="13607" spans="7:8">
      <c r="G13607" s="87"/>
      <c r="H13607" s="90"/>
    </row>
    <row r="13608" spans="7:8">
      <c r="G13608" s="87"/>
      <c r="H13608" s="90"/>
    </row>
    <row r="13609" spans="7:8">
      <c r="G13609" s="87"/>
      <c r="H13609" s="90"/>
    </row>
    <row r="13610" spans="7:8">
      <c r="G13610" s="87"/>
      <c r="H13610" s="90"/>
    </row>
    <row r="13611" spans="7:8">
      <c r="G13611" s="87"/>
      <c r="H13611" s="90"/>
    </row>
    <row r="13612" spans="7:8">
      <c r="G13612" s="87"/>
      <c r="H13612" s="90"/>
    </row>
    <row r="13613" spans="7:8">
      <c r="G13613" s="87"/>
      <c r="H13613" s="90"/>
    </row>
    <row r="13614" spans="7:8">
      <c r="G13614" s="87"/>
      <c r="H13614" s="90"/>
    </row>
    <row r="13615" spans="7:8">
      <c r="G13615" s="87"/>
      <c r="H13615" s="90"/>
    </row>
    <row r="13616" spans="7:8">
      <c r="G13616" s="87"/>
      <c r="H13616" s="90"/>
    </row>
    <row r="13617" spans="7:8">
      <c r="G13617" s="87"/>
      <c r="H13617" s="90"/>
    </row>
    <row r="13618" spans="7:8">
      <c r="G13618" s="87"/>
      <c r="H13618" s="90"/>
    </row>
    <row r="13619" spans="7:8">
      <c r="G13619" s="87"/>
      <c r="H13619" s="90"/>
    </row>
    <row r="13620" spans="7:8">
      <c r="G13620" s="87"/>
      <c r="H13620" s="90"/>
    </row>
    <row r="13621" spans="7:8">
      <c r="G13621" s="87"/>
      <c r="H13621" s="90"/>
    </row>
    <row r="13622" spans="7:8">
      <c r="G13622" s="87"/>
      <c r="H13622" s="90"/>
    </row>
    <row r="13623" spans="7:8">
      <c r="G13623" s="87"/>
      <c r="H13623" s="90"/>
    </row>
    <row r="13624" spans="7:8">
      <c r="G13624" s="87"/>
      <c r="H13624" s="90"/>
    </row>
    <row r="13625" spans="7:8">
      <c r="G13625" s="87"/>
      <c r="H13625" s="90"/>
    </row>
    <row r="13626" spans="7:8">
      <c r="G13626" s="87"/>
      <c r="H13626" s="90"/>
    </row>
    <row r="13627" spans="7:8">
      <c r="G13627" s="87"/>
      <c r="H13627" s="90"/>
    </row>
    <row r="13628" spans="7:8">
      <c r="G13628" s="87"/>
      <c r="H13628" s="90"/>
    </row>
    <row r="13629" spans="7:8">
      <c r="G13629" s="87"/>
      <c r="H13629" s="90"/>
    </row>
    <row r="13630" spans="7:8">
      <c r="G13630" s="87"/>
      <c r="H13630" s="90"/>
    </row>
    <row r="13631" spans="7:8">
      <c r="G13631" s="87"/>
      <c r="H13631" s="90"/>
    </row>
    <row r="13632" spans="7:8">
      <c r="G13632" s="87"/>
      <c r="H13632" s="90"/>
    </row>
    <row r="13633" spans="7:8">
      <c r="G13633" s="87"/>
      <c r="H13633" s="90"/>
    </row>
    <row r="13634" spans="7:8">
      <c r="G13634" s="87"/>
      <c r="H13634" s="90"/>
    </row>
    <row r="13635" spans="7:8">
      <c r="G13635" s="87"/>
      <c r="H13635" s="90"/>
    </row>
    <row r="13636" spans="7:8">
      <c r="G13636" s="87"/>
      <c r="H13636" s="90"/>
    </row>
    <row r="13637" spans="7:8">
      <c r="G13637" s="87"/>
      <c r="H13637" s="90"/>
    </row>
    <row r="13638" spans="7:8">
      <c r="G13638" s="87"/>
      <c r="H13638" s="90"/>
    </row>
    <row r="13639" spans="7:8">
      <c r="G13639" s="87"/>
      <c r="H13639" s="90"/>
    </row>
    <row r="13640" spans="7:8">
      <c r="G13640" s="87"/>
      <c r="H13640" s="90"/>
    </row>
    <row r="13641" spans="7:8">
      <c r="G13641" s="87"/>
      <c r="H13641" s="90"/>
    </row>
    <row r="13642" spans="7:8">
      <c r="G13642" s="87"/>
      <c r="H13642" s="90"/>
    </row>
    <row r="13643" spans="7:8">
      <c r="G13643" s="87"/>
      <c r="H13643" s="90"/>
    </row>
    <row r="13644" spans="7:8">
      <c r="G13644" s="87"/>
      <c r="H13644" s="90"/>
    </row>
    <row r="13645" spans="7:8">
      <c r="G13645" s="87"/>
      <c r="H13645" s="90"/>
    </row>
    <row r="13646" spans="7:8">
      <c r="G13646" s="87"/>
      <c r="H13646" s="90"/>
    </row>
    <row r="13647" spans="7:8">
      <c r="G13647" s="87"/>
      <c r="H13647" s="90"/>
    </row>
    <row r="13648" spans="7:8">
      <c r="G13648" s="87"/>
      <c r="H13648" s="90"/>
    </row>
    <row r="13649" spans="7:8">
      <c r="G13649" s="87"/>
      <c r="H13649" s="90"/>
    </row>
    <row r="13650" spans="7:8">
      <c r="G13650" s="87"/>
      <c r="H13650" s="90"/>
    </row>
    <row r="13651" spans="7:8">
      <c r="G13651" s="87"/>
      <c r="H13651" s="90"/>
    </row>
    <row r="13652" spans="7:8">
      <c r="G13652" s="87"/>
      <c r="H13652" s="90"/>
    </row>
    <row r="13653" spans="7:8">
      <c r="G13653" s="87"/>
      <c r="H13653" s="90"/>
    </row>
    <row r="13654" spans="7:8">
      <c r="G13654" s="87"/>
      <c r="H13654" s="90"/>
    </row>
    <row r="13655" spans="7:8">
      <c r="G13655" s="87"/>
      <c r="H13655" s="90"/>
    </row>
    <row r="13656" spans="7:8">
      <c r="G13656" s="87"/>
      <c r="H13656" s="90"/>
    </row>
    <row r="13657" spans="7:8">
      <c r="G13657" s="87"/>
      <c r="H13657" s="90"/>
    </row>
    <row r="13658" spans="7:8">
      <c r="G13658" s="87"/>
      <c r="H13658" s="90"/>
    </row>
    <row r="13659" spans="7:8">
      <c r="G13659" s="87"/>
      <c r="H13659" s="90"/>
    </row>
    <row r="13660" spans="7:8">
      <c r="G13660" s="87"/>
      <c r="H13660" s="90"/>
    </row>
    <row r="13661" spans="7:8">
      <c r="G13661" s="87"/>
      <c r="H13661" s="90"/>
    </row>
    <row r="13662" spans="7:8">
      <c r="G13662" s="87"/>
      <c r="H13662" s="90"/>
    </row>
    <row r="13663" spans="7:8">
      <c r="G13663" s="87"/>
      <c r="H13663" s="90"/>
    </row>
    <row r="13664" spans="7:8">
      <c r="G13664" s="87"/>
      <c r="H13664" s="90"/>
    </row>
    <row r="13665" spans="7:8">
      <c r="G13665" s="87"/>
      <c r="H13665" s="90"/>
    </row>
    <row r="13666" spans="7:8">
      <c r="G13666" s="87"/>
      <c r="H13666" s="90"/>
    </row>
    <row r="13667" spans="7:8">
      <c r="G13667" s="87"/>
      <c r="H13667" s="90"/>
    </row>
    <row r="13668" spans="7:8">
      <c r="G13668" s="87"/>
      <c r="H13668" s="90"/>
    </row>
    <row r="13669" spans="7:8">
      <c r="G13669" s="87"/>
      <c r="H13669" s="90"/>
    </row>
    <row r="13670" spans="7:8">
      <c r="G13670" s="87"/>
      <c r="H13670" s="90"/>
    </row>
    <row r="13671" spans="7:8">
      <c r="G13671" s="87"/>
      <c r="H13671" s="90"/>
    </row>
    <row r="13672" spans="7:8">
      <c r="G13672" s="87"/>
      <c r="H13672" s="90"/>
    </row>
    <row r="13673" spans="7:8">
      <c r="G13673" s="87"/>
      <c r="H13673" s="90"/>
    </row>
    <row r="13674" spans="7:8">
      <c r="G13674" s="87"/>
      <c r="H13674" s="90"/>
    </row>
    <row r="13675" spans="7:8">
      <c r="G13675" s="87"/>
      <c r="H13675" s="90"/>
    </row>
    <row r="13676" spans="7:8">
      <c r="G13676" s="87"/>
      <c r="H13676" s="90"/>
    </row>
    <row r="13677" spans="7:8">
      <c r="G13677" s="87"/>
      <c r="H13677" s="90"/>
    </row>
    <row r="13678" spans="7:8">
      <c r="G13678" s="87"/>
      <c r="H13678" s="90"/>
    </row>
    <row r="13679" spans="7:8">
      <c r="G13679" s="87"/>
      <c r="H13679" s="90"/>
    </row>
    <row r="13680" spans="7:8">
      <c r="G13680" s="87"/>
      <c r="H13680" s="90"/>
    </row>
    <row r="13681" spans="7:8">
      <c r="G13681" s="87"/>
      <c r="H13681" s="90"/>
    </row>
    <row r="13682" spans="7:8">
      <c r="G13682" s="87"/>
      <c r="H13682" s="90"/>
    </row>
    <row r="13683" spans="7:8">
      <c r="G13683" s="87"/>
      <c r="H13683" s="90"/>
    </row>
    <row r="13684" spans="7:8">
      <c r="G13684" s="87"/>
      <c r="H13684" s="90"/>
    </row>
    <row r="13685" spans="7:8">
      <c r="G13685" s="87"/>
      <c r="H13685" s="90"/>
    </row>
    <row r="13686" spans="7:8">
      <c r="G13686" s="87"/>
      <c r="H13686" s="90"/>
    </row>
    <row r="13687" spans="7:8">
      <c r="G13687" s="87"/>
      <c r="H13687" s="90"/>
    </row>
    <row r="13688" spans="7:8">
      <c r="G13688" s="87"/>
      <c r="H13688" s="90"/>
    </row>
    <row r="13689" spans="7:8">
      <c r="G13689" s="87"/>
      <c r="H13689" s="90"/>
    </row>
    <row r="13690" spans="7:8">
      <c r="G13690" s="87"/>
      <c r="H13690" s="90"/>
    </row>
    <row r="13691" spans="7:8">
      <c r="G13691" s="87"/>
      <c r="H13691" s="90"/>
    </row>
    <row r="13692" spans="7:8">
      <c r="G13692" s="87"/>
      <c r="H13692" s="90"/>
    </row>
    <row r="13693" spans="7:8">
      <c r="G13693" s="87"/>
      <c r="H13693" s="90"/>
    </row>
    <row r="13694" spans="7:8">
      <c r="G13694" s="87"/>
      <c r="H13694" s="90"/>
    </row>
    <row r="13695" spans="7:8">
      <c r="G13695" s="87"/>
      <c r="H13695" s="90"/>
    </row>
    <row r="13696" spans="7:8">
      <c r="G13696" s="87"/>
      <c r="H13696" s="90"/>
    </row>
    <row r="13697" spans="7:8">
      <c r="G13697" s="87"/>
      <c r="H13697" s="90"/>
    </row>
    <row r="13698" spans="7:8">
      <c r="G13698" s="87"/>
      <c r="H13698" s="90"/>
    </row>
    <row r="13699" spans="7:8">
      <c r="G13699" s="87"/>
      <c r="H13699" s="90"/>
    </row>
    <row r="13700" spans="7:8">
      <c r="G13700" s="87"/>
      <c r="H13700" s="90"/>
    </row>
    <row r="13701" spans="7:8">
      <c r="G13701" s="87"/>
      <c r="H13701" s="90"/>
    </row>
    <row r="13702" spans="7:8">
      <c r="G13702" s="87"/>
      <c r="H13702" s="90"/>
    </row>
    <row r="13703" spans="7:8">
      <c r="G13703" s="87"/>
      <c r="H13703" s="90"/>
    </row>
    <row r="13704" spans="7:8">
      <c r="G13704" s="87"/>
      <c r="H13704" s="90"/>
    </row>
    <row r="13705" spans="7:8">
      <c r="G13705" s="87"/>
      <c r="H13705" s="90"/>
    </row>
    <row r="13706" spans="7:8">
      <c r="G13706" s="87"/>
      <c r="H13706" s="90"/>
    </row>
    <row r="13707" spans="7:8">
      <c r="G13707" s="87"/>
      <c r="H13707" s="90"/>
    </row>
    <row r="13708" spans="7:8">
      <c r="G13708" s="87"/>
      <c r="H13708" s="90"/>
    </row>
    <row r="13709" spans="7:8">
      <c r="G13709" s="87"/>
      <c r="H13709" s="90"/>
    </row>
    <row r="13710" spans="7:8">
      <c r="G13710" s="87"/>
      <c r="H13710" s="90"/>
    </row>
    <row r="13711" spans="7:8">
      <c r="G13711" s="87"/>
      <c r="H13711" s="90"/>
    </row>
    <row r="13712" spans="7:8">
      <c r="G13712" s="87"/>
      <c r="H13712" s="90"/>
    </row>
    <row r="13713" spans="7:8">
      <c r="G13713" s="87"/>
      <c r="H13713" s="90"/>
    </row>
    <row r="13714" spans="7:8">
      <c r="G13714" s="87"/>
      <c r="H13714" s="90"/>
    </row>
    <row r="13715" spans="7:8">
      <c r="G13715" s="87"/>
      <c r="H13715" s="90"/>
    </row>
    <row r="13716" spans="7:8">
      <c r="G13716" s="87"/>
      <c r="H13716" s="90"/>
    </row>
    <row r="13717" spans="7:8">
      <c r="G13717" s="87"/>
      <c r="H13717" s="90"/>
    </row>
    <row r="13718" spans="7:8">
      <c r="G13718" s="87"/>
      <c r="H13718" s="90"/>
    </row>
    <row r="13719" spans="7:8">
      <c r="G13719" s="87"/>
      <c r="H13719" s="90"/>
    </row>
    <row r="13720" spans="7:8">
      <c r="G13720" s="87"/>
      <c r="H13720" s="90"/>
    </row>
    <row r="13721" spans="7:8">
      <c r="G13721" s="87"/>
      <c r="H13721" s="90"/>
    </row>
    <row r="13722" spans="7:8">
      <c r="G13722" s="87"/>
      <c r="H13722" s="90"/>
    </row>
    <row r="13723" spans="7:8">
      <c r="G13723" s="87"/>
      <c r="H13723" s="90"/>
    </row>
    <row r="13724" spans="7:8">
      <c r="G13724" s="87"/>
      <c r="H13724" s="90"/>
    </row>
    <row r="13725" spans="7:8">
      <c r="G13725" s="87"/>
      <c r="H13725" s="90"/>
    </row>
    <row r="13726" spans="7:8">
      <c r="G13726" s="87"/>
      <c r="H13726" s="90"/>
    </row>
    <row r="13727" spans="7:8">
      <c r="G13727" s="87"/>
      <c r="H13727" s="90"/>
    </row>
    <row r="13728" spans="7:8">
      <c r="G13728" s="87"/>
      <c r="H13728" s="90"/>
    </row>
    <row r="13729" spans="7:8">
      <c r="G13729" s="87"/>
      <c r="H13729" s="90"/>
    </row>
    <row r="13730" spans="7:8">
      <c r="G13730" s="87"/>
      <c r="H13730" s="90"/>
    </row>
    <row r="13731" spans="7:8">
      <c r="G13731" s="87"/>
      <c r="H13731" s="90"/>
    </row>
    <row r="13732" spans="7:8">
      <c r="G13732" s="87"/>
      <c r="H13732" s="90"/>
    </row>
    <row r="13733" spans="7:8">
      <c r="G13733" s="87"/>
      <c r="H13733" s="90"/>
    </row>
    <row r="13734" spans="7:8">
      <c r="G13734" s="87"/>
      <c r="H13734" s="90"/>
    </row>
    <row r="13735" spans="7:8">
      <c r="G13735" s="87"/>
      <c r="H13735" s="90"/>
    </row>
    <row r="13736" spans="7:8">
      <c r="G13736" s="87"/>
      <c r="H13736" s="90"/>
    </row>
    <row r="13737" spans="7:8">
      <c r="G13737" s="87"/>
      <c r="H13737" s="90"/>
    </row>
    <row r="13738" spans="7:8">
      <c r="G13738" s="87"/>
      <c r="H13738" s="90"/>
    </row>
    <row r="13739" spans="7:8">
      <c r="G13739" s="87"/>
      <c r="H13739" s="90"/>
    </row>
    <row r="13740" spans="7:8">
      <c r="G13740" s="87"/>
      <c r="H13740" s="90"/>
    </row>
    <row r="13741" spans="7:8">
      <c r="G13741" s="87"/>
      <c r="H13741" s="90"/>
    </row>
    <row r="13742" spans="7:8">
      <c r="G13742" s="87"/>
      <c r="H13742" s="90"/>
    </row>
    <row r="13743" spans="7:8">
      <c r="G13743" s="87"/>
      <c r="H13743" s="90"/>
    </row>
    <row r="13744" spans="7:8">
      <c r="G13744" s="87"/>
      <c r="H13744" s="90"/>
    </row>
    <row r="13745" spans="7:8">
      <c r="G13745" s="87"/>
      <c r="H13745" s="90"/>
    </row>
    <row r="13746" spans="7:8">
      <c r="G13746" s="87"/>
      <c r="H13746" s="90"/>
    </row>
    <row r="13747" spans="7:8">
      <c r="G13747" s="87"/>
      <c r="H13747" s="90"/>
    </row>
    <row r="13748" spans="7:8">
      <c r="G13748" s="87"/>
      <c r="H13748" s="90"/>
    </row>
    <row r="13749" spans="7:8">
      <c r="G13749" s="87"/>
      <c r="H13749" s="90"/>
    </row>
    <row r="13750" spans="7:8">
      <c r="G13750" s="87"/>
      <c r="H13750" s="90"/>
    </row>
    <row r="13751" spans="7:8">
      <c r="G13751" s="87"/>
      <c r="H13751" s="90"/>
    </row>
    <row r="13752" spans="7:8">
      <c r="G13752" s="87"/>
      <c r="H13752" s="90"/>
    </row>
    <row r="13753" spans="7:8">
      <c r="G13753" s="87"/>
      <c r="H13753" s="90"/>
    </row>
    <row r="13754" spans="7:8">
      <c r="G13754" s="87"/>
      <c r="H13754" s="90"/>
    </row>
    <row r="13755" spans="7:8">
      <c r="G13755" s="87"/>
      <c r="H13755" s="90"/>
    </row>
    <row r="13756" spans="7:8">
      <c r="G13756" s="87"/>
      <c r="H13756" s="90"/>
    </row>
    <row r="13757" spans="7:8">
      <c r="G13757" s="87"/>
      <c r="H13757" s="90"/>
    </row>
    <row r="13758" spans="7:8">
      <c r="G13758" s="87"/>
      <c r="H13758" s="90"/>
    </row>
    <row r="13759" spans="7:8">
      <c r="G13759" s="87"/>
      <c r="H13759" s="90"/>
    </row>
    <row r="13760" spans="7:8">
      <c r="G13760" s="87"/>
      <c r="H13760" s="90"/>
    </row>
    <row r="13761" spans="7:8">
      <c r="G13761" s="87"/>
      <c r="H13761" s="90"/>
    </row>
    <row r="13762" spans="7:8">
      <c r="G13762" s="87"/>
      <c r="H13762" s="90"/>
    </row>
    <row r="13763" spans="7:8">
      <c r="G13763" s="87"/>
      <c r="H13763" s="90"/>
    </row>
    <row r="13764" spans="7:8">
      <c r="G13764" s="87"/>
      <c r="H13764" s="90"/>
    </row>
    <row r="13765" spans="7:8">
      <c r="G13765" s="87"/>
      <c r="H13765" s="90"/>
    </row>
    <row r="13766" spans="7:8">
      <c r="G13766" s="87"/>
      <c r="H13766" s="90"/>
    </row>
    <row r="13767" spans="7:8">
      <c r="G13767" s="87"/>
      <c r="H13767" s="90"/>
    </row>
    <row r="13768" spans="7:8">
      <c r="G13768" s="87"/>
      <c r="H13768" s="90"/>
    </row>
    <row r="13769" spans="7:8">
      <c r="G13769" s="87"/>
      <c r="H13769" s="90"/>
    </row>
    <row r="13770" spans="7:8">
      <c r="G13770" s="87"/>
      <c r="H13770" s="90"/>
    </row>
    <row r="13771" spans="7:8">
      <c r="G13771" s="87"/>
      <c r="H13771" s="90"/>
    </row>
    <row r="13772" spans="7:8">
      <c r="G13772" s="87"/>
      <c r="H13772" s="90"/>
    </row>
    <row r="13773" spans="7:8">
      <c r="G13773" s="87"/>
      <c r="H13773" s="90"/>
    </row>
    <row r="13774" spans="7:8">
      <c r="G13774" s="87"/>
      <c r="H13774" s="90"/>
    </row>
    <row r="13775" spans="7:8">
      <c r="G13775" s="87"/>
      <c r="H13775" s="90"/>
    </row>
    <row r="13776" spans="7:8">
      <c r="G13776" s="87"/>
      <c r="H13776" s="90"/>
    </row>
    <row r="13777" spans="7:8">
      <c r="G13777" s="87"/>
      <c r="H13777" s="90"/>
    </row>
    <row r="13778" spans="7:8">
      <c r="G13778" s="87"/>
      <c r="H13778" s="90"/>
    </row>
    <row r="13779" spans="7:8">
      <c r="G13779" s="87"/>
      <c r="H13779" s="90"/>
    </row>
    <row r="13780" spans="7:8">
      <c r="G13780" s="87"/>
      <c r="H13780" s="90"/>
    </row>
    <row r="13781" spans="7:8">
      <c r="G13781" s="87"/>
      <c r="H13781" s="90"/>
    </row>
    <row r="13782" spans="7:8">
      <c r="G13782" s="87"/>
      <c r="H13782" s="90"/>
    </row>
    <row r="13783" spans="7:8">
      <c r="G13783" s="87"/>
      <c r="H13783" s="90"/>
    </row>
    <row r="13784" spans="7:8">
      <c r="G13784" s="87"/>
      <c r="H13784" s="90"/>
    </row>
    <row r="13785" spans="7:8">
      <c r="G13785" s="87"/>
      <c r="H13785" s="90"/>
    </row>
    <row r="13786" spans="7:8">
      <c r="G13786" s="87"/>
      <c r="H13786" s="90"/>
    </row>
    <row r="13787" spans="7:8">
      <c r="G13787" s="87"/>
      <c r="H13787" s="90"/>
    </row>
    <row r="13788" spans="7:8">
      <c r="G13788" s="87"/>
      <c r="H13788" s="90"/>
    </row>
    <row r="13789" spans="7:8">
      <c r="G13789" s="87"/>
      <c r="H13789" s="90"/>
    </row>
    <row r="13790" spans="7:8">
      <c r="G13790" s="87"/>
      <c r="H13790" s="90"/>
    </row>
    <row r="13791" spans="7:8">
      <c r="G13791" s="87"/>
      <c r="H13791" s="90"/>
    </row>
    <row r="13792" spans="7:8">
      <c r="G13792" s="87"/>
      <c r="H13792" s="90"/>
    </row>
    <row r="13793" spans="7:8">
      <c r="G13793" s="87"/>
      <c r="H13793" s="90"/>
    </row>
    <row r="13794" spans="7:8">
      <c r="G13794" s="87"/>
      <c r="H13794" s="90"/>
    </row>
    <row r="13795" spans="7:8">
      <c r="G13795" s="87"/>
      <c r="H13795" s="90"/>
    </row>
    <row r="13796" spans="7:8">
      <c r="G13796" s="87"/>
      <c r="H13796" s="90"/>
    </row>
    <row r="13797" spans="7:8">
      <c r="G13797" s="87"/>
      <c r="H13797" s="90"/>
    </row>
    <row r="13798" spans="7:8">
      <c r="G13798" s="87"/>
      <c r="H13798" s="90"/>
    </row>
    <row r="13799" spans="7:8">
      <c r="G13799" s="87"/>
      <c r="H13799" s="90"/>
    </row>
    <row r="13800" spans="7:8">
      <c r="G13800" s="87"/>
      <c r="H13800" s="90"/>
    </row>
    <row r="13801" spans="7:8">
      <c r="G13801" s="87"/>
      <c r="H13801" s="90"/>
    </row>
    <row r="13802" spans="7:8">
      <c r="G13802" s="87"/>
      <c r="H13802" s="90"/>
    </row>
    <row r="13803" spans="7:8">
      <c r="G13803" s="87"/>
      <c r="H13803" s="90"/>
    </row>
    <row r="13804" spans="7:8">
      <c r="G13804" s="87"/>
      <c r="H13804" s="90"/>
    </row>
    <row r="13805" spans="7:8">
      <c r="G13805" s="87"/>
      <c r="H13805" s="90"/>
    </row>
    <row r="13806" spans="7:8">
      <c r="G13806" s="87"/>
      <c r="H13806" s="90"/>
    </row>
    <row r="13807" spans="7:8">
      <c r="G13807" s="87"/>
      <c r="H13807" s="90"/>
    </row>
    <row r="13808" spans="7:8">
      <c r="G13808" s="87"/>
      <c r="H13808" s="90"/>
    </row>
    <row r="13809" spans="7:8">
      <c r="G13809" s="87"/>
      <c r="H13809" s="90"/>
    </row>
    <row r="13810" spans="7:8">
      <c r="G13810" s="87"/>
      <c r="H13810" s="90"/>
    </row>
    <row r="13811" spans="7:8">
      <c r="G13811" s="87"/>
      <c r="H13811" s="90"/>
    </row>
    <row r="13812" spans="7:8">
      <c r="G13812" s="87"/>
      <c r="H13812" s="90"/>
    </row>
    <row r="13813" spans="7:8">
      <c r="G13813" s="87"/>
      <c r="H13813" s="90"/>
    </row>
    <row r="13814" spans="7:8">
      <c r="G13814" s="87"/>
      <c r="H13814" s="90"/>
    </row>
    <row r="13815" spans="7:8">
      <c r="G13815" s="87"/>
      <c r="H13815" s="90"/>
    </row>
    <row r="13816" spans="7:8">
      <c r="G13816" s="87"/>
      <c r="H13816" s="90"/>
    </row>
    <row r="13817" spans="7:8">
      <c r="G13817" s="87"/>
      <c r="H13817" s="90"/>
    </row>
    <row r="13818" spans="7:8">
      <c r="G13818" s="87"/>
      <c r="H13818" s="90"/>
    </row>
    <row r="13819" spans="7:8">
      <c r="G13819" s="87"/>
      <c r="H13819" s="90"/>
    </row>
    <row r="13820" spans="7:8">
      <c r="G13820" s="87"/>
      <c r="H13820" s="90"/>
    </row>
    <row r="13821" spans="7:8">
      <c r="G13821" s="87"/>
      <c r="H13821" s="90"/>
    </row>
    <row r="13822" spans="7:8">
      <c r="G13822" s="87"/>
      <c r="H13822" s="90"/>
    </row>
    <row r="13823" spans="7:8">
      <c r="G13823" s="87"/>
      <c r="H13823" s="90"/>
    </row>
    <row r="13824" spans="7:8">
      <c r="G13824" s="87"/>
      <c r="H13824" s="90"/>
    </row>
    <row r="13825" spans="7:8">
      <c r="G13825" s="87"/>
      <c r="H13825" s="90"/>
    </row>
    <row r="13826" spans="7:8">
      <c r="G13826" s="87"/>
      <c r="H13826" s="90"/>
    </row>
    <row r="13827" spans="7:8">
      <c r="G13827" s="87"/>
      <c r="H13827" s="90"/>
    </row>
    <row r="13828" spans="7:8">
      <c r="G13828" s="87"/>
      <c r="H13828" s="90"/>
    </row>
    <row r="13829" spans="7:8">
      <c r="G13829" s="87"/>
      <c r="H13829" s="90"/>
    </row>
    <row r="13830" spans="7:8">
      <c r="G13830" s="87"/>
      <c r="H13830" s="90"/>
    </row>
    <row r="13831" spans="7:8">
      <c r="G13831" s="87"/>
      <c r="H13831" s="90"/>
    </row>
    <row r="13832" spans="7:8">
      <c r="G13832" s="87"/>
      <c r="H13832" s="90"/>
    </row>
    <row r="13833" spans="7:8">
      <c r="G13833" s="87"/>
      <c r="H13833" s="90"/>
    </row>
    <row r="13834" spans="7:8">
      <c r="G13834" s="87"/>
      <c r="H13834" s="90"/>
    </row>
    <row r="13835" spans="7:8">
      <c r="G13835" s="87"/>
      <c r="H13835" s="90"/>
    </row>
    <row r="13836" spans="7:8">
      <c r="G13836" s="87"/>
      <c r="H13836" s="90"/>
    </row>
    <row r="13837" spans="7:8">
      <c r="G13837" s="87"/>
      <c r="H13837" s="90"/>
    </row>
    <row r="13838" spans="7:8">
      <c r="G13838" s="87"/>
      <c r="H13838" s="90"/>
    </row>
    <row r="13839" spans="7:8">
      <c r="G13839" s="87"/>
      <c r="H13839" s="90"/>
    </row>
    <row r="13840" spans="7:8">
      <c r="G13840" s="87"/>
      <c r="H13840" s="90"/>
    </row>
    <row r="13841" spans="7:8">
      <c r="G13841" s="87"/>
      <c r="H13841" s="90"/>
    </row>
    <row r="13842" spans="7:8">
      <c r="G13842" s="87"/>
      <c r="H13842" s="90"/>
    </row>
    <row r="13843" spans="7:8">
      <c r="G13843" s="87"/>
      <c r="H13843" s="90"/>
    </row>
    <row r="13844" spans="7:8">
      <c r="G13844" s="87"/>
      <c r="H13844" s="90"/>
    </row>
    <row r="13845" spans="7:8">
      <c r="G13845" s="87"/>
      <c r="H13845" s="90"/>
    </row>
    <row r="13846" spans="7:8">
      <c r="G13846" s="87"/>
      <c r="H13846" s="90"/>
    </row>
    <row r="13847" spans="7:8">
      <c r="G13847" s="87"/>
      <c r="H13847" s="90"/>
    </row>
    <row r="13848" spans="7:8">
      <c r="G13848" s="87"/>
      <c r="H13848" s="90"/>
    </row>
    <row r="13849" spans="7:8">
      <c r="G13849" s="87"/>
      <c r="H13849" s="90"/>
    </row>
    <row r="13850" spans="7:8">
      <c r="G13850" s="87"/>
      <c r="H13850" s="90"/>
    </row>
    <row r="13851" spans="7:8">
      <c r="G13851" s="87"/>
      <c r="H13851" s="90"/>
    </row>
    <row r="13852" spans="7:8">
      <c r="G13852" s="87"/>
      <c r="H13852" s="90"/>
    </row>
    <row r="13853" spans="7:8">
      <c r="G13853" s="87"/>
      <c r="H13853" s="90"/>
    </row>
    <row r="13854" spans="7:8">
      <c r="G13854" s="87"/>
      <c r="H13854" s="90"/>
    </row>
    <row r="13855" spans="7:8">
      <c r="G13855" s="87"/>
      <c r="H13855" s="90"/>
    </row>
    <row r="13856" spans="7:8">
      <c r="G13856" s="87"/>
      <c r="H13856" s="90"/>
    </row>
    <row r="13857" spans="7:8">
      <c r="G13857" s="87"/>
      <c r="H13857" s="90"/>
    </row>
    <row r="13858" spans="7:8">
      <c r="G13858" s="87"/>
      <c r="H13858" s="90"/>
    </row>
    <row r="13859" spans="7:8">
      <c r="G13859" s="87"/>
      <c r="H13859" s="90"/>
    </row>
    <row r="13860" spans="7:8">
      <c r="G13860" s="87"/>
      <c r="H13860" s="90"/>
    </row>
    <row r="13861" spans="7:8">
      <c r="G13861" s="87"/>
      <c r="H13861" s="90"/>
    </row>
    <row r="13862" spans="7:8">
      <c r="G13862" s="87"/>
      <c r="H13862" s="90"/>
    </row>
    <row r="13863" spans="7:8">
      <c r="G13863" s="87"/>
      <c r="H13863" s="90"/>
    </row>
    <row r="13864" spans="7:8">
      <c r="G13864" s="87"/>
      <c r="H13864" s="90"/>
    </row>
    <row r="13865" spans="7:8">
      <c r="G13865" s="87"/>
      <c r="H13865" s="90"/>
    </row>
    <row r="13866" spans="7:8">
      <c r="G13866" s="87"/>
      <c r="H13866" s="90"/>
    </row>
    <row r="13867" spans="7:8">
      <c r="G13867" s="87"/>
      <c r="H13867" s="90"/>
    </row>
    <row r="13868" spans="7:8">
      <c r="G13868" s="87"/>
      <c r="H13868" s="90"/>
    </row>
    <row r="13869" spans="7:8">
      <c r="G13869" s="87"/>
      <c r="H13869" s="90"/>
    </row>
    <row r="13870" spans="7:8">
      <c r="G13870" s="87"/>
      <c r="H13870" s="90"/>
    </row>
    <row r="13871" spans="7:8">
      <c r="G13871" s="87"/>
      <c r="H13871" s="90"/>
    </row>
    <row r="13872" spans="7:8">
      <c r="G13872" s="87"/>
      <c r="H13872" s="90"/>
    </row>
    <row r="13873" spans="7:8">
      <c r="G13873" s="87"/>
      <c r="H13873" s="90"/>
    </row>
    <row r="13874" spans="7:8">
      <c r="G13874" s="87"/>
      <c r="H13874" s="90"/>
    </row>
    <row r="13875" spans="7:8">
      <c r="G13875" s="87"/>
      <c r="H13875" s="90"/>
    </row>
    <row r="13876" spans="7:8">
      <c r="G13876" s="87"/>
      <c r="H13876" s="90"/>
    </row>
    <row r="13877" spans="7:8">
      <c r="G13877" s="87"/>
      <c r="H13877" s="90"/>
    </row>
    <row r="13878" spans="7:8">
      <c r="G13878" s="87"/>
      <c r="H13878" s="90"/>
    </row>
    <row r="13879" spans="7:8">
      <c r="G13879" s="87"/>
      <c r="H13879" s="90"/>
    </row>
    <row r="13880" spans="7:8">
      <c r="G13880" s="87"/>
      <c r="H13880" s="90"/>
    </row>
    <row r="13881" spans="7:8">
      <c r="G13881" s="87"/>
      <c r="H13881" s="90"/>
    </row>
    <row r="13882" spans="7:8">
      <c r="G13882" s="87"/>
      <c r="H13882" s="90"/>
    </row>
    <row r="13883" spans="7:8">
      <c r="G13883" s="87"/>
      <c r="H13883" s="90"/>
    </row>
    <row r="13884" spans="7:8">
      <c r="G13884" s="87"/>
      <c r="H13884" s="90"/>
    </row>
    <row r="13885" spans="7:8">
      <c r="G13885" s="87"/>
      <c r="H13885" s="90"/>
    </row>
    <row r="13886" spans="7:8">
      <c r="G13886" s="87"/>
      <c r="H13886" s="90"/>
    </row>
    <row r="13887" spans="7:8">
      <c r="G13887" s="87"/>
      <c r="H13887" s="90"/>
    </row>
    <row r="13888" spans="7:8">
      <c r="G13888" s="87"/>
      <c r="H13888" s="90"/>
    </row>
    <row r="13889" spans="7:8">
      <c r="G13889" s="87"/>
      <c r="H13889" s="90"/>
    </row>
    <row r="13890" spans="7:8">
      <c r="G13890" s="87"/>
      <c r="H13890" s="90"/>
    </row>
    <row r="13891" spans="7:8">
      <c r="G13891" s="87"/>
      <c r="H13891" s="90"/>
    </row>
    <row r="13892" spans="7:8">
      <c r="G13892" s="87"/>
      <c r="H13892" s="90"/>
    </row>
    <row r="13893" spans="7:8">
      <c r="G13893" s="87"/>
      <c r="H13893" s="90"/>
    </row>
    <row r="13894" spans="7:8">
      <c r="G13894" s="87"/>
      <c r="H13894" s="90"/>
    </row>
    <row r="13895" spans="7:8">
      <c r="G13895" s="87"/>
      <c r="H13895" s="90"/>
    </row>
    <row r="13896" spans="7:8">
      <c r="G13896" s="87"/>
      <c r="H13896" s="90"/>
    </row>
    <row r="13897" spans="7:8">
      <c r="G13897" s="87"/>
      <c r="H13897" s="90"/>
    </row>
    <row r="13898" spans="7:8">
      <c r="G13898" s="87"/>
      <c r="H13898" s="90"/>
    </row>
    <row r="13899" spans="7:8">
      <c r="G13899" s="87"/>
      <c r="H13899" s="90"/>
    </row>
    <row r="13900" spans="7:8">
      <c r="G13900" s="87"/>
      <c r="H13900" s="90"/>
    </row>
    <row r="13901" spans="7:8">
      <c r="G13901" s="87"/>
      <c r="H13901" s="90"/>
    </row>
    <row r="13902" spans="7:8">
      <c r="G13902" s="87"/>
      <c r="H13902" s="90"/>
    </row>
    <row r="13903" spans="7:8">
      <c r="G13903" s="87"/>
      <c r="H13903" s="90"/>
    </row>
    <row r="13904" spans="7:8">
      <c r="G13904" s="87"/>
      <c r="H13904" s="90"/>
    </row>
    <row r="13905" spans="7:8">
      <c r="G13905" s="87"/>
      <c r="H13905" s="90"/>
    </row>
    <row r="13906" spans="7:8">
      <c r="G13906" s="87"/>
      <c r="H13906" s="90"/>
    </row>
    <row r="13907" spans="7:8">
      <c r="G13907" s="87"/>
      <c r="H13907" s="90"/>
    </row>
    <row r="13908" spans="7:8">
      <c r="G13908" s="87"/>
      <c r="H13908" s="90"/>
    </row>
    <row r="13909" spans="7:8">
      <c r="G13909" s="87"/>
      <c r="H13909" s="90"/>
    </row>
    <row r="13910" spans="7:8">
      <c r="G13910" s="87"/>
      <c r="H13910" s="90"/>
    </row>
    <row r="13911" spans="7:8">
      <c r="G13911" s="87"/>
      <c r="H13911" s="90"/>
    </row>
    <row r="13912" spans="7:8">
      <c r="G13912" s="87"/>
      <c r="H13912" s="90"/>
    </row>
    <row r="13913" spans="7:8">
      <c r="G13913" s="87"/>
      <c r="H13913" s="90"/>
    </row>
    <row r="13914" spans="7:8">
      <c r="G13914" s="87"/>
      <c r="H13914" s="90"/>
    </row>
    <row r="13915" spans="7:8">
      <c r="G13915" s="87"/>
      <c r="H13915" s="90"/>
    </row>
    <row r="13916" spans="7:8">
      <c r="G13916" s="87"/>
      <c r="H13916" s="90"/>
    </row>
    <row r="13917" spans="7:8">
      <c r="G13917" s="87"/>
      <c r="H13917" s="90"/>
    </row>
    <row r="13918" spans="7:8">
      <c r="G13918" s="87"/>
      <c r="H13918" s="90"/>
    </row>
    <row r="13919" spans="7:8">
      <c r="G13919" s="87"/>
      <c r="H13919" s="90"/>
    </row>
    <row r="13920" spans="7:8">
      <c r="G13920" s="87"/>
      <c r="H13920" s="90"/>
    </row>
    <row r="13921" spans="7:8">
      <c r="G13921" s="87"/>
      <c r="H13921" s="90"/>
    </row>
    <row r="13922" spans="7:8">
      <c r="G13922" s="87"/>
      <c r="H13922" s="90"/>
    </row>
    <row r="13923" spans="7:8">
      <c r="G13923" s="87"/>
      <c r="H13923" s="90"/>
    </row>
    <row r="13924" spans="7:8">
      <c r="G13924" s="87"/>
      <c r="H13924" s="90"/>
    </row>
    <row r="13925" spans="7:8">
      <c r="G13925" s="87"/>
      <c r="H13925" s="90"/>
    </row>
    <row r="13926" spans="7:8">
      <c r="G13926" s="87"/>
      <c r="H13926" s="90"/>
    </row>
    <row r="13927" spans="7:8">
      <c r="G13927" s="87"/>
      <c r="H13927" s="90"/>
    </row>
    <row r="13928" spans="7:8">
      <c r="G13928" s="87"/>
      <c r="H13928" s="90"/>
    </row>
    <row r="13929" spans="7:8">
      <c r="G13929" s="87"/>
      <c r="H13929" s="90"/>
    </row>
    <row r="13930" spans="7:8">
      <c r="G13930" s="87"/>
      <c r="H13930" s="90"/>
    </row>
    <row r="13931" spans="7:8">
      <c r="G13931" s="87"/>
      <c r="H13931" s="90"/>
    </row>
    <row r="13932" spans="7:8">
      <c r="G13932" s="87"/>
      <c r="H13932" s="90"/>
    </row>
    <row r="13933" spans="7:8">
      <c r="G13933" s="87"/>
      <c r="H13933" s="90"/>
    </row>
    <row r="13934" spans="7:8">
      <c r="G13934" s="87"/>
      <c r="H13934" s="90"/>
    </row>
    <row r="13935" spans="7:8">
      <c r="G13935" s="87"/>
      <c r="H13935" s="90"/>
    </row>
    <row r="13936" spans="7:8">
      <c r="G13936" s="87"/>
      <c r="H13936" s="90"/>
    </row>
    <row r="13937" spans="7:8">
      <c r="G13937" s="87"/>
      <c r="H13937" s="90"/>
    </row>
    <row r="13938" spans="7:8">
      <c r="G13938" s="87"/>
      <c r="H13938" s="90"/>
    </row>
    <row r="13939" spans="7:8">
      <c r="G13939" s="87"/>
      <c r="H13939" s="90"/>
    </row>
    <row r="13940" spans="7:8">
      <c r="G13940" s="87"/>
      <c r="H13940" s="90"/>
    </row>
    <row r="13941" spans="7:8">
      <c r="G13941" s="87"/>
      <c r="H13941" s="90"/>
    </row>
    <row r="13942" spans="7:8">
      <c r="G13942" s="87"/>
      <c r="H13942" s="90"/>
    </row>
    <row r="13943" spans="7:8">
      <c r="G13943" s="87"/>
      <c r="H13943" s="90"/>
    </row>
    <row r="13944" spans="7:8">
      <c r="G13944" s="87"/>
      <c r="H13944" s="90"/>
    </row>
    <row r="13945" spans="7:8">
      <c r="G13945" s="87"/>
      <c r="H13945" s="90"/>
    </row>
    <row r="13946" spans="7:8">
      <c r="G13946" s="87"/>
      <c r="H13946" s="90"/>
    </row>
    <row r="13947" spans="7:8">
      <c r="G13947" s="87"/>
      <c r="H13947" s="90"/>
    </row>
    <row r="13948" spans="7:8">
      <c r="G13948" s="87"/>
      <c r="H13948" s="90"/>
    </row>
    <row r="13949" spans="7:8">
      <c r="G13949" s="87"/>
      <c r="H13949" s="90"/>
    </row>
    <row r="13950" spans="7:8">
      <c r="G13950" s="87"/>
      <c r="H13950" s="90"/>
    </row>
    <row r="13951" spans="7:8">
      <c r="G13951" s="87"/>
      <c r="H13951" s="90"/>
    </row>
    <row r="13952" spans="7:8">
      <c r="G13952" s="87"/>
      <c r="H13952" s="90"/>
    </row>
    <row r="13953" spans="7:8">
      <c r="G13953" s="87"/>
      <c r="H13953" s="90"/>
    </row>
    <row r="13954" spans="7:8">
      <c r="G13954" s="87"/>
      <c r="H13954" s="90"/>
    </row>
    <row r="13955" spans="7:8">
      <c r="G13955" s="87"/>
      <c r="H13955" s="90"/>
    </row>
    <row r="13956" spans="7:8">
      <c r="G13956" s="87"/>
      <c r="H13956" s="90"/>
    </row>
    <row r="13957" spans="7:8">
      <c r="G13957" s="87"/>
      <c r="H13957" s="90"/>
    </row>
    <row r="13958" spans="7:8">
      <c r="G13958" s="87"/>
      <c r="H13958" s="90"/>
    </row>
    <row r="13959" spans="7:8">
      <c r="G13959" s="87"/>
      <c r="H13959" s="90"/>
    </row>
    <row r="13960" spans="7:8">
      <c r="G13960" s="87"/>
      <c r="H13960" s="90"/>
    </row>
    <row r="13961" spans="7:8">
      <c r="G13961" s="87"/>
      <c r="H13961" s="90"/>
    </row>
    <row r="13962" spans="7:8">
      <c r="G13962" s="87"/>
      <c r="H13962" s="90"/>
    </row>
    <row r="13963" spans="7:8">
      <c r="G13963" s="87"/>
      <c r="H13963" s="90"/>
    </row>
    <row r="13964" spans="7:8">
      <c r="G13964" s="87"/>
      <c r="H13964" s="90"/>
    </row>
    <row r="13965" spans="7:8">
      <c r="G13965" s="87"/>
      <c r="H13965" s="90"/>
    </row>
    <row r="13966" spans="7:8">
      <c r="G13966" s="87"/>
      <c r="H13966" s="90"/>
    </row>
    <row r="13967" spans="7:8">
      <c r="G13967" s="87"/>
      <c r="H13967" s="90"/>
    </row>
    <row r="13968" spans="7:8">
      <c r="G13968" s="87"/>
      <c r="H13968" s="90"/>
    </row>
    <row r="13969" spans="7:8">
      <c r="G13969" s="87"/>
      <c r="H13969" s="90"/>
    </row>
    <row r="13970" spans="7:8">
      <c r="G13970" s="87"/>
      <c r="H13970" s="90"/>
    </row>
    <row r="13971" spans="7:8">
      <c r="G13971" s="87"/>
      <c r="H13971" s="90"/>
    </row>
    <row r="13972" spans="7:8">
      <c r="G13972" s="87"/>
      <c r="H13972" s="90"/>
    </row>
    <row r="13973" spans="7:8">
      <c r="G13973" s="87"/>
      <c r="H13973" s="90"/>
    </row>
    <row r="13974" spans="7:8">
      <c r="G13974" s="87"/>
      <c r="H13974" s="90"/>
    </row>
    <row r="13975" spans="7:8">
      <c r="G13975" s="87"/>
      <c r="H13975" s="90"/>
    </row>
    <row r="13976" spans="7:8">
      <c r="G13976" s="87"/>
      <c r="H13976" s="90"/>
    </row>
    <row r="13977" spans="7:8">
      <c r="G13977" s="87"/>
      <c r="H13977" s="90"/>
    </row>
    <row r="13978" spans="7:8">
      <c r="G13978" s="87"/>
      <c r="H13978" s="90"/>
    </row>
    <row r="13979" spans="7:8">
      <c r="G13979" s="87"/>
      <c r="H13979" s="90"/>
    </row>
    <row r="13980" spans="7:8">
      <c r="G13980" s="87"/>
      <c r="H13980" s="90"/>
    </row>
    <row r="13981" spans="7:8">
      <c r="G13981" s="87"/>
      <c r="H13981" s="90"/>
    </row>
    <row r="13982" spans="7:8">
      <c r="G13982" s="87"/>
      <c r="H13982" s="90"/>
    </row>
    <row r="13983" spans="7:8">
      <c r="G13983" s="87"/>
      <c r="H13983" s="90"/>
    </row>
    <row r="13984" spans="7:8">
      <c r="G13984" s="87"/>
      <c r="H13984" s="90"/>
    </row>
    <row r="13985" spans="7:8">
      <c r="G13985" s="87"/>
      <c r="H13985" s="90"/>
    </row>
    <row r="13986" spans="7:8">
      <c r="G13986" s="87"/>
      <c r="H13986" s="90"/>
    </row>
    <row r="13987" spans="7:8">
      <c r="G13987" s="87"/>
      <c r="H13987" s="90"/>
    </row>
    <row r="13988" spans="7:8">
      <c r="G13988" s="87"/>
      <c r="H13988" s="90"/>
    </row>
    <row r="13989" spans="7:8">
      <c r="G13989" s="87"/>
      <c r="H13989" s="90"/>
    </row>
    <row r="13990" spans="7:8">
      <c r="G13990" s="87"/>
      <c r="H13990" s="90"/>
    </row>
    <row r="13991" spans="7:8">
      <c r="G13991" s="87"/>
      <c r="H13991" s="90"/>
    </row>
    <row r="13992" spans="7:8">
      <c r="G13992" s="87"/>
      <c r="H13992" s="90"/>
    </row>
    <row r="13993" spans="7:8">
      <c r="G13993" s="87"/>
      <c r="H13993" s="90"/>
    </row>
    <row r="13994" spans="7:8">
      <c r="G13994" s="87"/>
      <c r="H13994" s="90"/>
    </row>
    <row r="13995" spans="7:8">
      <c r="G13995" s="87"/>
      <c r="H13995" s="90"/>
    </row>
    <row r="13996" spans="7:8">
      <c r="G13996" s="87"/>
      <c r="H13996" s="90"/>
    </row>
    <row r="13997" spans="7:8">
      <c r="G13997" s="87"/>
      <c r="H13997" s="90"/>
    </row>
    <row r="13998" spans="7:8">
      <c r="G13998" s="87"/>
      <c r="H13998" s="90"/>
    </row>
    <row r="13999" spans="7:8">
      <c r="G13999" s="87"/>
      <c r="H13999" s="90"/>
    </row>
    <row r="14000" spans="7:8">
      <c r="G14000" s="87"/>
      <c r="H14000" s="90"/>
    </row>
    <row r="14001" spans="7:8">
      <c r="G14001" s="87"/>
      <c r="H14001" s="90"/>
    </row>
    <row r="14002" spans="7:8">
      <c r="G14002" s="87"/>
      <c r="H14002" s="90"/>
    </row>
    <row r="14003" spans="7:8">
      <c r="G14003" s="87"/>
      <c r="H14003" s="90"/>
    </row>
    <row r="14004" spans="7:8">
      <c r="G14004" s="87"/>
      <c r="H14004" s="90"/>
    </row>
    <row r="14005" spans="7:8">
      <c r="G14005" s="87"/>
      <c r="H14005" s="90"/>
    </row>
    <row r="14006" spans="7:8">
      <c r="G14006" s="87"/>
      <c r="H14006" s="90"/>
    </row>
    <row r="14007" spans="7:8">
      <c r="G14007" s="87"/>
      <c r="H14007" s="90"/>
    </row>
    <row r="14008" spans="7:8">
      <c r="G14008" s="87"/>
      <c r="H14008" s="90"/>
    </row>
    <row r="14009" spans="7:8">
      <c r="G14009" s="87"/>
      <c r="H14009" s="90"/>
    </row>
    <row r="14010" spans="7:8">
      <c r="G14010" s="87"/>
      <c r="H14010" s="90"/>
    </row>
    <row r="14011" spans="7:8">
      <c r="G14011" s="87"/>
      <c r="H14011" s="90"/>
    </row>
    <row r="14012" spans="7:8">
      <c r="G14012" s="87"/>
      <c r="H14012" s="90"/>
    </row>
    <row r="14013" spans="7:8">
      <c r="G14013" s="87"/>
      <c r="H14013" s="90"/>
    </row>
    <row r="14014" spans="7:8">
      <c r="G14014" s="87"/>
      <c r="H14014" s="90"/>
    </row>
    <row r="14015" spans="7:8">
      <c r="G14015" s="87"/>
      <c r="H14015" s="90"/>
    </row>
    <row r="14016" spans="7:8">
      <c r="G14016" s="87"/>
      <c r="H14016" s="90"/>
    </row>
    <row r="14017" spans="7:8">
      <c r="G14017" s="87"/>
      <c r="H14017" s="90"/>
    </row>
    <row r="14018" spans="7:8">
      <c r="G14018" s="87"/>
      <c r="H14018" s="90"/>
    </row>
    <row r="14019" spans="7:8">
      <c r="G14019" s="87"/>
      <c r="H14019" s="90"/>
    </row>
    <row r="14020" spans="7:8">
      <c r="G14020" s="87"/>
      <c r="H14020" s="90"/>
    </row>
    <row r="14021" spans="7:8">
      <c r="G14021" s="87"/>
      <c r="H14021" s="90"/>
    </row>
    <row r="14022" spans="7:8">
      <c r="G14022" s="87"/>
      <c r="H14022" s="90"/>
    </row>
    <row r="14023" spans="7:8">
      <c r="G14023" s="87"/>
      <c r="H14023" s="90"/>
    </row>
    <row r="14024" spans="7:8">
      <c r="G14024" s="87"/>
      <c r="H14024" s="90"/>
    </row>
    <row r="14025" spans="7:8">
      <c r="G14025" s="87"/>
      <c r="H14025" s="90"/>
    </row>
    <row r="14026" spans="7:8">
      <c r="G14026" s="87"/>
      <c r="H14026" s="90"/>
    </row>
    <row r="14027" spans="7:8">
      <c r="G14027" s="87"/>
      <c r="H14027" s="90"/>
    </row>
    <row r="14028" spans="7:8">
      <c r="G14028" s="87"/>
      <c r="H14028" s="90"/>
    </row>
    <row r="14029" spans="7:8">
      <c r="G14029" s="87"/>
      <c r="H14029" s="90"/>
    </row>
    <row r="14030" spans="7:8">
      <c r="G14030" s="87"/>
      <c r="H14030" s="90"/>
    </row>
    <row r="14031" spans="7:8">
      <c r="G14031" s="87"/>
      <c r="H14031" s="90"/>
    </row>
    <row r="14032" spans="7:8">
      <c r="G14032" s="87"/>
      <c r="H14032" s="90"/>
    </row>
    <row r="14033" spans="7:8">
      <c r="G14033" s="87"/>
      <c r="H14033" s="90"/>
    </row>
    <row r="14034" spans="7:8">
      <c r="G14034" s="87"/>
      <c r="H14034" s="90"/>
    </row>
    <row r="14035" spans="7:8">
      <c r="G14035" s="87"/>
      <c r="H14035" s="90"/>
    </row>
    <row r="14036" spans="7:8">
      <c r="G14036" s="87"/>
      <c r="H14036" s="90"/>
    </row>
    <row r="14037" spans="7:8">
      <c r="G14037" s="87"/>
      <c r="H14037" s="90"/>
    </row>
    <row r="14038" spans="7:8">
      <c r="G14038" s="87"/>
      <c r="H14038" s="90"/>
    </row>
    <row r="14039" spans="7:8">
      <c r="G14039" s="87"/>
      <c r="H14039" s="90"/>
    </row>
    <row r="14040" spans="7:8">
      <c r="G14040" s="87"/>
      <c r="H14040" s="90"/>
    </row>
    <row r="14041" spans="7:8">
      <c r="G14041" s="87"/>
      <c r="H14041" s="90"/>
    </row>
    <row r="14042" spans="7:8">
      <c r="G14042" s="87"/>
      <c r="H14042" s="90"/>
    </row>
    <row r="14043" spans="7:8">
      <c r="G14043" s="87"/>
      <c r="H14043" s="90"/>
    </row>
    <row r="14044" spans="7:8">
      <c r="G14044" s="87"/>
      <c r="H14044" s="90"/>
    </row>
    <row r="14045" spans="7:8">
      <c r="G14045" s="87"/>
      <c r="H14045" s="90"/>
    </row>
    <row r="14046" spans="7:8">
      <c r="G14046" s="87"/>
      <c r="H14046" s="90"/>
    </row>
    <row r="14047" spans="7:8">
      <c r="G14047" s="87"/>
      <c r="H14047" s="90"/>
    </row>
    <row r="14048" spans="7:8">
      <c r="G14048" s="87"/>
      <c r="H14048" s="90"/>
    </row>
    <row r="14049" spans="7:8">
      <c r="G14049" s="87"/>
      <c r="H14049" s="90"/>
    </row>
    <row r="14050" spans="7:8">
      <c r="G14050" s="87"/>
      <c r="H14050" s="90"/>
    </row>
    <row r="14051" spans="7:8">
      <c r="G14051" s="87"/>
      <c r="H14051" s="90"/>
    </row>
    <row r="14052" spans="7:8">
      <c r="G14052" s="87"/>
      <c r="H14052" s="90"/>
    </row>
    <row r="14053" spans="7:8">
      <c r="G14053" s="87"/>
      <c r="H14053" s="90"/>
    </row>
    <row r="14054" spans="7:8">
      <c r="G14054" s="87"/>
      <c r="H14054" s="90"/>
    </row>
    <row r="14055" spans="7:8">
      <c r="G14055" s="87"/>
      <c r="H14055" s="90"/>
    </row>
    <row r="14056" spans="7:8">
      <c r="G14056" s="87"/>
      <c r="H14056" s="90"/>
    </row>
    <row r="14057" spans="7:8">
      <c r="G14057" s="87"/>
      <c r="H14057" s="90"/>
    </row>
    <row r="14058" spans="7:8">
      <c r="G14058" s="87"/>
      <c r="H14058" s="90"/>
    </row>
    <row r="14059" spans="7:8">
      <c r="G14059" s="87"/>
      <c r="H14059" s="90"/>
    </row>
    <row r="14060" spans="7:8">
      <c r="G14060" s="87"/>
      <c r="H14060" s="90"/>
    </row>
    <row r="14061" spans="7:8">
      <c r="G14061" s="87"/>
      <c r="H14061" s="90"/>
    </row>
    <row r="14062" spans="7:8">
      <c r="G14062" s="87"/>
      <c r="H14062" s="90"/>
    </row>
    <row r="14063" spans="7:8">
      <c r="G14063" s="87"/>
      <c r="H14063" s="90"/>
    </row>
    <row r="14064" spans="7:8">
      <c r="G14064" s="87"/>
      <c r="H14064" s="90"/>
    </row>
    <row r="14065" spans="7:8">
      <c r="G14065" s="87"/>
      <c r="H14065" s="90"/>
    </row>
    <row r="14066" spans="7:8">
      <c r="G14066" s="87"/>
      <c r="H14066" s="90"/>
    </row>
    <row r="14067" spans="7:8">
      <c r="G14067" s="87"/>
      <c r="H14067" s="90"/>
    </row>
    <row r="14068" spans="7:8">
      <c r="G14068" s="87"/>
      <c r="H14068" s="90"/>
    </row>
    <row r="14069" spans="7:8">
      <c r="G14069" s="87"/>
      <c r="H14069" s="90"/>
    </row>
    <row r="14070" spans="7:8">
      <c r="G14070" s="87"/>
      <c r="H14070" s="90"/>
    </row>
    <row r="14071" spans="7:8">
      <c r="G14071" s="87"/>
      <c r="H14071" s="90"/>
    </row>
    <row r="14072" spans="7:8">
      <c r="G14072" s="87"/>
      <c r="H14072" s="90"/>
    </row>
    <row r="14073" spans="7:8">
      <c r="G14073" s="87"/>
      <c r="H14073" s="90"/>
    </row>
    <row r="14074" spans="7:8">
      <c r="G14074" s="87"/>
      <c r="H14074" s="90"/>
    </row>
    <row r="14075" spans="7:8">
      <c r="G14075" s="87"/>
      <c r="H14075" s="90"/>
    </row>
    <row r="14076" spans="7:8">
      <c r="G14076" s="87"/>
      <c r="H14076" s="90"/>
    </row>
    <row r="14077" spans="7:8">
      <c r="G14077" s="87"/>
      <c r="H14077" s="90"/>
    </row>
    <row r="14078" spans="7:8">
      <c r="G14078" s="87"/>
      <c r="H14078" s="90"/>
    </row>
    <row r="14079" spans="7:8">
      <c r="G14079" s="87"/>
      <c r="H14079" s="90"/>
    </row>
    <row r="14080" spans="7:8">
      <c r="G14080" s="87"/>
      <c r="H14080" s="90"/>
    </row>
    <row r="14081" spans="7:8">
      <c r="G14081" s="87"/>
      <c r="H14081" s="90"/>
    </row>
    <row r="14082" spans="7:8">
      <c r="G14082" s="87"/>
      <c r="H14082" s="90"/>
    </row>
    <row r="14083" spans="7:8">
      <c r="G14083" s="87"/>
      <c r="H14083" s="90"/>
    </row>
    <row r="14084" spans="7:8">
      <c r="G14084" s="87"/>
      <c r="H14084" s="90"/>
    </row>
    <row r="14085" spans="7:8">
      <c r="G14085" s="87"/>
      <c r="H14085" s="90"/>
    </row>
    <row r="14086" spans="7:8">
      <c r="G14086" s="87"/>
      <c r="H14086" s="90"/>
    </row>
    <row r="14087" spans="7:8">
      <c r="G14087" s="87"/>
      <c r="H14087" s="90"/>
    </row>
    <row r="14088" spans="7:8">
      <c r="G14088" s="87"/>
      <c r="H14088" s="90"/>
    </row>
    <row r="14089" spans="7:8">
      <c r="G14089" s="87"/>
      <c r="H14089" s="90"/>
    </row>
    <row r="14090" spans="7:8">
      <c r="G14090" s="87"/>
      <c r="H14090" s="90"/>
    </row>
    <row r="14091" spans="7:8">
      <c r="G14091" s="87"/>
      <c r="H14091" s="90"/>
    </row>
    <row r="14092" spans="7:8">
      <c r="G14092" s="87"/>
      <c r="H14092" s="90"/>
    </row>
    <row r="14093" spans="7:8">
      <c r="G14093" s="87"/>
      <c r="H14093" s="90"/>
    </row>
    <row r="14094" spans="7:8">
      <c r="G14094" s="87"/>
      <c r="H14094" s="90"/>
    </row>
    <row r="14095" spans="7:8">
      <c r="G14095" s="87"/>
      <c r="H14095" s="90"/>
    </row>
    <row r="14096" spans="7:8">
      <c r="G14096" s="87"/>
      <c r="H14096" s="90"/>
    </row>
    <row r="14097" spans="7:8">
      <c r="G14097" s="87"/>
      <c r="H14097" s="90"/>
    </row>
    <row r="14098" spans="7:8">
      <c r="G14098" s="87"/>
      <c r="H14098" s="90"/>
    </row>
    <row r="14099" spans="7:8">
      <c r="G14099" s="87"/>
      <c r="H14099" s="90"/>
    </row>
    <row r="14100" spans="7:8">
      <c r="G14100" s="87"/>
      <c r="H14100" s="90"/>
    </row>
    <row r="14101" spans="7:8">
      <c r="G14101" s="87"/>
      <c r="H14101" s="90"/>
    </row>
    <row r="14102" spans="7:8">
      <c r="G14102" s="87"/>
      <c r="H14102" s="90"/>
    </row>
    <row r="14103" spans="7:8">
      <c r="G14103" s="87"/>
      <c r="H14103" s="90"/>
    </row>
    <row r="14104" spans="7:8">
      <c r="G14104" s="87"/>
      <c r="H14104" s="90"/>
    </row>
    <row r="14105" spans="7:8">
      <c r="G14105" s="87"/>
      <c r="H14105" s="90"/>
    </row>
    <row r="14106" spans="7:8">
      <c r="G14106" s="87"/>
      <c r="H14106" s="90"/>
    </row>
    <row r="14107" spans="7:8">
      <c r="G14107" s="87"/>
      <c r="H14107" s="90"/>
    </row>
    <row r="14108" spans="7:8">
      <c r="G14108" s="87"/>
      <c r="H14108" s="90"/>
    </row>
    <row r="14109" spans="7:8">
      <c r="G14109" s="87"/>
      <c r="H14109" s="90"/>
    </row>
    <row r="14110" spans="7:8">
      <c r="G14110" s="87"/>
      <c r="H14110" s="90"/>
    </row>
    <row r="14111" spans="7:8">
      <c r="G14111" s="87"/>
      <c r="H14111" s="90"/>
    </row>
    <row r="14112" spans="7:8">
      <c r="G14112" s="87"/>
      <c r="H14112" s="90"/>
    </row>
    <row r="14113" spans="7:8">
      <c r="G14113" s="87"/>
      <c r="H14113" s="90"/>
    </row>
    <row r="14114" spans="7:8">
      <c r="G14114" s="87"/>
      <c r="H14114" s="90"/>
    </row>
    <row r="14115" spans="7:8">
      <c r="G14115" s="87"/>
      <c r="H14115" s="90"/>
    </row>
    <row r="14116" spans="7:8">
      <c r="G14116" s="87"/>
      <c r="H14116" s="90"/>
    </row>
    <row r="14117" spans="7:8">
      <c r="G14117" s="87"/>
      <c r="H14117" s="90"/>
    </row>
    <row r="14118" spans="7:8">
      <c r="G14118" s="87"/>
      <c r="H14118" s="90"/>
    </row>
    <row r="14119" spans="7:8">
      <c r="G14119" s="87"/>
      <c r="H14119" s="90"/>
    </row>
    <row r="14120" spans="7:8">
      <c r="G14120" s="87"/>
      <c r="H14120" s="90"/>
    </row>
    <row r="14121" spans="7:8">
      <c r="G14121" s="87"/>
      <c r="H14121" s="90"/>
    </row>
    <row r="14122" spans="7:8">
      <c r="G14122" s="87"/>
      <c r="H14122" s="90"/>
    </row>
    <row r="14123" spans="7:8">
      <c r="G14123" s="87"/>
      <c r="H14123" s="90"/>
    </row>
    <row r="14124" spans="7:8">
      <c r="G14124" s="87"/>
      <c r="H14124" s="90"/>
    </row>
    <row r="14125" spans="7:8">
      <c r="G14125" s="87"/>
      <c r="H14125" s="90"/>
    </row>
    <row r="14126" spans="7:8">
      <c r="G14126" s="87"/>
      <c r="H14126" s="90"/>
    </row>
    <row r="14127" spans="7:8">
      <c r="G14127" s="87"/>
      <c r="H14127" s="90"/>
    </row>
    <row r="14128" spans="7:8">
      <c r="G14128" s="87"/>
      <c r="H14128" s="90"/>
    </row>
    <row r="14129" spans="7:8">
      <c r="G14129" s="87"/>
      <c r="H14129" s="90"/>
    </row>
    <row r="14130" spans="7:8">
      <c r="G14130" s="87"/>
      <c r="H14130" s="90"/>
    </row>
    <row r="14131" spans="7:8">
      <c r="G14131" s="87"/>
      <c r="H14131" s="90"/>
    </row>
    <row r="14132" spans="7:8">
      <c r="G14132" s="87"/>
      <c r="H14132" s="90"/>
    </row>
    <row r="14133" spans="7:8">
      <c r="G14133" s="87"/>
      <c r="H14133" s="90"/>
    </row>
    <row r="14134" spans="7:8">
      <c r="G14134" s="87"/>
      <c r="H14134" s="90"/>
    </row>
    <row r="14135" spans="7:8">
      <c r="G14135" s="87"/>
      <c r="H14135" s="90"/>
    </row>
    <row r="14136" spans="7:8">
      <c r="G14136" s="87"/>
      <c r="H14136" s="90"/>
    </row>
    <row r="14137" spans="7:8">
      <c r="G14137" s="87"/>
      <c r="H14137" s="90"/>
    </row>
    <row r="14138" spans="7:8">
      <c r="G14138" s="87"/>
      <c r="H14138" s="90"/>
    </row>
    <row r="14139" spans="7:8">
      <c r="G14139" s="87"/>
      <c r="H14139" s="90"/>
    </row>
    <row r="14140" spans="7:8">
      <c r="G14140" s="87"/>
      <c r="H14140" s="90"/>
    </row>
    <row r="14141" spans="7:8">
      <c r="G14141" s="87"/>
      <c r="H14141" s="90"/>
    </row>
    <row r="14142" spans="7:8">
      <c r="G14142" s="87"/>
      <c r="H14142" s="90"/>
    </row>
    <row r="14143" spans="7:8">
      <c r="G14143" s="87"/>
      <c r="H14143" s="90"/>
    </row>
    <row r="14144" spans="7:8">
      <c r="G14144" s="87"/>
      <c r="H14144" s="90"/>
    </row>
    <row r="14145" spans="7:8">
      <c r="G14145" s="87"/>
      <c r="H14145" s="90"/>
    </row>
    <row r="14146" spans="7:8">
      <c r="G14146" s="87"/>
      <c r="H14146" s="90"/>
    </row>
    <row r="14147" spans="7:8">
      <c r="G14147" s="87"/>
      <c r="H14147" s="90"/>
    </row>
    <row r="14148" spans="7:8">
      <c r="G14148" s="87"/>
      <c r="H14148" s="90"/>
    </row>
    <row r="14149" spans="7:8">
      <c r="G14149" s="87"/>
      <c r="H14149" s="90"/>
    </row>
    <row r="14150" spans="7:8">
      <c r="G14150" s="87"/>
      <c r="H14150" s="90"/>
    </row>
    <row r="14151" spans="7:8">
      <c r="G14151" s="87"/>
      <c r="H14151" s="90"/>
    </row>
    <row r="14152" spans="7:8">
      <c r="G14152" s="87"/>
      <c r="H14152" s="90"/>
    </row>
    <row r="14153" spans="7:8">
      <c r="G14153" s="87"/>
      <c r="H14153" s="90"/>
    </row>
    <row r="14154" spans="7:8">
      <c r="G14154" s="87"/>
      <c r="H14154" s="90"/>
    </row>
    <row r="14155" spans="7:8">
      <c r="G14155" s="87"/>
      <c r="H14155" s="90"/>
    </row>
    <row r="14156" spans="7:8">
      <c r="G14156" s="87"/>
      <c r="H14156" s="90"/>
    </row>
    <row r="14157" spans="7:8">
      <c r="G14157" s="87"/>
      <c r="H14157" s="90"/>
    </row>
    <row r="14158" spans="7:8">
      <c r="G14158" s="87"/>
      <c r="H14158" s="90"/>
    </row>
    <row r="14159" spans="7:8">
      <c r="G14159" s="87"/>
      <c r="H14159" s="90"/>
    </row>
    <row r="14160" spans="7:8">
      <c r="G14160" s="87"/>
      <c r="H14160" s="90"/>
    </row>
    <row r="14161" spans="7:8">
      <c r="G14161" s="87"/>
      <c r="H14161" s="90"/>
    </row>
    <row r="14162" spans="7:8">
      <c r="G14162" s="87"/>
      <c r="H14162" s="90"/>
    </row>
    <row r="14163" spans="7:8">
      <c r="G14163" s="87"/>
      <c r="H14163" s="90"/>
    </row>
    <row r="14164" spans="7:8">
      <c r="G14164" s="87"/>
      <c r="H14164" s="90"/>
    </row>
    <row r="14165" spans="7:8">
      <c r="G14165" s="87"/>
      <c r="H14165" s="90"/>
    </row>
    <row r="14166" spans="7:8">
      <c r="G14166" s="87"/>
      <c r="H14166" s="90"/>
    </row>
    <row r="14167" spans="7:8">
      <c r="G14167" s="87"/>
      <c r="H14167" s="90"/>
    </row>
    <row r="14168" spans="7:8">
      <c r="G14168" s="87"/>
      <c r="H14168" s="90"/>
    </row>
    <row r="14169" spans="7:8">
      <c r="G14169" s="87"/>
      <c r="H14169" s="90"/>
    </row>
    <row r="14170" spans="7:8">
      <c r="G14170" s="87"/>
      <c r="H14170" s="90"/>
    </row>
    <row r="14171" spans="7:8">
      <c r="G14171" s="87"/>
      <c r="H14171" s="90"/>
    </row>
    <row r="14172" spans="7:8">
      <c r="G14172" s="87"/>
      <c r="H14172" s="90"/>
    </row>
    <row r="14173" spans="7:8">
      <c r="G14173" s="87"/>
      <c r="H14173" s="90"/>
    </row>
    <row r="14174" spans="7:8">
      <c r="G14174" s="87"/>
      <c r="H14174" s="90"/>
    </row>
    <row r="14175" spans="7:8">
      <c r="G14175" s="87"/>
      <c r="H14175" s="90"/>
    </row>
    <row r="14176" spans="7:8">
      <c r="G14176" s="87"/>
      <c r="H14176" s="90"/>
    </row>
    <row r="14177" spans="7:8">
      <c r="G14177" s="87"/>
      <c r="H14177" s="90"/>
    </row>
    <row r="14178" spans="7:8">
      <c r="G14178" s="87"/>
      <c r="H14178" s="90"/>
    </row>
    <row r="14179" spans="7:8">
      <c r="G14179" s="87"/>
      <c r="H14179" s="90"/>
    </row>
    <row r="14180" spans="7:8">
      <c r="G14180" s="87"/>
      <c r="H14180" s="90"/>
    </row>
    <row r="14181" spans="7:8">
      <c r="G14181" s="87"/>
      <c r="H14181" s="90"/>
    </row>
    <row r="14182" spans="7:8">
      <c r="G14182" s="87"/>
      <c r="H14182" s="90"/>
    </row>
    <row r="14183" spans="7:8">
      <c r="G14183" s="87"/>
      <c r="H14183" s="90"/>
    </row>
    <row r="14184" spans="7:8">
      <c r="G14184" s="87"/>
      <c r="H14184" s="90"/>
    </row>
    <row r="14185" spans="7:8">
      <c r="G14185" s="87"/>
      <c r="H14185" s="90"/>
    </row>
    <row r="14186" spans="7:8">
      <c r="G14186" s="87"/>
      <c r="H14186" s="90"/>
    </row>
    <row r="14187" spans="7:8">
      <c r="G14187" s="87"/>
      <c r="H14187" s="90"/>
    </row>
    <row r="14188" spans="7:8">
      <c r="G14188" s="87"/>
      <c r="H14188" s="90"/>
    </row>
    <row r="14189" spans="7:8">
      <c r="G14189" s="87"/>
      <c r="H14189" s="90"/>
    </row>
    <row r="14190" spans="7:8">
      <c r="G14190" s="87"/>
      <c r="H14190" s="90"/>
    </row>
    <row r="14191" spans="7:8">
      <c r="G14191" s="87"/>
      <c r="H14191" s="90"/>
    </row>
    <row r="14192" spans="7:8">
      <c r="G14192" s="87"/>
      <c r="H14192" s="90"/>
    </row>
    <row r="14193" spans="7:8">
      <c r="G14193" s="87"/>
      <c r="H14193" s="90"/>
    </row>
    <row r="14194" spans="7:8">
      <c r="G14194" s="87"/>
      <c r="H14194" s="90"/>
    </row>
    <row r="14195" spans="7:8">
      <c r="G14195" s="87"/>
      <c r="H14195" s="90"/>
    </row>
    <row r="14196" spans="7:8">
      <c r="G14196" s="87"/>
      <c r="H14196" s="90"/>
    </row>
    <row r="14197" spans="7:8">
      <c r="G14197" s="87"/>
      <c r="H14197" s="90"/>
    </row>
    <row r="14198" spans="7:8">
      <c r="G14198" s="87"/>
      <c r="H14198" s="90"/>
    </row>
    <row r="14199" spans="7:8">
      <c r="G14199" s="87"/>
      <c r="H14199" s="90"/>
    </row>
    <row r="14200" spans="7:8">
      <c r="G14200" s="87"/>
      <c r="H14200" s="90"/>
    </row>
    <row r="14201" spans="7:8">
      <c r="G14201" s="87"/>
      <c r="H14201" s="90"/>
    </row>
    <row r="14202" spans="7:8">
      <c r="G14202" s="87"/>
      <c r="H14202" s="90"/>
    </row>
    <row r="14203" spans="7:8">
      <c r="G14203" s="87"/>
      <c r="H14203" s="90"/>
    </row>
    <row r="14204" spans="7:8">
      <c r="G14204" s="87"/>
      <c r="H14204" s="90"/>
    </row>
    <row r="14205" spans="7:8">
      <c r="G14205" s="87"/>
      <c r="H14205" s="90"/>
    </row>
    <row r="14206" spans="7:8">
      <c r="G14206" s="87"/>
      <c r="H14206" s="90"/>
    </row>
    <row r="14207" spans="7:8">
      <c r="G14207" s="87"/>
      <c r="H14207" s="90"/>
    </row>
    <row r="14208" spans="7:8">
      <c r="G14208" s="87"/>
      <c r="H14208" s="90"/>
    </row>
    <row r="14209" spans="7:8">
      <c r="G14209" s="87"/>
      <c r="H14209" s="90"/>
    </row>
    <row r="14210" spans="7:8">
      <c r="G14210" s="87"/>
      <c r="H14210" s="90"/>
    </row>
    <row r="14211" spans="7:8">
      <c r="G14211" s="87"/>
      <c r="H14211" s="90"/>
    </row>
    <row r="14212" spans="7:8">
      <c r="G14212" s="87"/>
      <c r="H14212" s="90"/>
    </row>
    <row r="14213" spans="7:8">
      <c r="G14213" s="87"/>
      <c r="H14213" s="90"/>
    </row>
    <row r="14214" spans="7:8">
      <c r="G14214" s="87"/>
      <c r="H14214" s="90"/>
    </row>
    <row r="14215" spans="7:8">
      <c r="G14215" s="87"/>
      <c r="H14215" s="90"/>
    </row>
    <row r="14216" spans="7:8">
      <c r="G14216" s="87"/>
      <c r="H14216" s="90"/>
    </row>
    <row r="14217" spans="7:8">
      <c r="G14217" s="87"/>
      <c r="H14217" s="90"/>
    </row>
    <row r="14218" spans="7:8">
      <c r="G14218" s="87"/>
      <c r="H14218" s="90"/>
    </row>
    <row r="14219" spans="7:8">
      <c r="G14219" s="87"/>
      <c r="H14219" s="90"/>
    </row>
    <row r="14220" spans="7:8">
      <c r="G14220" s="87"/>
      <c r="H14220" s="90"/>
    </row>
    <row r="14221" spans="7:8">
      <c r="G14221" s="87"/>
      <c r="H14221" s="90"/>
    </row>
    <row r="14222" spans="7:8">
      <c r="G14222" s="87"/>
      <c r="H14222" s="90"/>
    </row>
    <row r="14223" spans="7:8">
      <c r="G14223" s="87"/>
      <c r="H14223" s="90"/>
    </row>
    <row r="14224" spans="7:8">
      <c r="G14224" s="87"/>
      <c r="H14224" s="90"/>
    </row>
    <row r="14225" spans="7:8">
      <c r="G14225" s="87"/>
      <c r="H14225" s="90"/>
    </row>
    <row r="14226" spans="7:8">
      <c r="G14226" s="87"/>
      <c r="H14226" s="90"/>
    </row>
    <row r="14227" spans="7:8">
      <c r="G14227" s="87"/>
      <c r="H14227" s="90"/>
    </row>
    <row r="14228" spans="7:8">
      <c r="G14228" s="87"/>
      <c r="H14228" s="90"/>
    </row>
    <row r="14229" spans="7:8">
      <c r="G14229" s="87"/>
      <c r="H14229" s="90"/>
    </row>
    <row r="14230" spans="7:8">
      <c r="G14230" s="87"/>
      <c r="H14230" s="90"/>
    </row>
    <row r="14231" spans="7:8">
      <c r="G14231" s="87"/>
      <c r="H14231" s="90"/>
    </row>
    <row r="14232" spans="7:8">
      <c r="G14232" s="87"/>
      <c r="H14232" s="90"/>
    </row>
    <row r="14233" spans="7:8">
      <c r="G14233" s="87"/>
      <c r="H14233" s="90"/>
    </row>
    <row r="14234" spans="7:8">
      <c r="G14234" s="87"/>
      <c r="H14234" s="90"/>
    </row>
    <row r="14235" spans="7:8">
      <c r="G14235" s="87"/>
      <c r="H14235" s="90"/>
    </row>
    <row r="14236" spans="7:8">
      <c r="G14236" s="87"/>
      <c r="H14236" s="90"/>
    </row>
    <row r="14237" spans="7:8">
      <c r="G14237" s="87"/>
      <c r="H14237" s="90"/>
    </row>
    <row r="14238" spans="7:8">
      <c r="G14238" s="87"/>
      <c r="H14238" s="90"/>
    </row>
    <row r="14239" spans="7:8">
      <c r="G14239" s="87"/>
      <c r="H14239" s="90"/>
    </row>
    <row r="14240" spans="7:8">
      <c r="G14240" s="87"/>
      <c r="H14240" s="90"/>
    </row>
    <row r="14241" spans="7:8">
      <c r="G14241" s="87"/>
      <c r="H14241" s="90"/>
    </row>
    <row r="14242" spans="7:8">
      <c r="G14242" s="87"/>
      <c r="H14242" s="90"/>
    </row>
    <row r="14243" spans="7:8">
      <c r="G14243" s="87"/>
      <c r="H14243" s="90"/>
    </row>
    <row r="14244" spans="7:8">
      <c r="G14244" s="87"/>
      <c r="H14244" s="90"/>
    </row>
    <row r="14245" spans="7:8">
      <c r="G14245" s="87"/>
      <c r="H14245" s="90"/>
    </row>
    <row r="14246" spans="7:8">
      <c r="G14246" s="87"/>
      <c r="H14246" s="90"/>
    </row>
    <row r="14247" spans="7:8">
      <c r="G14247" s="87"/>
      <c r="H14247" s="90"/>
    </row>
    <row r="14248" spans="7:8">
      <c r="G14248" s="87"/>
      <c r="H14248" s="90"/>
    </row>
    <row r="14249" spans="7:8">
      <c r="G14249" s="87"/>
      <c r="H14249" s="90"/>
    </row>
    <row r="14250" spans="7:8">
      <c r="G14250" s="87"/>
      <c r="H14250" s="90"/>
    </row>
    <row r="14251" spans="7:8">
      <c r="G14251" s="87"/>
      <c r="H14251" s="90"/>
    </row>
    <row r="14252" spans="7:8">
      <c r="G14252" s="87"/>
      <c r="H14252" s="90"/>
    </row>
    <row r="14253" spans="7:8">
      <c r="G14253" s="87"/>
      <c r="H14253" s="90"/>
    </row>
    <row r="14254" spans="7:8">
      <c r="G14254" s="87"/>
      <c r="H14254" s="90"/>
    </row>
    <row r="14255" spans="7:8">
      <c r="G14255" s="87"/>
      <c r="H14255" s="90"/>
    </row>
    <row r="14256" spans="7:8">
      <c r="G14256" s="87"/>
      <c r="H14256" s="90"/>
    </row>
    <row r="14257" spans="7:8">
      <c r="G14257" s="87"/>
      <c r="H14257" s="90"/>
    </row>
    <row r="14258" spans="7:8">
      <c r="G14258" s="87"/>
      <c r="H14258" s="90"/>
    </row>
    <row r="14259" spans="7:8">
      <c r="G14259" s="87"/>
      <c r="H14259" s="90"/>
    </row>
    <row r="14260" spans="7:8">
      <c r="G14260" s="87"/>
      <c r="H14260" s="90"/>
    </row>
    <row r="14261" spans="7:8">
      <c r="G14261" s="87"/>
      <c r="H14261" s="90"/>
    </row>
    <row r="14262" spans="7:8">
      <c r="G14262" s="87"/>
      <c r="H14262" s="90"/>
    </row>
    <row r="14263" spans="7:8">
      <c r="G14263" s="87"/>
      <c r="H14263" s="90"/>
    </row>
    <row r="14264" spans="7:8">
      <c r="G14264" s="87"/>
      <c r="H14264" s="90"/>
    </row>
    <row r="14265" spans="7:8">
      <c r="G14265" s="87"/>
      <c r="H14265" s="90"/>
    </row>
    <row r="14266" spans="7:8">
      <c r="G14266" s="87"/>
      <c r="H14266" s="90"/>
    </row>
    <row r="14267" spans="7:8">
      <c r="G14267" s="87"/>
      <c r="H14267" s="90"/>
    </row>
    <row r="14268" spans="7:8">
      <c r="G14268" s="87"/>
      <c r="H14268" s="90"/>
    </row>
    <row r="14269" spans="7:8">
      <c r="G14269" s="87"/>
      <c r="H14269" s="90"/>
    </row>
    <row r="14270" spans="7:8">
      <c r="G14270" s="87"/>
      <c r="H14270" s="90"/>
    </row>
    <row r="14271" spans="7:8">
      <c r="G14271" s="87"/>
      <c r="H14271" s="90"/>
    </row>
    <row r="14272" spans="7:8">
      <c r="G14272" s="87"/>
      <c r="H14272" s="90"/>
    </row>
    <row r="14273" spans="7:8">
      <c r="G14273" s="87"/>
      <c r="H14273" s="90"/>
    </row>
    <row r="14274" spans="7:8">
      <c r="G14274" s="87"/>
      <c r="H14274" s="90"/>
    </row>
    <row r="14275" spans="7:8">
      <c r="G14275" s="87"/>
      <c r="H14275" s="90"/>
    </row>
    <row r="14276" spans="7:8">
      <c r="G14276" s="87"/>
      <c r="H14276" s="90"/>
    </row>
    <row r="14277" spans="7:8">
      <c r="G14277" s="87"/>
      <c r="H14277" s="90"/>
    </row>
    <row r="14278" spans="7:8">
      <c r="G14278" s="87"/>
      <c r="H14278" s="90"/>
    </row>
    <row r="14279" spans="7:8">
      <c r="G14279" s="87"/>
      <c r="H14279" s="90"/>
    </row>
    <row r="14280" spans="7:8">
      <c r="G14280" s="87"/>
      <c r="H14280" s="90"/>
    </row>
    <row r="14281" spans="7:8">
      <c r="G14281" s="87"/>
      <c r="H14281" s="90"/>
    </row>
    <row r="14282" spans="7:8">
      <c r="G14282" s="87"/>
      <c r="H14282" s="90"/>
    </row>
    <row r="14283" spans="7:8">
      <c r="G14283" s="87"/>
      <c r="H14283" s="90"/>
    </row>
    <row r="14284" spans="7:8">
      <c r="G14284" s="87"/>
      <c r="H14284" s="90"/>
    </row>
    <row r="14285" spans="7:8">
      <c r="G14285" s="87"/>
      <c r="H14285" s="90"/>
    </row>
    <row r="14286" spans="7:8">
      <c r="G14286" s="87"/>
      <c r="H14286" s="90"/>
    </row>
    <row r="14287" spans="7:8">
      <c r="G14287" s="87"/>
      <c r="H14287" s="90"/>
    </row>
    <row r="14288" spans="7:8">
      <c r="G14288" s="87"/>
      <c r="H14288" s="90"/>
    </row>
    <row r="14289" spans="7:8">
      <c r="G14289" s="87"/>
      <c r="H14289" s="90"/>
    </row>
    <row r="14290" spans="7:8">
      <c r="G14290" s="87"/>
      <c r="H14290" s="90"/>
    </row>
    <row r="14291" spans="7:8">
      <c r="G14291" s="87"/>
      <c r="H14291" s="90"/>
    </row>
    <row r="14292" spans="7:8">
      <c r="G14292" s="87"/>
      <c r="H14292" s="90"/>
    </row>
    <row r="14293" spans="7:8">
      <c r="G14293" s="87"/>
      <c r="H14293" s="90"/>
    </row>
    <row r="14294" spans="7:8">
      <c r="G14294" s="87"/>
      <c r="H14294" s="90"/>
    </row>
    <row r="14295" spans="7:8">
      <c r="G14295" s="87"/>
      <c r="H14295" s="90"/>
    </row>
    <row r="14296" spans="7:8">
      <c r="G14296" s="87"/>
      <c r="H14296" s="90"/>
    </row>
    <row r="14297" spans="7:8">
      <c r="G14297" s="87"/>
      <c r="H14297" s="90"/>
    </row>
    <row r="14298" spans="7:8">
      <c r="G14298" s="87"/>
      <c r="H14298" s="90"/>
    </row>
    <row r="14299" spans="7:8">
      <c r="G14299" s="87"/>
      <c r="H14299" s="90"/>
    </row>
    <row r="14300" spans="7:8">
      <c r="G14300" s="87"/>
      <c r="H14300" s="90"/>
    </row>
    <row r="14301" spans="7:8">
      <c r="G14301" s="87"/>
      <c r="H14301" s="90"/>
    </row>
    <row r="14302" spans="7:8">
      <c r="G14302" s="87"/>
      <c r="H14302" s="90"/>
    </row>
    <row r="14303" spans="7:8">
      <c r="G14303" s="87"/>
      <c r="H14303" s="90"/>
    </row>
    <row r="14304" spans="7:8">
      <c r="G14304" s="87"/>
      <c r="H14304" s="90"/>
    </row>
    <row r="14305" spans="7:8">
      <c r="G14305" s="87"/>
      <c r="H14305" s="90"/>
    </row>
    <row r="14306" spans="7:8">
      <c r="G14306" s="87"/>
      <c r="H14306" s="90"/>
    </row>
    <row r="14307" spans="7:8">
      <c r="G14307" s="87"/>
      <c r="H14307" s="90"/>
    </row>
    <row r="14308" spans="7:8">
      <c r="G14308" s="87"/>
      <c r="H14308" s="90"/>
    </row>
    <row r="14309" spans="7:8">
      <c r="G14309" s="87"/>
      <c r="H14309" s="90"/>
    </row>
    <row r="14310" spans="7:8">
      <c r="G14310" s="87"/>
      <c r="H14310" s="90"/>
    </row>
    <row r="14311" spans="7:8">
      <c r="G14311" s="87"/>
      <c r="H14311" s="90"/>
    </row>
    <row r="14312" spans="7:8">
      <c r="G14312" s="87"/>
      <c r="H14312" s="90"/>
    </row>
    <row r="14313" spans="7:8">
      <c r="G14313" s="87"/>
      <c r="H14313" s="90"/>
    </row>
    <row r="14314" spans="7:8">
      <c r="G14314" s="87"/>
      <c r="H14314" s="90"/>
    </row>
    <row r="14315" spans="7:8">
      <c r="G14315" s="87"/>
      <c r="H14315" s="90"/>
    </row>
    <row r="14316" spans="7:8">
      <c r="G14316" s="87"/>
      <c r="H14316" s="90"/>
    </row>
    <row r="14317" spans="7:8">
      <c r="G14317" s="87"/>
      <c r="H14317" s="90"/>
    </row>
    <row r="14318" spans="7:8">
      <c r="G14318" s="87"/>
      <c r="H14318" s="90"/>
    </row>
    <row r="14319" spans="7:8">
      <c r="G14319" s="87"/>
      <c r="H14319" s="90"/>
    </row>
    <row r="14320" spans="7:8">
      <c r="G14320" s="87"/>
      <c r="H14320" s="90"/>
    </row>
    <row r="14321" spans="7:8">
      <c r="G14321" s="87"/>
      <c r="H14321" s="90"/>
    </row>
    <row r="14322" spans="7:8">
      <c r="G14322" s="87"/>
      <c r="H14322" s="90"/>
    </row>
    <row r="14323" spans="7:8">
      <c r="G14323" s="87"/>
      <c r="H14323" s="90"/>
    </row>
    <row r="14324" spans="7:8">
      <c r="G14324" s="87"/>
      <c r="H14324" s="90"/>
    </row>
    <row r="14325" spans="7:8">
      <c r="G14325" s="87"/>
      <c r="H14325" s="90"/>
    </row>
    <row r="14326" spans="7:8">
      <c r="G14326" s="87"/>
      <c r="H14326" s="90"/>
    </row>
    <row r="14327" spans="7:8">
      <c r="G14327" s="87"/>
      <c r="H14327" s="90"/>
    </row>
    <row r="14328" spans="7:8">
      <c r="G14328" s="87"/>
      <c r="H14328" s="90"/>
    </row>
    <row r="14329" spans="7:8">
      <c r="G14329" s="87"/>
      <c r="H14329" s="90"/>
    </row>
    <row r="14330" spans="7:8">
      <c r="G14330" s="87"/>
      <c r="H14330" s="90"/>
    </row>
    <row r="14331" spans="7:8">
      <c r="G14331" s="87"/>
      <c r="H14331" s="90"/>
    </row>
    <row r="14332" spans="7:8">
      <c r="G14332" s="87"/>
      <c r="H14332" s="90"/>
    </row>
    <row r="14333" spans="7:8">
      <c r="G14333" s="87"/>
      <c r="H14333" s="90"/>
    </row>
    <row r="14334" spans="7:8">
      <c r="G14334" s="87"/>
      <c r="H14334" s="90"/>
    </row>
    <row r="14335" spans="7:8">
      <c r="G14335" s="87"/>
      <c r="H14335" s="90"/>
    </row>
    <row r="14336" spans="7:8">
      <c r="G14336" s="87"/>
      <c r="H14336" s="90"/>
    </row>
    <row r="14337" spans="7:8">
      <c r="G14337" s="87"/>
      <c r="H14337" s="90"/>
    </row>
    <row r="14338" spans="7:8">
      <c r="G14338" s="87"/>
      <c r="H14338" s="90"/>
    </row>
    <row r="14339" spans="7:8">
      <c r="G14339" s="87"/>
      <c r="H14339" s="90"/>
    </row>
    <row r="14340" spans="7:8">
      <c r="G14340" s="87"/>
      <c r="H14340" s="90"/>
    </row>
    <row r="14341" spans="7:8">
      <c r="G14341" s="87"/>
      <c r="H14341" s="90"/>
    </row>
    <row r="14342" spans="7:8">
      <c r="G14342" s="87"/>
      <c r="H14342" s="90"/>
    </row>
    <row r="14343" spans="7:8">
      <c r="G14343" s="87"/>
      <c r="H14343" s="90"/>
    </row>
    <row r="14344" spans="7:8">
      <c r="G14344" s="87"/>
      <c r="H14344" s="90"/>
    </row>
    <row r="14345" spans="7:8">
      <c r="G14345" s="87"/>
      <c r="H14345" s="90"/>
    </row>
    <row r="14346" spans="7:8">
      <c r="G14346" s="87"/>
      <c r="H14346" s="90"/>
    </row>
    <row r="14347" spans="7:8">
      <c r="G14347" s="87"/>
      <c r="H14347" s="90"/>
    </row>
    <row r="14348" spans="7:8">
      <c r="G14348" s="87"/>
      <c r="H14348" s="90"/>
    </row>
    <row r="14349" spans="7:8">
      <c r="G14349" s="87"/>
      <c r="H14349" s="90"/>
    </row>
    <row r="14350" spans="7:8">
      <c r="G14350" s="87"/>
      <c r="H14350" s="90"/>
    </row>
    <row r="14351" spans="7:8">
      <c r="G14351" s="87"/>
      <c r="H14351" s="90"/>
    </row>
    <row r="14352" spans="7:8">
      <c r="G14352" s="87"/>
      <c r="H14352" s="90"/>
    </row>
    <row r="14353" spans="7:8">
      <c r="G14353" s="87"/>
      <c r="H14353" s="90"/>
    </row>
    <row r="14354" spans="7:8">
      <c r="G14354" s="87"/>
      <c r="H14354" s="90"/>
    </row>
    <row r="14355" spans="7:8">
      <c r="G14355" s="87"/>
      <c r="H14355" s="90"/>
    </row>
    <row r="14356" spans="7:8">
      <c r="G14356" s="87"/>
      <c r="H14356" s="90"/>
    </row>
    <row r="14357" spans="7:8">
      <c r="G14357" s="87"/>
      <c r="H14357" s="90"/>
    </row>
    <row r="14358" spans="7:8">
      <c r="G14358" s="87"/>
      <c r="H14358" s="90"/>
    </row>
    <row r="14359" spans="7:8">
      <c r="G14359" s="87"/>
      <c r="H14359" s="90"/>
    </row>
    <row r="14360" spans="7:8">
      <c r="G14360" s="87"/>
      <c r="H14360" s="90"/>
    </row>
    <row r="14361" spans="7:8">
      <c r="G14361" s="87"/>
      <c r="H14361" s="90"/>
    </row>
    <row r="14362" spans="7:8">
      <c r="G14362" s="87"/>
      <c r="H14362" s="90"/>
    </row>
    <row r="14363" spans="7:8">
      <c r="G14363" s="87"/>
      <c r="H14363" s="90"/>
    </row>
    <row r="14364" spans="7:8">
      <c r="G14364" s="87"/>
      <c r="H14364" s="90"/>
    </row>
    <row r="14365" spans="7:8">
      <c r="G14365" s="87"/>
      <c r="H14365" s="90"/>
    </row>
    <row r="14366" spans="7:8">
      <c r="G14366" s="87"/>
      <c r="H14366" s="90"/>
    </row>
    <row r="14367" spans="7:8">
      <c r="G14367" s="87"/>
      <c r="H14367" s="90"/>
    </row>
    <row r="14368" spans="7:8">
      <c r="G14368" s="87"/>
      <c r="H14368" s="90"/>
    </row>
    <row r="14369" spans="7:8">
      <c r="G14369" s="87"/>
      <c r="H14369" s="90"/>
    </row>
    <row r="14370" spans="7:8">
      <c r="G14370" s="87"/>
      <c r="H14370" s="90"/>
    </row>
    <row r="14371" spans="7:8">
      <c r="G14371" s="87"/>
      <c r="H14371" s="90"/>
    </row>
    <row r="14372" spans="7:8">
      <c r="G14372" s="87"/>
      <c r="H14372" s="90"/>
    </row>
    <row r="14373" spans="7:8">
      <c r="G14373" s="87"/>
      <c r="H14373" s="90"/>
    </row>
    <row r="14374" spans="7:8">
      <c r="G14374" s="87"/>
      <c r="H14374" s="90"/>
    </row>
    <row r="14375" spans="7:8">
      <c r="G14375" s="87"/>
      <c r="H14375" s="90"/>
    </row>
    <row r="14376" spans="7:8">
      <c r="G14376" s="87"/>
      <c r="H14376" s="90"/>
    </row>
    <row r="14377" spans="7:8">
      <c r="G14377" s="87"/>
      <c r="H14377" s="90"/>
    </row>
    <row r="14378" spans="7:8">
      <c r="G14378" s="87"/>
      <c r="H14378" s="90"/>
    </row>
    <row r="14379" spans="7:8">
      <c r="G14379" s="87"/>
      <c r="H14379" s="90"/>
    </row>
    <row r="14380" spans="7:8">
      <c r="G14380" s="87"/>
      <c r="H14380" s="90"/>
    </row>
    <row r="14381" spans="7:8">
      <c r="G14381" s="87"/>
      <c r="H14381" s="90"/>
    </row>
    <row r="14382" spans="7:8">
      <c r="G14382" s="87"/>
      <c r="H14382" s="90"/>
    </row>
    <row r="14383" spans="7:8">
      <c r="G14383" s="87"/>
      <c r="H14383" s="90"/>
    </row>
    <row r="14384" spans="7:8">
      <c r="G14384" s="87"/>
      <c r="H14384" s="90"/>
    </row>
    <row r="14385" spans="7:8">
      <c r="G14385" s="87"/>
      <c r="H14385" s="90"/>
    </row>
    <row r="14386" spans="7:8">
      <c r="G14386" s="87"/>
      <c r="H14386" s="90"/>
    </row>
    <row r="14387" spans="7:8">
      <c r="G14387" s="87"/>
      <c r="H14387" s="90"/>
    </row>
    <row r="14388" spans="7:8">
      <c r="G14388" s="87"/>
      <c r="H14388" s="90"/>
    </row>
    <row r="14389" spans="7:8">
      <c r="G14389" s="87"/>
      <c r="H14389" s="90"/>
    </row>
    <row r="14390" spans="7:8">
      <c r="G14390" s="87"/>
      <c r="H14390" s="90"/>
    </row>
    <row r="14391" spans="7:8">
      <c r="G14391" s="87"/>
      <c r="H14391" s="90"/>
    </row>
    <row r="14392" spans="7:8">
      <c r="G14392" s="87"/>
      <c r="H14392" s="90"/>
    </row>
    <row r="14393" spans="7:8">
      <c r="G14393" s="87"/>
      <c r="H14393" s="90"/>
    </row>
    <row r="14394" spans="7:8">
      <c r="G14394" s="87"/>
      <c r="H14394" s="90"/>
    </row>
    <row r="14395" spans="7:8">
      <c r="G14395" s="87"/>
      <c r="H14395" s="90"/>
    </row>
    <row r="14396" spans="7:8">
      <c r="G14396" s="87"/>
      <c r="H14396" s="90"/>
    </row>
    <row r="14397" spans="7:8">
      <c r="G14397" s="87"/>
      <c r="H14397" s="90"/>
    </row>
    <row r="14398" spans="7:8">
      <c r="G14398" s="87"/>
      <c r="H14398" s="90"/>
    </row>
    <row r="14399" spans="7:8">
      <c r="G14399" s="87"/>
      <c r="H14399" s="90"/>
    </row>
    <row r="14400" spans="7:8">
      <c r="G14400" s="87"/>
      <c r="H14400" s="90"/>
    </row>
    <row r="14401" spans="7:8">
      <c r="G14401" s="87"/>
      <c r="H14401" s="90"/>
    </row>
    <row r="14402" spans="7:8">
      <c r="G14402" s="87"/>
      <c r="H14402" s="90"/>
    </row>
    <row r="14403" spans="7:8">
      <c r="G14403" s="87"/>
      <c r="H14403" s="90"/>
    </row>
    <row r="14404" spans="7:8">
      <c r="G14404" s="87"/>
      <c r="H14404" s="90"/>
    </row>
    <row r="14405" spans="7:8">
      <c r="G14405" s="87"/>
      <c r="H14405" s="90"/>
    </row>
    <row r="14406" spans="7:8">
      <c r="G14406" s="87"/>
      <c r="H14406" s="90"/>
    </row>
    <row r="14407" spans="7:8">
      <c r="G14407" s="87"/>
      <c r="H14407" s="90"/>
    </row>
    <row r="14408" spans="7:8">
      <c r="G14408" s="87"/>
      <c r="H14408" s="90"/>
    </row>
    <row r="14409" spans="7:8">
      <c r="G14409" s="87"/>
      <c r="H14409" s="90"/>
    </row>
    <row r="14410" spans="7:8">
      <c r="G14410" s="87"/>
      <c r="H14410" s="90"/>
    </row>
    <row r="14411" spans="7:8">
      <c r="G14411" s="87"/>
      <c r="H14411" s="90"/>
    </row>
    <row r="14412" spans="7:8">
      <c r="G14412" s="87"/>
      <c r="H14412" s="90"/>
    </row>
    <row r="14413" spans="7:8">
      <c r="G14413" s="87"/>
      <c r="H14413" s="90"/>
    </row>
    <row r="14414" spans="7:8">
      <c r="G14414" s="87"/>
      <c r="H14414" s="90"/>
    </row>
    <row r="14415" spans="7:8">
      <c r="G14415" s="87"/>
      <c r="H14415" s="90"/>
    </row>
    <row r="14416" spans="7:8">
      <c r="G14416" s="87"/>
      <c r="H14416" s="90"/>
    </row>
    <row r="14417" spans="7:8">
      <c r="G14417" s="87"/>
      <c r="H14417" s="90"/>
    </row>
    <row r="14418" spans="7:8">
      <c r="G14418" s="87"/>
      <c r="H14418" s="90"/>
    </row>
    <row r="14419" spans="7:8">
      <c r="G14419" s="87"/>
      <c r="H14419" s="90"/>
    </row>
    <row r="14420" spans="7:8">
      <c r="G14420" s="87"/>
      <c r="H14420" s="90"/>
    </row>
    <row r="14421" spans="7:8">
      <c r="G14421" s="87"/>
      <c r="H14421" s="90"/>
    </row>
    <row r="14422" spans="7:8">
      <c r="G14422" s="87"/>
      <c r="H14422" s="90"/>
    </row>
    <row r="14423" spans="7:8">
      <c r="G14423" s="87"/>
      <c r="H14423" s="90"/>
    </row>
    <row r="14424" spans="7:8">
      <c r="G14424" s="87"/>
      <c r="H14424" s="90"/>
    </row>
    <row r="14425" spans="7:8">
      <c r="G14425" s="87"/>
      <c r="H14425" s="90"/>
    </row>
    <row r="14426" spans="7:8">
      <c r="G14426" s="87"/>
      <c r="H14426" s="90"/>
    </row>
    <row r="14427" spans="7:8">
      <c r="G14427" s="87"/>
      <c r="H14427" s="90"/>
    </row>
    <row r="14428" spans="7:8">
      <c r="G14428" s="87"/>
      <c r="H14428" s="90"/>
    </row>
    <row r="14429" spans="7:8">
      <c r="G14429" s="87"/>
      <c r="H14429" s="90"/>
    </row>
    <row r="14430" spans="7:8">
      <c r="G14430" s="87"/>
      <c r="H14430" s="90"/>
    </row>
    <row r="14431" spans="7:8">
      <c r="G14431" s="87"/>
      <c r="H14431" s="90"/>
    </row>
    <row r="14432" spans="7:8">
      <c r="G14432" s="87"/>
      <c r="H14432" s="90"/>
    </row>
    <row r="14433" spans="7:8">
      <c r="G14433" s="87"/>
      <c r="H14433" s="90"/>
    </row>
    <row r="14434" spans="7:8">
      <c r="G14434" s="87"/>
      <c r="H14434" s="90"/>
    </row>
    <row r="14435" spans="7:8">
      <c r="G14435" s="87"/>
      <c r="H14435" s="90"/>
    </row>
    <row r="14436" spans="7:8">
      <c r="G14436" s="87"/>
      <c r="H14436" s="90"/>
    </row>
    <row r="14437" spans="7:8">
      <c r="G14437" s="87"/>
      <c r="H14437" s="90"/>
    </row>
    <row r="14438" spans="7:8">
      <c r="G14438" s="87"/>
      <c r="H14438" s="90"/>
    </row>
    <row r="14439" spans="7:8">
      <c r="G14439" s="87"/>
      <c r="H14439" s="90"/>
    </row>
    <row r="14440" spans="7:8">
      <c r="G14440" s="87"/>
      <c r="H14440" s="90"/>
    </row>
    <row r="14441" spans="7:8">
      <c r="G14441" s="87"/>
      <c r="H14441" s="90"/>
    </row>
    <row r="14442" spans="7:8">
      <c r="G14442" s="87"/>
      <c r="H14442" s="90"/>
    </row>
    <row r="14443" spans="7:8">
      <c r="G14443" s="87"/>
      <c r="H14443" s="90"/>
    </row>
    <row r="14444" spans="7:8">
      <c r="G14444" s="87"/>
      <c r="H14444" s="90"/>
    </row>
    <row r="14445" spans="7:8">
      <c r="G14445" s="87"/>
      <c r="H14445" s="90"/>
    </row>
    <row r="14446" spans="7:8">
      <c r="G14446" s="87"/>
      <c r="H14446" s="90"/>
    </row>
    <row r="14447" spans="7:8">
      <c r="G14447" s="87"/>
      <c r="H14447" s="90"/>
    </row>
    <row r="14448" spans="7:8">
      <c r="G14448" s="87"/>
      <c r="H14448" s="90"/>
    </row>
    <row r="14449" spans="7:8">
      <c r="G14449" s="87"/>
      <c r="H14449" s="90"/>
    </row>
    <row r="14450" spans="7:8">
      <c r="G14450" s="87"/>
      <c r="H14450" s="90"/>
    </row>
    <row r="14451" spans="7:8">
      <c r="G14451" s="87"/>
      <c r="H14451" s="90"/>
    </row>
    <row r="14452" spans="7:8">
      <c r="G14452" s="87"/>
      <c r="H14452" s="90"/>
    </row>
    <row r="14453" spans="7:8">
      <c r="G14453" s="87"/>
      <c r="H14453" s="90"/>
    </row>
    <row r="14454" spans="7:8">
      <c r="G14454" s="87"/>
      <c r="H14454" s="90"/>
    </row>
    <row r="14455" spans="7:8">
      <c r="G14455" s="87"/>
      <c r="H14455" s="90"/>
    </row>
    <row r="14456" spans="7:8">
      <c r="G14456" s="87"/>
      <c r="H14456" s="90"/>
    </row>
    <row r="14457" spans="7:8">
      <c r="G14457" s="87"/>
      <c r="H14457" s="90"/>
    </row>
    <row r="14458" spans="7:8">
      <c r="G14458" s="87"/>
      <c r="H14458" s="90"/>
    </row>
    <row r="14459" spans="7:8">
      <c r="G14459" s="87"/>
      <c r="H14459" s="90"/>
    </row>
    <row r="14460" spans="7:8">
      <c r="G14460" s="87"/>
      <c r="H14460" s="90"/>
    </row>
    <row r="14461" spans="7:8">
      <c r="G14461" s="87"/>
      <c r="H14461" s="90"/>
    </row>
    <row r="14462" spans="7:8">
      <c r="G14462" s="87"/>
      <c r="H14462" s="90"/>
    </row>
    <row r="14463" spans="7:8">
      <c r="G14463" s="87"/>
      <c r="H14463" s="90"/>
    </row>
    <row r="14464" spans="7:8">
      <c r="G14464" s="87"/>
      <c r="H14464" s="90"/>
    </row>
    <row r="14465" spans="7:8">
      <c r="G14465" s="87"/>
      <c r="H14465" s="90"/>
    </row>
    <row r="14466" spans="7:8">
      <c r="G14466" s="87"/>
      <c r="H14466" s="90"/>
    </row>
    <row r="14467" spans="7:8">
      <c r="G14467" s="87"/>
      <c r="H14467" s="90"/>
    </row>
    <row r="14468" spans="7:8">
      <c r="G14468" s="87"/>
      <c r="H14468" s="90"/>
    </row>
    <row r="14469" spans="7:8">
      <c r="G14469" s="87"/>
      <c r="H14469" s="90"/>
    </row>
    <row r="14470" spans="7:8">
      <c r="G14470" s="87"/>
      <c r="H14470" s="90"/>
    </row>
    <row r="14471" spans="7:8">
      <c r="G14471" s="87"/>
      <c r="H14471" s="90"/>
    </row>
    <row r="14472" spans="7:8">
      <c r="G14472" s="87"/>
      <c r="H14472" s="90"/>
    </row>
    <row r="14473" spans="7:8">
      <c r="G14473" s="87"/>
      <c r="H14473" s="90"/>
    </row>
    <row r="14474" spans="7:8">
      <c r="G14474" s="87"/>
      <c r="H14474" s="90"/>
    </row>
    <row r="14475" spans="7:8">
      <c r="G14475" s="87"/>
      <c r="H14475" s="90"/>
    </row>
    <row r="14476" spans="7:8">
      <c r="G14476" s="87"/>
      <c r="H14476" s="90"/>
    </row>
    <row r="14477" spans="7:8">
      <c r="G14477" s="87"/>
      <c r="H14477" s="90"/>
    </row>
    <row r="14478" spans="7:8">
      <c r="G14478" s="87"/>
      <c r="H14478" s="90"/>
    </row>
    <row r="14479" spans="7:8">
      <c r="G14479" s="87"/>
      <c r="H14479" s="90"/>
    </row>
    <row r="14480" spans="7:8">
      <c r="G14480" s="87"/>
      <c r="H14480" s="90"/>
    </row>
    <row r="14481" spans="7:8">
      <c r="G14481" s="87"/>
      <c r="H14481" s="90"/>
    </row>
    <row r="14482" spans="7:8">
      <c r="G14482" s="87"/>
      <c r="H14482" s="90"/>
    </row>
    <row r="14483" spans="7:8">
      <c r="G14483" s="87"/>
      <c r="H14483" s="90"/>
    </row>
    <row r="14484" spans="7:8">
      <c r="G14484" s="87"/>
      <c r="H14484" s="90"/>
    </row>
    <row r="14485" spans="7:8">
      <c r="G14485" s="87"/>
      <c r="H14485" s="90"/>
    </row>
    <row r="14486" spans="7:8">
      <c r="G14486" s="87"/>
      <c r="H14486" s="90"/>
    </row>
    <row r="14487" spans="7:8">
      <c r="G14487" s="87"/>
      <c r="H14487" s="90"/>
    </row>
    <row r="14488" spans="7:8">
      <c r="G14488" s="87"/>
      <c r="H14488" s="90"/>
    </row>
    <row r="14489" spans="7:8">
      <c r="G14489" s="87"/>
      <c r="H14489" s="90"/>
    </row>
    <row r="14490" spans="7:8">
      <c r="G14490" s="87"/>
      <c r="H14490" s="90"/>
    </row>
    <row r="14491" spans="7:8">
      <c r="G14491" s="87"/>
      <c r="H14491" s="90"/>
    </row>
    <row r="14492" spans="7:8">
      <c r="G14492" s="87"/>
      <c r="H14492" s="90"/>
    </row>
    <row r="14493" spans="7:8">
      <c r="G14493" s="87"/>
      <c r="H14493" s="90"/>
    </row>
    <row r="14494" spans="7:8">
      <c r="G14494" s="87"/>
      <c r="H14494" s="90"/>
    </row>
    <row r="14495" spans="7:8">
      <c r="G14495" s="87"/>
      <c r="H14495" s="90"/>
    </row>
    <row r="14496" spans="7:8">
      <c r="G14496" s="87"/>
      <c r="H14496" s="90"/>
    </row>
    <row r="14497" spans="7:8">
      <c r="G14497" s="87"/>
      <c r="H14497" s="90"/>
    </row>
    <row r="14498" spans="7:8">
      <c r="G14498" s="87"/>
      <c r="H14498" s="90"/>
    </row>
    <row r="14499" spans="7:8">
      <c r="G14499" s="87"/>
      <c r="H14499" s="90"/>
    </row>
    <row r="14500" spans="7:8">
      <c r="G14500" s="87"/>
      <c r="H14500" s="90"/>
    </row>
    <row r="14501" spans="7:8">
      <c r="G14501" s="87"/>
      <c r="H14501" s="90"/>
    </row>
    <row r="14502" spans="7:8">
      <c r="G14502" s="87"/>
      <c r="H14502" s="90"/>
    </row>
    <row r="14503" spans="7:8">
      <c r="G14503" s="87"/>
      <c r="H14503" s="90"/>
    </row>
    <row r="14504" spans="7:8">
      <c r="G14504" s="87"/>
      <c r="H14504" s="90"/>
    </row>
    <row r="14505" spans="7:8">
      <c r="G14505" s="87"/>
      <c r="H14505" s="90"/>
    </row>
    <row r="14506" spans="7:8">
      <c r="G14506" s="87"/>
      <c r="H14506" s="90"/>
    </row>
    <row r="14507" spans="7:8">
      <c r="G14507" s="87"/>
      <c r="H14507" s="90"/>
    </row>
    <row r="14508" spans="7:8">
      <c r="G14508" s="87"/>
      <c r="H14508" s="90"/>
    </row>
    <row r="14509" spans="7:8">
      <c r="G14509" s="87"/>
      <c r="H14509" s="90"/>
    </row>
    <row r="14510" spans="7:8">
      <c r="G14510" s="87"/>
      <c r="H14510" s="90"/>
    </row>
    <row r="14511" spans="7:8">
      <c r="G14511" s="87"/>
      <c r="H14511" s="90"/>
    </row>
    <row r="14512" spans="7:8">
      <c r="G14512" s="87"/>
      <c r="H14512" s="90"/>
    </row>
    <row r="14513" spans="7:8">
      <c r="G14513" s="87"/>
      <c r="H14513" s="90"/>
    </row>
    <row r="14514" spans="7:8">
      <c r="G14514" s="87"/>
      <c r="H14514" s="90"/>
    </row>
    <row r="14515" spans="7:8">
      <c r="G14515" s="87"/>
      <c r="H14515" s="90"/>
    </row>
    <row r="14516" spans="7:8">
      <c r="G14516" s="87"/>
      <c r="H14516" s="90"/>
    </row>
    <row r="14517" spans="7:8">
      <c r="G14517" s="87"/>
      <c r="H14517" s="90"/>
    </row>
    <row r="14518" spans="7:8">
      <c r="G14518" s="87"/>
      <c r="H14518" s="90"/>
    </row>
    <row r="14519" spans="7:8">
      <c r="G14519" s="87"/>
      <c r="H14519" s="90"/>
    </row>
    <row r="14520" spans="7:8">
      <c r="G14520" s="87"/>
      <c r="H14520" s="90"/>
    </row>
    <row r="14521" spans="7:8">
      <c r="G14521" s="87"/>
      <c r="H14521" s="90"/>
    </row>
    <row r="14522" spans="7:8">
      <c r="G14522" s="87"/>
      <c r="H14522" s="90"/>
    </row>
    <row r="14523" spans="7:8">
      <c r="G14523" s="87"/>
      <c r="H14523" s="90"/>
    </row>
    <row r="14524" spans="7:8">
      <c r="G14524" s="87"/>
      <c r="H14524" s="90"/>
    </row>
    <row r="14525" spans="7:8">
      <c r="G14525" s="87"/>
      <c r="H14525" s="90"/>
    </row>
    <row r="14526" spans="7:8">
      <c r="G14526" s="87"/>
      <c r="H14526" s="90"/>
    </row>
    <row r="14527" spans="7:8">
      <c r="G14527" s="87"/>
      <c r="H14527" s="90"/>
    </row>
    <row r="14528" spans="7:8">
      <c r="G14528" s="87"/>
      <c r="H14528" s="90"/>
    </row>
    <row r="14529" spans="7:8">
      <c r="G14529" s="87"/>
      <c r="H14529" s="90"/>
    </row>
    <row r="14530" spans="7:8">
      <c r="G14530" s="87"/>
      <c r="H14530" s="90"/>
    </row>
    <row r="14531" spans="7:8">
      <c r="G14531" s="87"/>
      <c r="H14531" s="90"/>
    </row>
    <row r="14532" spans="7:8">
      <c r="G14532" s="87"/>
      <c r="H14532" s="90"/>
    </row>
    <row r="14533" spans="7:8">
      <c r="G14533" s="87"/>
      <c r="H14533" s="90"/>
    </row>
    <row r="14534" spans="7:8">
      <c r="G14534" s="87"/>
      <c r="H14534" s="90"/>
    </row>
    <row r="14535" spans="7:8">
      <c r="G14535" s="87"/>
      <c r="H14535" s="90"/>
    </row>
    <row r="14536" spans="7:8">
      <c r="G14536" s="87"/>
      <c r="H14536" s="90"/>
    </row>
    <row r="14537" spans="7:8">
      <c r="G14537" s="87"/>
      <c r="H14537" s="90"/>
    </row>
    <row r="14538" spans="7:8">
      <c r="G14538" s="87"/>
      <c r="H14538" s="90"/>
    </row>
    <row r="14539" spans="7:8">
      <c r="G14539" s="87"/>
      <c r="H14539" s="90"/>
    </row>
    <row r="14540" spans="7:8">
      <c r="G14540" s="87"/>
      <c r="H14540" s="90"/>
    </row>
    <row r="14541" spans="7:8">
      <c r="G14541" s="87"/>
      <c r="H14541" s="90"/>
    </row>
    <row r="14542" spans="7:8">
      <c r="G14542" s="87"/>
      <c r="H14542" s="90"/>
    </row>
    <row r="14543" spans="7:8">
      <c r="G14543" s="87"/>
      <c r="H14543" s="90"/>
    </row>
    <row r="14544" spans="7:8">
      <c r="G14544" s="87"/>
      <c r="H14544" s="90"/>
    </row>
    <row r="14545" spans="7:8">
      <c r="G14545" s="87"/>
      <c r="H14545" s="90"/>
    </row>
    <row r="14546" spans="7:8">
      <c r="G14546" s="87"/>
      <c r="H14546" s="90"/>
    </row>
    <row r="14547" spans="7:8">
      <c r="G14547" s="87"/>
      <c r="H14547" s="90"/>
    </row>
    <row r="14548" spans="7:8">
      <c r="G14548" s="87"/>
      <c r="H14548" s="90"/>
    </row>
    <row r="14549" spans="7:8">
      <c r="G14549" s="87"/>
      <c r="H14549" s="90"/>
    </row>
    <row r="14550" spans="7:8">
      <c r="G14550" s="87"/>
      <c r="H14550" s="90"/>
    </row>
    <row r="14551" spans="7:8">
      <c r="G14551" s="87"/>
      <c r="H14551" s="90"/>
    </row>
    <row r="14552" spans="7:8">
      <c r="G14552" s="87"/>
      <c r="H14552" s="90"/>
    </row>
    <row r="14553" spans="7:8">
      <c r="G14553" s="87"/>
      <c r="H14553" s="90"/>
    </row>
    <row r="14554" spans="7:8">
      <c r="G14554" s="87"/>
      <c r="H14554" s="90"/>
    </row>
    <row r="14555" spans="7:8">
      <c r="G14555" s="87"/>
      <c r="H14555" s="90"/>
    </row>
    <row r="14556" spans="7:8">
      <c r="G14556" s="87"/>
      <c r="H14556" s="90"/>
    </row>
    <row r="14557" spans="7:8">
      <c r="G14557" s="87"/>
      <c r="H14557" s="90"/>
    </row>
    <row r="14558" spans="7:8">
      <c r="G14558" s="87"/>
      <c r="H14558" s="90"/>
    </row>
    <row r="14559" spans="7:8">
      <c r="G14559" s="87"/>
      <c r="H14559" s="90"/>
    </row>
    <row r="14560" spans="7:8">
      <c r="G14560" s="87"/>
      <c r="H14560" s="90"/>
    </row>
    <row r="14561" spans="7:8">
      <c r="G14561" s="87"/>
      <c r="H14561" s="90"/>
    </row>
    <row r="14562" spans="7:8">
      <c r="G14562" s="87"/>
      <c r="H14562" s="90"/>
    </row>
    <row r="14563" spans="7:8">
      <c r="G14563" s="87"/>
      <c r="H14563" s="90"/>
    </row>
    <row r="14564" spans="7:8">
      <c r="G14564" s="87"/>
      <c r="H14564" s="90"/>
    </row>
    <row r="14565" spans="7:8">
      <c r="G14565" s="87"/>
      <c r="H14565" s="90"/>
    </row>
    <row r="14566" spans="7:8">
      <c r="G14566" s="87"/>
      <c r="H14566" s="90"/>
    </row>
    <row r="14567" spans="7:8">
      <c r="G14567" s="87"/>
      <c r="H14567" s="90"/>
    </row>
    <row r="14568" spans="7:8">
      <c r="G14568" s="87"/>
      <c r="H14568" s="90"/>
    </row>
    <row r="14569" spans="7:8">
      <c r="G14569" s="87"/>
      <c r="H14569" s="90"/>
    </row>
    <row r="14570" spans="7:8">
      <c r="G14570" s="87"/>
      <c r="H14570" s="90"/>
    </row>
    <row r="14571" spans="7:8">
      <c r="G14571" s="87"/>
      <c r="H14571" s="90"/>
    </row>
    <row r="14572" spans="7:8">
      <c r="G14572" s="87"/>
      <c r="H14572" s="90"/>
    </row>
    <row r="14573" spans="7:8">
      <c r="G14573" s="87"/>
      <c r="H14573" s="90"/>
    </row>
    <row r="14574" spans="7:8">
      <c r="G14574" s="87"/>
      <c r="H14574" s="90"/>
    </row>
    <row r="14575" spans="7:8">
      <c r="G14575" s="87"/>
      <c r="H14575" s="90"/>
    </row>
    <row r="14576" spans="7:8">
      <c r="G14576" s="87"/>
      <c r="H14576" s="90"/>
    </row>
    <row r="14577" spans="7:8">
      <c r="G14577" s="87"/>
      <c r="H14577" s="90"/>
    </row>
    <row r="14578" spans="7:8">
      <c r="G14578" s="87"/>
      <c r="H14578" s="90"/>
    </row>
    <row r="14579" spans="7:8">
      <c r="G14579" s="87"/>
      <c r="H14579" s="90"/>
    </row>
    <row r="14580" spans="7:8">
      <c r="G14580" s="87"/>
      <c r="H14580" s="90"/>
    </row>
    <row r="14581" spans="7:8">
      <c r="G14581" s="87"/>
      <c r="H14581" s="90"/>
    </row>
    <row r="14582" spans="7:8">
      <c r="G14582" s="87"/>
      <c r="H14582" s="90"/>
    </row>
    <row r="14583" spans="7:8">
      <c r="G14583" s="87"/>
      <c r="H14583" s="90"/>
    </row>
    <row r="14584" spans="7:8">
      <c r="G14584" s="87"/>
      <c r="H14584" s="90"/>
    </row>
    <row r="14585" spans="7:8">
      <c r="G14585" s="87"/>
      <c r="H14585" s="90"/>
    </row>
    <row r="14586" spans="7:8">
      <c r="G14586" s="87"/>
      <c r="H14586" s="90"/>
    </row>
    <row r="14587" spans="7:8">
      <c r="G14587" s="87"/>
      <c r="H14587" s="90"/>
    </row>
    <row r="14588" spans="7:8">
      <c r="G14588" s="87"/>
      <c r="H14588" s="90"/>
    </row>
    <row r="14589" spans="7:8">
      <c r="G14589" s="87"/>
      <c r="H14589" s="90"/>
    </row>
    <row r="14590" spans="7:8">
      <c r="G14590" s="87"/>
      <c r="H14590" s="90"/>
    </row>
    <row r="14591" spans="7:8">
      <c r="G14591" s="87"/>
      <c r="H14591" s="90"/>
    </row>
    <row r="14592" spans="7:8">
      <c r="G14592" s="87"/>
      <c r="H14592" s="90"/>
    </row>
    <row r="14593" spans="7:8">
      <c r="G14593" s="87"/>
      <c r="H14593" s="90"/>
    </row>
    <row r="14594" spans="7:8">
      <c r="G14594" s="87"/>
      <c r="H14594" s="90"/>
    </row>
    <row r="14595" spans="7:8">
      <c r="G14595" s="87"/>
      <c r="H14595" s="90"/>
    </row>
    <row r="14596" spans="7:8">
      <c r="G14596" s="87"/>
      <c r="H14596" s="90"/>
    </row>
    <row r="14597" spans="7:8">
      <c r="G14597" s="87"/>
      <c r="H14597" s="90"/>
    </row>
    <row r="14598" spans="7:8">
      <c r="G14598" s="87"/>
      <c r="H14598" s="90"/>
    </row>
    <row r="14599" spans="7:8">
      <c r="G14599" s="87"/>
      <c r="H14599" s="90"/>
    </row>
    <row r="14600" spans="7:8">
      <c r="G14600" s="87"/>
      <c r="H14600" s="90"/>
    </row>
    <row r="14601" spans="7:8">
      <c r="G14601" s="87"/>
      <c r="H14601" s="90"/>
    </row>
    <row r="14602" spans="7:8">
      <c r="G14602" s="87"/>
      <c r="H14602" s="90"/>
    </row>
    <row r="14603" spans="7:8">
      <c r="G14603" s="87"/>
      <c r="H14603" s="90"/>
    </row>
    <row r="14604" spans="7:8">
      <c r="G14604" s="87"/>
      <c r="H14604" s="90"/>
    </row>
    <row r="14605" spans="7:8">
      <c r="G14605" s="87"/>
      <c r="H14605" s="90"/>
    </row>
    <row r="14606" spans="7:8">
      <c r="G14606" s="87"/>
      <c r="H14606" s="90"/>
    </row>
    <row r="14607" spans="7:8">
      <c r="G14607" s="87"/>
      <c r="H14607" s="90"/>
    </row>
    <row r="14608" spans="7:8">
      <c r="G14608" s="87"/>
      <c r="H14608" s="90"/>
    </row>
    <row r="14609" spans="7:8">
      <c r="G14609" s="87"/>
      <c r="H14609" s="90"/>
    </row>
    <row r="14610" spans="7:8">
      <c r="G14610" s="87"/>
      <c r="H14610" s="90"/>
    </row>
    <row r="14611" spans="7:8">
      <c r="G14611" s="87"/>
      <c r="H14611" s="90"/>
    </row>
    <row r="14612" spans="7:8">
      <c r="G14612" s="87"/>
      <c r="H14612" s="90"/>
    </row>
    <row r="14613" spans="7:8">
      <c r="G14613" s="87"/>
      <c r="H14613" s="90"/>
    </row>
    <row r="14614" spans="7:8">
      <c r="G14614" s="87"/>
      <c r="H14614" s="90"/>
    </row>
    <row r="14615" spans="7:8">
      <c r="G14615" s="87"/>
      <c r="H14615" s="90"/>
    </row>
    <row r="14616" spans="7:8">
      <c r="G14616" s="87"/>
      <c r="H14616" s="90"/>
    </row>
    <row r="14617" spans="7:8">
      <c r="G14617" s="87"/>
      <c r="H14617" s="90"/>
    </row>
    <row r="14618" spans="7:8">
      <c r="G14618" s="87"/>
      <c r="H14618" s="90"/>
    </row>
    <row r="14619" spans="7:8">
      <c r="G14619" s="87"/>
      <c r="H14619" s="90"/>
    </row>
    <row r="14620" spans="7:8">
      <c r="G14620" s="87"/>
      <c r="H14620" s="90"/>
    </row>
    <row r="14621" spans="7:8">
      <c r="G14621" s="87"/>
      <c r="H14621" s="90"/>
    </row>
    <row r="14622" spans="7:8">
      <c r="G14622" s="87"/>
      <c r="H14622" s="90"/>
    </row>
    <row r="14623" spans="7:8">
      <c r="G14623" s="87"/>
      <c r="H14623" s="90"/>
    </row>
    <row r="14624" spans="7:8">
      <c r="G14624" s="87"/>
      <c r="H14624" s="90"/>
    </row>
    <row r="14625" spans="7:8">
      <c r="G14625" s="87"/>
      <c r="H14625" s="90"/>
    </row>
    <row r="14626" spans="7:8">
      <c r="G14626" s="87"/>
      <c r="H14626" s="90"/>
    </row>
    <row r="14627" spans="7:8">
      <c r="G14627" s="87"/>
      <c r="H14627" s="90"/>
    </row>
    <row r="14628" spans="7:8">
      <c r="G14628" s="87"/>
      <c r="H14628" s="90"/>
    </row>
    <row r="14629" spans="7:8">
      <c r="G14629" s="87"/>
      <c r="H14629" s="90"/>
    </row>
    <row r="14630" spans="7:8">
      <c r="G14630" s="87"/>
      <c r="H14630" s="90"/>
    </row>
    <row r="14631" spans="7:8">
      <c r="G14631" s="87"/>
      <c r="H14631" s="90"/>
    </row>
    <row r="14632" spans="7:8">
      <c r="G14632" s="87"/>
      <c r="H14632" s="90"/>
    </row>
    <row r="14633" spans="7:8">
      <c r="G14633" s="87"/>
      <c r="H14633" s="90"/>
    </row>
    <row r="14634" spans="7:8">
      <c r="G14634" s="87"/>
      <c r="H14634" s="90"/>
    </row>
    <row r="14635" spans="7:8">
      <c r="G14635" s="87"/>
      <c r="H14635" s="90"/>
    </row>
    <row r="14636" spans="7:8">
      <c r="G14636" s="87"/>
      <c r="H14636" s="90"/>
    </row>
    <row r="14637" spans="7:8">
      <c r="G14637" s="87"/>
      <c r="H14637" s="90"/>
    </row>
    <row r="14638" spans="7:8">
      <c r="G14638" s="87"/>
      <c r="H14638" s="90"/>
    </row>
    <row r="14639" spans="7:8">
      <c r="G14639" s="87"/>
      <c r="H14639" s="90"/>
    </row>
    <row r="14640" spans="7:8">
      <c r="G14640" s="87"/>
      <c r="H14640" s="90"/>
    </row>
    <row r="14641" spans="7:8">
      <c r="G14641" s="87"/>
      <c r="H14641" s="90"/>
    </row>
    <row r="14642" spans="7:8">
      <c r="G14642" s="87"/>
      <c r="H14642" s="90"/>
    </row>
    <row r="14643" spans="7:8">
      <c r="G14643" s="87"/>
      <c r="H14643" s="90"/>
    </row>
    <row r="14644" spans="7:8">
      <c r="G14644" s="87"/>
      <c r="H14644" s="90"/>
    </row>
    <row r="14645" spans="7:8">
      <c r="G14645" s="87"/>
      <c r="H14645" s="90"/>
    </row>
    <row r="14646" spans="7:8">
      <c r="G14646" s="87"/>
      <c r="H14646" s="90"/>
    </row>
    <row r="14647" spans="7:8">
      <c r="G14647" s="87"/>
      <c r="H14647" s="90"/>
    </row>
    <row r="14648" spans="7:8">
      <c r="G14648" s="87"/>
      <c r="H14648" s="90"/>
    </row>
    <row r="14649" spans="7:8">
      <c r="G14649" s="87"/>
      <c r="H14649" s="90"/>
    </row>
    <row r="14650" spans="7:8">
      <c r="G14650" s="87"/>
      <c r="H14650" s="90"/>
    </row>
    <row r="14651" spans="7:8">
      <c r="G14651" s="87"/>
      <c r="H14651" s="90"/>
    </row>
    <row r="14652" spans="7:8">
      <c r="G14652" s="87"/>
      <c r="H14652" s="90"/>
    </row>
    <row r="14653" spans="7:8">
      <c r="G14653" s="87"/>
      <c r="H14653" s="90"/>
    </row>
    <row r="14654" spans="7:8">
      <c r="G14654" s="87"/>
      <c r="H14654" s="90"/>
    </row>
    <row r="14655" spans="7:8">
      <c r="G14655" s="87"/>
      <c r="H14655" s="90"/>
    </row>
    <row r="14656" spans="7:8">
      <c r="G14656" s="87"/>
      <c r="H14656" s="90"/>
    </row>
    <row r="14657" spans="7:8">
      <c r="G14657" s="87"/>
      <c r="H14657" s="90"/>
    </row>
    <row r="14658" spans="7:8">
      <c r="G14658" s="87"/>
      <c r="H14658" s="90"/>
    </row>
    <row r="14659" spans="7:8">
      <c r="G14659" s="87"/>
      <c r="H14659" s="90"/>
    </row>
    <row r="14660" spans="7:8">
      <c r="G14660" s="87"/>
      <c r="H14660" s="90"/>
    </row>
    <row r="14661" spans="7:8">
      <c r="G14661" s="87"/>
      <c r="H14661" s="90"/>
    </row>
    <row r="14662" spans="7:8">
      <c r="G14662" s="87"/>
      <c r="H14662" s="90"/>
    </row>
    <row r="14663" spans="7:8">
      <c r="G14663" s="87"/>
      <c r="H14663" s="90"/>
    </row>
    <row r="14664" spans="7:8">
      <c r="G14664" s="87"/>
      <c r="H14664" s="90"/>
    </row>
    <row r="14665" spans="7:8">
      <c r="G14665" s="87"/>
      <c r="H14665" s="90"/>
    </row>
    <row r="14666" spans="7:8">
      <c r="G14666" s="87"/>
      <c r="H14666" s="90"/>
    </row>
    <row r="14667" spans="7:8">
      <c r="G14667" s="87"/>
      <c r="H14667" s="90"/>
    </row>
    <row r="14668" spans="7:8">
      <c r="G14668" s="87"/>
      <c r="H14668" s="90"/>
    </row>
    <row r="14669" spans="7:8">
      <c r="G14669" s="87"/>
      <c r="H14669" s="90"/>
    </row>
    <row r="14670" spans="7:8">
      <c r="G14670" s="87"/>
      <c r="H14670" s="90"/>
    </row>
    <row r="14671" spans="7:8">
      <c r="G14671" s="87"/>
      <c r="H14671" s="90"/>
    </row>
    <row r="14672" spans="7:8">
      <c r="G14672" s="87"/>
      <c r="H14672" s="90"/>
    </row>
    <row r="14673" spans="7:8">
      <c r="G14673" s="87"/>
      <c r="H14673" s="90"/>
    </row>
    <row r="14674" spans="7:8">
      <c r="G14674" s="87"/>
      <c r="H14674" s="90"/>
    </row>
    <row r="14675" spans="7:8">
      <c r="G14675" s="87"/>
      <c r="H14675" s="90"/>
    </row>
    <row r="14676" spans="7:8">
      <c r="G14676" s="87"/>
      <c r="H14676" s="90"/>
    </row>
    <row r="14677" spans="7:8">
      <c r="G14677" s="87"/>
      <c r="H14677" s="90"/>
    </row>
    <row r="14678" spans="7:8">
      <c r="G14678" s="87"/>
      <c r="H14678" s="90"/>
    </row>
    <row r="14679" spans="7:8">
      <c r="G14679" s="87"/>
      <c r="H14679" s="90"/>
    </row>
    <row r="14680" spans="7:8">
      <c r="G14680" s="87"/>
      <c r="H14680" s="90"/>
    </row>
    <row r="14681" spans="7:8">
      <c r="G14681" s="87"/>
      <c r="H14681" s="90"/>
    </row>
    <row r="14682" spans="7:8">
      <c r="G14682" s="87"/>
      <c r="H14682" s="90"/>
    </row>
    <row r="14683" spans="7:8">
      <c r="G14683" s="87"/>
      <c r="H14683" s="90"/>
    </row>
    <row r="14684" spans="7:8">
      <c r="G14684" s="87"/>
      <c r="H14684" s="90"/>
    </row>
    <row r="14685" spans="7:8">
      <c r="G14685" s="87"/>
      <c r="H14685" s="90"/>
    </row>
    <row r="14686" spans="7:8">
      <c r="G14686" s="87"/>
      <c r="H14686" s="90"/>
    </row>
    <row r="14687" spans="7:8">
      <c r="G14687" s="87"/>
      <c r="H14687" s="90"/>
    </row>
    <row r="14688" spans="7:8">
      <c r="G14688" s="87"/>
      <c r="H14688" s="90"/>
    </row>
    <row r="14689" spans="7:8">
      <c r="G14689" s="87"/>
      <c r="H14689" s="90"/>
    </row>
    <row r="14690" spans="7:8">
      <c r="G14690" s="87"/>
      <c r="H14690" s="90"/>
    </row>
    <row r="14691" spans="7:8">
      <c r="G14691" s="87"/>
      <c r="H14691" s="90"/>
    </row>
    <row r="14692" spans="7:8">
      <c r="G14692" s="87"/>
      <c r="H14692" s="90"/>
    </row>
    <row r="14693" spans="7:8">
      <c r="G14693" s="87"/>
      <c r="H14693" s="90"/>
    </row>
    <row r="14694" spans="7:8">
      <c r="G14694" s="87"/>
      <c r="H14694" s="90"/>
    </row>
    <row r="14695" spans="7:8">
      <c r="G14695" s="87"/>
      <c r="H14695" s="90"/>
    </row>
    <row r="14696" spans="7:8">
      <c r="G14696" s="87"/>
      <c r="H14696" s="90"/>
    </row>
    <row r="14697" spans="7:8">
      <c r="G14697" s="87"/>
      <c r="H14697" s="90"/>
    </row>
    <row r="14698" spans="7:8">
      <c r="G14698" s="87"/>
      <c r="H14698" s="90"/>
    </row>
    <row r="14699" spans="7:8">
      <c r="G14699" s="87"/>
      <c r="H14699" s="90"/>
    </row>
    <row r="14700" spans="7:8">
      <c r="G14700" s="87"/>
      <c r="H14700" s="90"/>
    </row>
    <row r="14701" spans="7:8">
      <c r="G14701" s="87"/>
      <c r="H14701" s="90"/>
    </row>
    <row r="14702" spans="7:8">
      <c r="G14702" s="87"/>
      <c r="H14702" s="90"/>
    </row>
    <row r="14703" spans="7:8">
      <c r="G14703" s="87"/>
      <c r="H14703" s="90"/>
    </row>
    <row r="14704" spans="7:8">
      <c r="G14704" s="87"/>
      <c r="H14704" s="90"/>
    </row>
    <row r="14705" spans="7:8">
      <c r="G14705" s="87"/>
      <c r="H14705" s="90"/>
    </row>
    <row r="14706" spans="7:8">
      <c r="G14706" s="87"/>
      <c r="H14706" s="90"/>
    </row>
    <row r="14707" spans="7:8">
      <c r="G14707" s="87"/>
      <c r="H14707" s="90"/>
    </row>
    <row r="14708" spans="7:8">
      <c r="G14708" s="87"/>
      <c r="H14708" s="90"/>
    </row>
    <row r="14709" spans="7:8">
      <c r="G14709" s="87"/>
      <c r="H14709" s="90"/>
    </row>
    <row r="14710" spans="7:8">
      <c r="G14710" s="87"/>
      <c r="H14710" s="90"/>
    </row>
    <row r="14711" spans="7:8">
      <c r="G14711" s="87"/>
      <c r="H14711" s="90"/>
    </row>
    <row r="14712" spans="7:8">
      <c r="G14712" s="87"/>
      <c r="H14712" s="90"/>
    </row>
    <row r="14713" spans="7:8">
      <c r="G14713" s="87"/>
      <c r="H14713" s="90"/>
    </row>
    <row r="14714" spans="7:8">
      <c r="G14714" s="87"/>
      <c r="H14714" s="90"/>
    </row>
    <row r="14715" spans="7:8">
      <c r="G14715" s="87"/>
      <c r="H14715" s="90"/>
    </row>
    <row r="14716" spans="7:8">
      <c r="G14716" s="87"/>
      <c r="H14716" s="90"/>
    </row>
    <row r="14717" spans="7:8">
      <c r="G14717" s="87"/>
      <c r="H14717" s="90"/>
    </row>
    <row r="14718" spans="7:8">
      <c r="G14718" s="87"/>
      <c r="H14718" s="90"/>
    </row>
    <row r="14719" spans="7:8">
      <c r="G14719" s="87"/>
      <c r="H14719" s="90"/>
    </row>
    <row r="14720" spans="7:8">
      <c r="G14720" s="87"/>
      <c r="H14720" s="90"/>
    </row>
    <row r="14721" spans="7:8">
      <c r="G14721" s="87"/>
      <c r="H14721" s="90"/>
    </row>
    <row r="14722" spans="7:8">
      <c r="G14722" s="87"/>
      <c r="H14722" s="90"/>
    </row>
    <row r="14723" spans="7:8">
      <c r="G14723" s="87"/>
      <c r="H14723" s="90"/>
    </row>
    <row r="14724" spans="7:8">
      <c r="G14724" s="87"/>
      <c r="H14724" s="90"/>
    </row>
    <row r="14725" spans="7:8">
      <c r="G14725" s="87"/>
      <c r="H14725" s="90"/>
    </row>
    <row r="14726" spans="7:8">
      <c r="G14726" s="87"/>
      <c r="H14726" s="90"/>
    </row>
    <row r="14727" spans="7:8">
      <c r="G14727" s="87"/>
      <c r="H14727" s="90"/>
    </row>
    <row r="14728" spans="7:8">
      <c r="G14728" s="87"/>
      <c r="H14728" s="90"/>
    </row>
    <row r="14729" spans="7:8">
      <c r="G14729" s="87"/>
      <c r="H14729" s="90"/>
    </row>
    <row r="14730" spans="7:8">
      <c r="G14730" s="87"/>
      <c r="H14730" s="90"/>
    </row>
    <row r="14731" spans="7:8">
      <c r="G14731" s="87"/>
      <c r="H14731" s="90"/>
    </row>
    <row r="14732" spans="7:8">
      <c r="G14732" s="87"/>
      <c r="H14732" s="90"/>
    </row>
    <row r="14733" spans="7:8">
      <c r="G14733" s="87"/>
      <c r="H14733" s="90"/>
    </row>
    <row r="14734" spans="7:8">
      <c r="G14734" s="87"/>
      <c r="H14734" s="90"/>
    </row>
    <row r="14735" spans="7:8">
      <c r="G14735" s="87"/>
      <c r="H14735" s="90"/>
    </row>
    <row r="14736" spans="7:8">
      <c r="G14736" s="87"/>
      <c r="H14736" s="90"/>
    </row>
    <row r="14737" spans="7:8">
      <c r="G14737" s="87"/>
      <c r="H14737" s="90"/>
    </row>
    <row r="14738" spans="7:8">
      <c r="G14738" s="87"/>
      <c r="H14738" s="90"/>
    </row>
    <row r="14739" spans="7:8">
      <c r="G14739" s="87"/>
      <c r="H14739" s="90"/>
    </row>
    <row r="14740" spans="7:8">
      <c r="G14740" s="87"/>
      <c r="H14740" s="90"/>
    </row>
    <row r="14741" spans="7:8">
      <c r="G14741" s="87"/>
      <c r="H14741" s="90"/>
    </row>
    <row r="14742" spans="7:8">
      <c r="G14742" s="87"/>
      <c r="H14742" s="90"/>
    </row>
    <row r="14743" spans="7:8">
      <c r="G14743" s="87"/>
      <c r="H14743" s="90"/>
    </row>
    <row r="14744" spans="7:8">
      <c r="G14744" s="87"/>
      <c r="H14744" s="90"/>
    </row>
    <row r="14745" spans="7:8">
      <c r="G14745" s="87"/>
      <c r="H14745" s="90"/>
    </row>
    <row r="14746" spans="7:8">
      <c r="G14746" s="87"/>
      <c r="H14746" s="90"/>
    </row>
    <row r="14747" spans="7:8">
      <c r="G14747" s="87"/>
      <c r="H14747" s="90"/>
    </row>
    <row r="14748" spans="7:8">
      <c r="G14748" s="87"/>
      <c r="H14748" s="90"/>
    </row>
    <row r="14749" spans="7:8">
      <c r="G14749" s="87"/>
      <c r="H14749" s="90"/>
    </row>
    <row r="14750" spans="7:8">
      <c r="G14750" s="87"/>
      <c r="H14750" s="90"/>
    </row>
    <row r="14751" spans="7:8">
      <c r="G14751" s="87"/>
      <c r="H14751" s="90"/>
    </row>
    <row r="14752" spans="7:8">
      <c r="G14752" s="87"/>
      <c r="H14752" s="90"/>
    </row>
    <row r="14753" spans="7:8">
      <c r="G14753" s="87"/>
      <c r="H14753" s="90"/>
    </row>
    <row r="14754" spans="7:8">
      <c r="G14754" s="87"/>
      <c r="H14754" s="90"/>
    </row>
    <row r="14755" spans="7:8">
      <c r="G14755" s="87"/>
      <c r="H14755" s="90"/>
    </row>
    <row r="14756" spans="7:8">
      <c r="G14756" s="87"/>
      <c r="H14756" s="90"/>
    </row>
    <row r="14757" spans="7:8">
      <c r="G14757" s="87"/>
      <c r="H14757" s="90"/>
    </row>
    <row r="14758" spans="7:8">
      <c r="G14758" s="87"/>
      <c r="H14758" s="90"/>
    </row>
    <row r="14759" spans="7:8">
      <c r="G14759" s="87"/>
      <c r="H14759" s="90"/>
    </row>
    <row r="14760" spans="7:8">
      <c r="G14760" s="87"/>
      <c r="H14760" s="90"/>
    </row>
    <row r="14761" spans="7:8">
      <c r="G14761" s="87"/>
      <c r="H14761" s="90"/>
    </row>
    <row r="14762" spans="7:8">
      <c r="G14762" s="87"/>
      <c r="H14762" s="90"/>
    </row>
    <row r="14763" spans="7:8">
      <c r="G14763" s="87"/>
      <c r="H14763" s="90"/>
    </row>
    <row r="14764" spans="7:8">
      <c r="G14764" s="87"/>
      <c r="H14764" s="90"/>
    </row>
    <row r="14765" spans="7:8">
      <c r="G14765" s="87"/>
      <c r="H14765" s="90"/>
    </row>
    <row r="14766" spans="7:8">
      <c r="G14766" s="87"/>
      <c r="H14766" s="90"/>
    </row>
    <row r="14767" spans="7:8">
      <c r="G14767" s="87"/>
      <c r="H14767" s="90"/>
    </row>
    <row r="14768" spans="7:8">
      <c r="G14768" s="87"/>
      <c r="H14768" s="90"/>
    </row>
    <row r="14769" spans="7:8">
      <c r="G14769" s="87"/>
      <c r="H14769" s="90"/>
    </row>
    <row r="14770" spans="7:8">
      <c r="G14770" s="87"/>
      <c r="H14770" s="90"/>
    </row>
    <row r="14771" spans="7:8">
      <c r="G14771" s="87"/>
      <c r="H14771" s="90"/>
    </row>
    <row r="14772" spans="7:8">
      <c r="G14772" s="87"/>
      <c r="H14772" s="90"/>
    </row>
    <row r="14773" spans="7:8">
      <c r="G14773" s="87"/>
      <c r="H14773" s="90"/>
    </row>
    <row r="14774" spans="7:8">
      <c r="G14774" s="87"/>
      <c r="H14774" s="90"/>
    </row>
    <row r="14775" spans="7:8">
      <c r="G14775" s="87"/>
      <c r="H14775" s="90"/>
    </row>
    <row r="14776" spans="7:8">
      <c r="G14776" s="87"/>
      <c r="H14776" s="90"/>
    </row>
    <row r="14777" spans="7:8">
      <c r="G14777" s="87"/>
      <c r="H14777" s="90"/>
    </row>
    <row r="14778" spans="7:8">
      <c r="G14778" s="87"/>
      <c r="H14778" s="90"/>
    </row>
    <row r="14779" spans="7:8">
      <c r="G14779" s="87"/>
      <c r="H14779" s="90"/>
    </row>
    <row r="14780" spans="7:8">
      <c r="G14780" s="87"/>
      <c r="H14780" s="90"/>
    </row>
    <row r="14781" spans="7:8">
      <c r="G14781" s="87"/>
      <c r="H14781" s="90"/>
    </row>
    <row r="14782" spans="7:8">
      <c r="G14782" s="87"/>
      <c r="H14782" s="90"/>
    </row>
    <row r="14783" spans="7:8">
      <c r="G14783" s="87"/>
      <c r="H14783" s="90"/>
    </row>
    <row r="14784" spans="7:8">
      <c r="G14784" s="87"/>
      <c r="H14784" s="90"/>
    </row>
    <row r="14785" spans="7:8">
      <c r="G14785" s="87"/>
      <c r="H14785" s="90"/>
    </row>
    <row r="14786" spans="7:8">
      <c r="G14786" s="87"/>
      <c r="H14786" s="90"/>
    </row>
    <row r="14787" spans="7:8">
      <c r="G14787" s="87"/>
      <c r="H14787" s="90"/>
    </row>
    <row r="14788" spans="7:8">
      <c r="G14788" s="87"/>
      <c r="H14788" s="90"/>
    </row>
    <row r="14789" spans="7:8">
      <c r="G14789" s="87"/>
      <c r="H14789" s="90"/>
    </row>
    <row r="14790" spans="7:8">
      <c r="G14790" s="87"/>
      <c r="H14790" s="90"/>
    </row>
    <row r="14791" spans="7:8">
      <c r="G14791" s="87"/>
      <c r="H14791" s="90"/>
    </row>
    <row r="14792" spans="7:8">
      <c r="G14792" s="87"/>
      <c r="H14792" s="90"/>
    </row>
    <row r="14793" spans="7:8">
      <c r="G14793" s="87"/>
      <c r="H14793" s="90"/>
    </row>
    <row r="14794" spans="7:8">
      <c r="G14794" s="87"/>
      <c r="H14794" s="90"/>
    </row>
    <row r="14795" spans="7:8">
      <c r="G14795" s="87"/>
      <c r="H14795" s="90"/>
    </row>
    <row r="14796" spans="7:8">
      <c r="G14796" s="87"/>
      <c r="H14796" s="90"/>
    </row>
    <row r="14797" spans="7:8">
      <c r="G14797" s="87"/>
      <c r="H14797" s="90"/>
    </row>
    <row r="14798" spans="7:8">
      <c r="G14798" s="87"/>
      <c r="H14798" s="90"/>
    </row>
    <row r="14799" spans="7:8">
      <c r="G14799" s="87"/>
      <c r="H14799" s="90"/>
    </row>
    <row r="14800" spans="7:8">
      <c r="G14800" s="87"/>
      <c r="H14800" s="90"/>
    </row>
    <row r="14801" spans="7:8">
      <c r="G14801" s="87"/>
      <c r="H14801" s="90"/>
    </row>
    <row r="14802" spans="7:8">
      <c r="G14802" s="87"/>
      <c r="H14802" s="90"/>
    </row>
    <row r="14803" spans="7:8">
      <c r="G14803" s="87"/>
      <c r="H14803" s="90"/>
    </row>
    <row r="14804" spans="7:8">
      <c r="G14804" s="87"/>
      <c r="H14804" s="90"/>
    </row>
    <row r="14805" spans="7:8">
      <c r="G14805" s="87"/>
      <c r="H14805" s="90"/>
    </row>
    <row r="14806" spans="7:8">
      <c r="G14806" s="87"/>
      <c r="H14806" s="90"/>
    </row>
    <row r="14807" spans="7:8">
      <c r="G14807" s="87"/>
      <c r="H14807" s="90"/>
    </row>
    <row r="14808" spans="7:8">
      <c r="G14808" s="87"/>
      <c r="H14808" s="90"/>
    </row>
    <row r="14809" spans="7:8">
      <c r="G14809" s="87"/>
      <c r="H14809" s="90"/>
    </row>
    <row r="14810" spans="7:8">
      <c r="G14810" s="87"/>
      <c r="H14810" s="90"/>
    </row>
    <row r="14811" spans="7:8">
      <c r="G14811" s="87"/>
      <c r="H14811" s="90"/>
    </row>
    <row r="14812" spans="7:8">
      <c r="G14812" s="87"/>
      <c r="H14812" s="90"/>
    </row>
    <row r="14813" spans="7:8">
      <c r="G14813" s="87"/>
      <c r="H14813" s="90"/>
    </row>
    <row r="14814" spans="7:8">
      <c r="G14814" s="87"/>
      <c r="H14814" s="90"/>
    </row>
    <row r="14815" spans="7:8">
      <c r="G14815" s="87"/>
      <c r="H14815" s="90"/>
    </row>
    <row r="14816" spans="7:8">
      <c r="G14816" s="87"/>
      <c r="H14816" s="90"/>
    </row>
    <row r="14817" spans="7:8">
      <c r="G14817" s="87"/>
      <c r="H14817" s="90"/>
    </row>
    <row r="14818" spans="7:8">
      <c r="G14818" s="87"/>
      <c r="H14818" s="90"/>
    </row>
    <row r="14819" spans="7:8">
      <c r="G14819" s="87"/>
      <c r="H14819" s="90"/>
    </row>
    <row r="14820" spans="7:8">
      <c r="G14820" s="87"/>
      <c r="H14820" s="90"/>
    </row>
    <row r="14821" spans="7:8">
      <c r="G14821" s="87"/>
      <c r="H14821" s="90"/>
    </row>
    <row r="14822" spans="7:8">
      <c r="G14822" s="87"/>
      <c r="H14822" s="90"/>
    </row>
    <row r="14823" spans="7:8">
      <c r="G14823" s="87"/>
      <c r="H14823" s="90"/>
    </row>
    <row r="14824" spans="7:8">
      <c r="G14824" s="87"/>
      <c r="H14824" s="90"/>
    </row>
    <row r="14825" spans="7:8">
      <c r="G14825" s="87"/>
      <c r="H14825" s="90"/>
    </row>
    <row r="14826" spans="7:8">
      <c r="G14826" s="87"/>
      <c r="H14826" s="90"/>
    </row>
    <row r="14827" spans="7:8">
      <c r="G14827" s="87"/>
      <c r="H14827" s="90"/>
    </row>
    <row r="14828" spans="7:8">
      <c r="G14828" s="87"/>
      <c r="H14828" s="90"/>
    </row>
    <row r="14829" spans="7:8">
      <c r="G14829" s="87"/>
      <c r="H14829" s="90"/>
    </row>
    <row r="14830" spans="7:8">
      <c r="G14830" s="87"/>
      <c r="H14830" s="90"/>
    </row>
    <row r="14831" spans="7:8">
      <c r="G14831" s="87"/>
      <c r="H14831" s="90"/>
    </row>
    <row r="14832" spans="7:8">
      <c r="G14832" s="87"/>
      <c r="H14832" s="90"/>
    </row>
    <row r="14833" spans="7:8">
      <c r="G14833" s="87"/>
      <c r="H14833" s="90"/>
    </row>
    <row r="14834" spans="7:8">
      <c r="G14834" s="87"/>
      <c r="H14834" s="90"/>
    </row>
    <row r="14835" spans="7:8">
      <c r="G14835" s="87"/>
      <c r="H14835" s="90"/>
    </row>
    <row r="14836" spans="7:8">
      <c r="G14836" s="87"/>
      <c r="H14836" s="90"/>
    </row>
    <row r="14837" spans="7:8">
      <c r="G14837" s="87"/>
      <c r="H14837" s="90"/>
    </row>
    <row r="14838" spans="7:8">
      <c r="G14838" s="87"/>
      <c r="H14838" s="90"/>
    </row>
    <row r="14839" spans="7:8">
      <c r="G14839" s="87"/>
      <c r="H14839" s="90"/>
    </row>
    <row r="14840" spans="7:8">
      <c r="G14840" s="87"/>
      <c r="H14840" s="90"/>
    </row>
    <row r="14841" spans="7:8">
      <c r="G14841" s="87"/>
      <c r="H14841" s="90"/>
    </row>
    <row r="14842" spans="7:8">
      <c r="G14842" s="87"/>
      <c r="H14842" s="90"/>
    </row>
    <row r="14843" spans="7:8">
      <c r="G14843" s="87"/>
      <c r="H14843" s="90"/>
    </row>
    <row r="14844" spans="7:8">
      <c r="G14844" s="87"/>
      <c r="H14844" s="90"/>
    </row>
    <row r="14845" spans="7:8">
      <c r="G14845" s="87"/>
      <c r="H14845" s="90"/>
    </row>
    <row r="14846" spans="7:8">
      <c r="G14846" s="87"/>
      <c r="H14846" s="90"/>
    </row>
    <row r="14847" spans="7:8">
      <c r="G14847" s="87"/>
      <c r="H14847" s="90"/>
    </row>
    <row r="14848" spans="7:8">
      <c r="G14848" s="87"/>
      <c r="H14848" s="90"/>
    </row>
    <row r="14849" spans="7:8">
      <c r="G14849" s="87"/>
      <c r="H14849" s="90"/>
    </row>
    <row r="14850" spans="7:8">
      <c r="G14850" s="87"/>
      <c r="H14850" s="90"/>
    </row>
    <row r="14851" spans="7:8">
      <c r="G14851" s="87"/>
      <c r="H14851" s="90"/>
    </row>
    <row r="14852" spans="7:8">
      <c r="G14852" s="87"/>
      <c r="H14852" s="90"/>
    </row>
    <row r="14853" spans="7:8">
      <c r="G14853" s="87"/>
      <c r="H14853" s="90"/>
    </row>
    <row r="14854" spans="7:8">
      <c r="G14854" s="87"/>
      <c r="H14854" s="90"/>
    </row>
    <row r="14855" spans="7:8">
      <c r="G14855" s="87"/>
      <c r="H14855" s="90"/>
    </row>
    <row r="14856" spans="7:8">
      <c r="G14856" s="87"/>
      <c r="H14856" s="90"/>
    </row>
    <row r="14857" spans="7:8">
      <c r="G14857" s="87"/>
      <c r="H14857" s="90"/>
    </row>
    <row r="14858" spans="7:8">
      <c r="G14858" s="87"/>
      <c r="H14858" s="90"/>
    </row>
    <row r="14859" spans="7:8">
      <c r="G14859" s="87"/>
      <c r="H14859" s="90"/>
    </row>
    <row r="14860" spans="7:8">
      <c r="G14860" s="87"/>
      <c r="H14860" s="90"/>
    </row>
    <row r="14861" spans="7:8">
      <c r="G14861" s="87"/>
      <c r="H14861" s="90"/>
    </row>
    <row r="14862" spans="7:8">
      <c r="G14862" s="87"/>
      <c r="H14862" s="90"/>
    </row>
    <row r="14863" spans="7:8">
      <c r="G14863" s="87"/>
      <c r="H14863" s="90"/>
    </row>
    <row r="14864" spans="7:8">
      <c r="G14864" s="87"/>
      <c r="H14864" s="90"/>
    </row>
    <row r="14865" spans="7:8">
      <c r="G14865" s="87"/>
      <c r="H14865" s="90"/>
    </row>
    <row r="14866" spans="7:8">
      <c r="G14866" s="87"/>
      <c r="H14866" s="90"/>
    </row>
    <row r="14867" spans="7:8">
      <c r="G14867" s="87"/>
      <c r="H14867" s="90"/>
    </row>
    <row r="14868" spans="7:8">
      <c r="G14868" s="87"/>
      <c r="H14868" s="90"/>
    </row>
    <row r="14869" spans="7:8">
      <c r="G14869" s="87"/>
      <c r="H14869" s="90"/>
    </row>
    <row r="14870" spans="7:8">
      <c r="G14870" s="87"/>
      <c r="H14870" s="90"/>
    </row>
    <row r="14871" spans="7:8">
      <c r="G14871" s="87"/>
      <c r="H14871" s="90"/>
    </row>
    <row r="14872" spans="7:8">
      <c r="G14872" s="87"/>
      <c r="H14872" s="90"/>
    </row>
    <row r="14873" spans="7:8">
      <c r="G14873" s="87"/>
      <c r="H14873" s="90"/>
    </row>
    <row r="14874" spans="7:8">
      <c r="G14874" s="87"/>
      <c r="H14874" s="90"/>
    </row>
    <row r="14875" spans="7:8">
      <c r="G14875" s="87"/>
      <c r="H14875" s="90"/>
    </row>
    <row r="14876" spans="7:8">
      <c r="G14876" s="87"/>
      <c r="H14876" s="90"/>
    </row>
    <row r="14877" spans="7:8">
      <c r="G14877" s="87"/>
      <c r="H14877" s="90"/>
    </row>
    <row r="14878" spans="7:8">
      <c r="G14878" s="87"/>
      <c r="H14878" s="90"/>
    </row>
    <row r="14879" spans="7:8">
      <c r="G14879" s="87"/>
      <c r="H14879" s="90"/>
    </row>
    <row r="14880" spans="7:8">
      <c r="G14880" s="87"/>
      <c r="H14880" s="90"/>
    </row>
    <row r="14881" spans="7:8">
      <c r="G14881" s="87"/>
      <c r="H14881" s="90"/>
    </row>
    <row r="14882" spans="7:8">
      <c r="G14882" s="87"/>
      <c r="H14882" s="90"/>
    </row>
    <row r="14883" spans="7:8">
      <c r="G14883" s="87"/>
      <c r="H14883" s="90"/>
    </row>
    <row r="14884" spans="7:8">
      <c r="G14884" s="87"/>
      <c r="H14884" s="90"/>
    </row>
    <row r="14885" spans="7:8">
      <c r="G14885" s="87"/>
      <c r="H14885" s="90"/>
    </row>
    <row r="14886" spans="7:8">
      <c r="G14886" s="87"/>
      <c r="H14886" s="90"/>
    </row>
    <row r="14887" spans="7:8">
      <c r="G14887" s="87"/>
      <c r="H14887" s="90"/>
    </row>
    <row r="14888" spans="7:8">
      <c r="G14888" s="87"/>
      <c r="H14888" s="90"/>
    </row>
    <row r="14889" spans="7:8">
      <c r="G14889" s="87"/>
      <c r="H14889" s="90"/>
    </row>
    <row r="14890" spans="7:8">
      <c r="G14890" s="87"/>
      <c r="H14890" s="90"/>
    </row>
    <row r="14891" spans="7:8">
      <c r="G14891" s="87"/>
      <c r="H14891" s="90"/>
    </row>
    <row r="14892" spans="7:8">
      <c r="G14892" s="87"/>
      <c r="H14892" s="90"/>
    </row>
    <row r="14893" spans="7:8">
      <c r="G14893" s="87"/>
      <c r="H14893" s="90"/>
    </row>
    <row r="14894" spans="7:8">
      <c r="G14894" s="87"/>
      <c r="H14894" s="90"/>
    </row>
    <row r="14895" spans="7:8">
      <c r="G14895" s="87"/>
      <c r="H14895" s="90"/>
    </row>
    <row r="14896" spans="7:8">
      <c r="G14896" s="87"/>
      <c r="H14896" s="90"/>
    </row>
    <row r="14897" spans="7:8">
      <c r="G14897" s="87"/>
      <c r="H14897" s="90"/>
    </row>
    <row r="14898" spans="7:8">
      <c r="G14898" s="87"/>
      <c r="H14898" s="90"/>
    </row>
    <row r="14899" spans="7:8">
      <c r="G14899" s="87"/>
      <c r="H14899" s="90"/>
    </row>
    <row r="14900" spans="7:8">
      <c r="G14900" s="87"/>
      <c r="H14900" s="90"/>
    </row>
    <row r="14901" spans="7:8">
      <c r="G14901" s="87"/>
      <c r="H14901" s="90"/>
    </row>
    <row r="14902" spans="7:8">
      <c r="G14902" s="87"/>
      <c r="H14902" s="90"/>
    </row>
    <row r="14903" spans="7:8">
      <c r="G14903" s="87"/>
      <c r="H14903" s="90"/>
    </row>
    <row r="14904" spans="7:8">
      <c r="G14904" s="87"/>
      <c r="H14904" s="90"/>
    </row>
    <row r="14905" spans="7:8">
      <c r="G14905" s="87"/>
      <c r="H14905" s="90"/>
    </row>
    <row r="14906" spans="7:8">
      <c r="G14906" s="87"/>
      <c r="H14906" s="90"/>
    </row>
    <row r="14907" spans="7:8">
      <c r="G14907" s="87"/>
      <c r="H14907" s="90"/>
    </row>
    <row r="14908" spans="7:8">
      <c r="G14908" s="87"/>
      <c r="H14908" s="90"/>
    </row>
    <row r="14909" spans="7:8">
      <c r="G14909" s="87"/>
      <c r="H14909" s="90"/>
    </row>
    <row r="14910" spans="7:8">
      <c r="G14910" s="87"/>
      <c r="H14910" s="90"/>
    </row>
    <row r="14911" spans="7:8">
      <c r="G14911" s="87"/>
      <c r="H14911" s="90"/>
    </row>
    <row r="14912" spans="7:8">
      <c r="G14912" s="87"/>
      <c r="H14912" s="90"/>
    </row>
    <row r="14913" spans="7:8">
      <c r="G14913" s="87"/>
      <c r="H14913" s="90"/>
    </row>
    <row r="14914" spans="7:8">
      <c r="G14914" s="87"/>
      <c r="H14914" s="90"/>
    </row>
    <row r="14915" spans="7:8">
      <c r="G14915" s="87"/>
      <c r="H14915" s="90"/>
    </row>
    <row r="14916" spans="7:8">
      <c r="G14916" s="87"/>
      <c r="H14916" s="90"/>
    </row>
    <row r="14917" spans="7:8">
      <c r="G14917" s="87"/>
      <c r="H14917" s="90"/>
    </row>
    <row r="14918" spans="7:8">
      <c r="G14918" s="87"/>
      <c r="H14918" s="90"/>
    </row>
    <row r="14919" spans="7:8">
      <c r="G14919" s="87"/>
      <c r="H14919" s="90"/>
    </row>
    <row r="14920" spans="7:8">
      <c r="G14920" s="87"/>
      <c r="H14920" s="90"/>
    </row>
    <row r="14921" spans="7:8">
      <c r="G14921" s="87"/>
      <c r="H14921" s="90"/>
    </row>
    <row r="14922" spans="7:8">
      <c r="G14922" s="87"/>
      <c r="H14922" s="90"/>
    </row>
    <row r="14923" spans="7:8">
      <c r="G14923" s="87"/>
      <c r="H14923" s="90"/>
    </row>
    <row r="14924" spans="7:8">
      <c r="G14924" s="87"/>
      <c r="H14924" s="90"/>
    </row>
    <row r="14925" spans="7:8">
      <c r="G14925" s="87"/>
      <c r="H14925" s="90"/>
    </row>
    <row r="14926" spans="7:8">
      <c r="G14926" s="87"/>
      <c r="H14926" s="90"/>
    </row>
    <row r="14927" spans="7:8">
      <c r="G14927" s="87"/>
      <c r="H14927" s="90"/>
    </row>
    <row r="14928" spans="7:8">
      <c r="G14928" s="87"/>
      <c r="H14928" s="90"/>
    </row>
    <row r="14929" spans="7:8">
      <c r="G14929" s="87"/>
      <c r="H14929" s="90"/>
    </row>
    <row r="14930" spans="7:8">
      <c r="G14930" s="87"/>
      <c r="H14930" s="90"/>
    </row>
    <row r="14931" spans="7:8">
      <c r="G14931" s="87"/>
      <c r="H14931" s="90"/>
    </row>
    <row r="14932" spans="7:8">
      <c r="G14932" s="87"/>
      <c r="H14932" s="90"/>
    </row>
    <row r="14933" spans="7:8">
      <c r="G14933" s="87"/>
      <c r="H14933" s="90"/>
    </row>
    <row r="14934" spans="7:8">
      <c r="G14934" s="87"/>
      <c r="H14934" s="90"/>
    </row>
    <row r="14935" spans="7:8">
      <c r="G14935" s="87"/>
      <c r="H14935" s="90"/>
    </row>
    <row r="14936" spans="7:8">
      <c r="G14936" s="87"/>
      <c r="H14936" s="90"/>
    </row>
    <row r="14937" spans="7:8">
      <c r="G14937" s="87"/>
      <c r="H14937" s="90"/>
    </row>
    <row r="14938" spans="7:8">
      <c r="G14938" s="87"/>
      <c r="H14938" s="90"/>
    </row>
    <row r="14939" spans="7:8">
      <c r="G14939" s="87"/>
      <c r="H14939" s="90"/>
    </row>
    <row r="14940" spans="7:8">
      <c r="G14940" s="87"/>
      <c r="H14940" s="90"/>
    </row>
    <row r="14941" spans="7:8">
      <c r="G14941" s="87"/>
      <c r="H14941" s="90"/>
    </row>
    <row r="14942" spans="7:8">
      <c r="G14942" s="87"/>
      <c r="H14942" s="90"/>
    </row>
    <row r="14943" spans="7:8">
      <c r="G14943" s="87"/>
      <c r="H14943" s="90"/>
    </row>
    <row r="14944" spans="7:8">
      <c r="G14944" s="87"/>
      <c r="H14944" s="90"/>
    </row>
    <row r="14945" spans="7:8">
      <c r="G14945" s="87"/>
      <c r="H14945" s="90"/>
    </row>
    <row r="14946" spans="7:8">
      <c r="G14946" s="87"/>
      <c r="H14946" s="90"/>
    </row>
    <row r="14947" spans="7:8">
      <c r="G14947" s="87"/>
      <c r="H14947" s="90"/>
    </row>
    <row r="14948" spans="7:8">
      <c r="G14948" s="87"/>
      <c r="H14948" s="90"/>
    </row>
    <row r="14949" spans="7:8">
      <c r="G14949" s="87"/>
      <c r="H14949" s="90"/>
    </row>
    <row r="14950" spans="7:8">
      <c r="G14950" s="87"/>
      <c r="H14950" s="90"/>
    </row>
    <row r="14951" spans="7:8">
      <c r="G14951" s="87"/>
      <c r="H14951" s="90"/>
    </row>
    <row r="14952" spans="7:8">
      <c r="G14952" s="87"/>
      <c r="H14952" s="90"/>
    </row>
    <row r="14953" spans="7:8">
      <c r="G14953" s="87"/>
      <c r="H14953" s="90"/>
    </row>
    <row r="14954" spans="7:8">
      <c r="G14954" s="87"/>
      <c r="H14954" s="90"/>
    </row>
    <row r="14955" spans="7:8">
      <c r="G14955" s="87"/>
      <c r="H14955" s="90"/>
    </row>
    <row r="14956" spans="7:8">
      <c r="G14956" s="87"/>
      <c r="H14956" s="90"/>
    </row>
    <row r="14957" spans="7:8">
      <c r="G14957" s="87"/>
      <c r="H14957" s="90"/>
    </row>
    <row r="14958" spans="7:8">
      <c r="G14958" s="87"/>
      <c r="H14958" s="90"/>
    </row>
    <row r="14959" spans="7:8">
      <c r="G14959" s="87"/>
      <c r="H14959" s="90"/>
    </row>
    <row r="14960" spans="7:8">
      <c r="G14960" s="87"/>
      <c r="H14960" s="90"/>
    </row>
    <row r="14961" spans="7:8">
      <c r="G14961" s="87"/>
      <c r="H14961" s="90"/>
    </row>
    <row r="14962" spans="7:8">
      <c r="G14962" s="87"/>
      <c r="H14962" s="90"/>
    </row>
    <row r="14963" spans="7:8">
      <c r="G14963" s="87"/>
      <c r="H14963" s="90"/>
    </row>
    <row r="14964" spans="7:8">
      <c r="G14964" s="87"/>
      <c r="H14964" s="90"/>
    </row>
    <row r="14965" spans="7:8">
      <c r="G14965" s="87"/>
      <c r="H14965" s="90"/>
    </row>
    <row r="14966" spans="7:8">
      <c r="G14966" s="87"/>
      <c r="H14966" s="90"/>
    </row>
    <row r="14967" spans="7:8">
      <c r="G14967" s="87"/>
      <c r="H14967" s="90"/>
    </row>
    <row r="14968" spans="7:8">
      <c r="G14968" s="87"/>
      <c r="H14968" s="90"/>
    </row>
    <row r="14969" spans="7:8">
      <c r="G14969" s="87"/>
      <c r="H14969" s="90"/>
    </row>
    <row r="14970" spans="7:8">
      <c r="G14970" s="87"/>
      <c r="H14970" s="90"/>
    </row>
    <row r="14971" spans="7:8">
      <c r="G14971" s="87"/>
      <c r="H14971" s="90"/>
    </row>
    <row r="14972" spans="7:8">
      <c r="G14972" s="87"/>
      <c r="H14972" s="90"/>
    </row>
    <row r="14973" spans="7:8">
      <c r="G14973" s="87"/>
      <c r="H14973" s="90"/>
    </row>
    <row r="14974" spans="7:8">
      <c r="G14974" s="87"/>
      <c r="H14974" s="90"/>
    </row>
    <row r="14975" spans="7:8">
      <c r="G14975" s="87"/>
      <c r="H14975" s="90"/>
    </row>
    <row r="14976" spans="7:8">
      <c r="G14976" s="87"/>
      <c r="H14976" s="90"/>
    </row>
    <row r="14977" spans="7:8">
      <c r="G14977" s="87"/>
      <c r="H14977" s="90"/>
    </row>
    <row r="14978" spans="7:8">
      <c r="G14978" s="87"/>
      <c r="H14978" s="90"/>
    </row>
    <row r="14979" spans="7:8">
      <c r="G14979" s="87"/>
      <c r="H14979" s="90"/>
    </row>
    <row r="14980" spans="7:8">
      <c r="G14980" s="87"/>
      <c r="H14980" s="90"/>
    </row>
    <row r="14981" spans="7:8">
      <c r="G14981" s="87"/>
      <c r="H14981" s="90"/>
    </row>
    <row r="14982" spans="7:8">
      <c r="G14982" s="87"/>
      <c r="H14982" s="90"/>
    </row>
    <row r="14983" spans="7:8">
      <c r="G14983" s="87"/>
      <c r="H14983" s="90"/>
    </row>
    <row r="14984" spans="7:8">
      <c r="G14984" s="87"/>
      <c r="H14984" s="90"/>
    </row>
    <row r="14985" spans="7:8">
      <c r="G14985" s="87"/>
      <c r="H14985" s="90"/>
    </row>
    <row r="14986" spans="7:8">
      <c r="G14986" s="87"/>
      <c r="H14986" s="90"/>
    </row>
    <row r="14987" spans="7:8">
      <c r="G14987" s="87"/>
      <c r="H14987" s="90"/>
    </row>
    <row r="14988" spans="7:8">
      <c r="G14988" s="87"/>
      <c r="H14988" s="90"/>
    </row>
    <row r="14989" spans="7:8">
      <c r="G14989" s="87"/>
      <c r="H14989" s="90"/>
    </row>
    <row r="14990" spans="7:8">
      <c r="G14990" s="87"/>
      <c r="H14990" s="90"/>
    </row>
    <row r="14991" spans="7:8">
      <c r="G14991" s="87"/>
      <c r="H14991" s="90"/>
    </row>
    <row r="14992" spans="7:8">
      <c r="G14992" s="87"/>
      <c r="H14992" s="90"/>
    </row>
    <row r="14993" spans="7:8">
      <c r="G14993" s="87"/>
      <c r="H14993" s="90"/>
    </row>
    <row r="14994" spans="7:8">
      <c r="G14994" s="87"/>
      <c r="H14994" s="90"/>
    </row>
    <row r="14995" spans="7:8">
      <c r="G14995" s="87"/>
      <c r="H14995" s="90"/>
    </row>
    <row r="14996" spans="7:8">
      <c r="G14996" s="87"/>
      <c r="H14996" s="90"/>
    </row>
    <row r="14997" spans="7:8">
      <c r="G14997" s="87"/>
      <c r="H14997" s="90"/>
    </row>
    <row r="14998" spans="7:8">
      <c r="G14998" s="87"/>
      <c r="H14998" s="90"/>
    </row>
    <row r="14999" spans="7:8">
      <c r="G14999" s="87"/>
      <c r="H14999" s="90"/>
    </row>
    <row r="15000" spans="7:8">
      <c r="G15000" s="87"/>
      <c r="H15000" s="90"/>
    </row>
    <row r="15001" spans="7:8">
      <c r="G15001" s="87"/>
      <c r="H15001" s="90"/>
    </row>
    <row r="15002" spans="7:8">
      <c r="G15002" s="87"/>
      <c r="H15002" s="90"/>
    </row>
    <row r="15003" spans="7:8">
      <c r="G15003" s="87"/>
      <c r="H15003" s="90"/>
    </row>
    <row r="15004" spans="7:8">
      <c r="G15004" s="87"/>
      <c r="H15004" s="90"/>
    </row>
    <row r="15005" spans="7:8">
      <c r="G15005" s="87"/>
      <c r="H15005" s="90"/>
    </row>
    <row r="15006" spans="7:8">
      <c r="G15006" s="87"/>
      <c r="H15006" s="90"/>
    </row>
    <row r="15007" spans="7:8">
      <c r="G15007" s="87"/>
      <c r="H15007" s="90"/>
    </row>
    <row r="15008" spans="7:8">
      <c r="G15008" s="87"/>
      <c r="H15008" s="90"/>
    </row>
    <row r="15009" spans="7:8">
      <c r="G15009" s="87"/>
      <c r="H15009" s="90"/>
    </row>
    <row r="15010" spans="7:8">
      <c r="G15010" s="87"/>
      <c r="H15010" s="90"/>
    </row>
    <row r="15011" spans="7:8">
      <c r="G15011" s="87"/>
      <c r="H15011" s="90"/>
    </row>
    <row r="15012" spans="7:8">
      <c r="G15012" s="87"/>
      <c r="H15012" s="90"/>
    </row>
    <row r="15013" spans="7:8">
      <c r="G15013" s="87"/>
      <c r="H15013" s="90"/>
    </row>
    <row r="15014" spans="7:8">
      <c r="G15014" s="87"/>
      <c r="H15014" s="90"/>
    </row>
    <row r="15015" spans="7:8">
      <c r="G15015" s="87"/>
      <c r="H15015" s="90"/>
    </row>
    <row r="15016" spans="7:8">
      <c r="G15016" s="87"/>
      <c r="H15016" s="90"/>
    </row>
    <row r="15017" spans="7:8">
      <c r="G15017" s="87"/>
      <c r="H15017" s="90"/>
    </row>
    <row r="15018" spans="7:8">
      <c r="G15018" s="87"/>
      <c r="H15018" s="90"/>
    </row>
    <row r="15019" spans="7:8">
      <c r="G15019" s="87"/>
      <c r="H15019" s="90"/>
    </row>
    <row r="15020" spans="7:8">
      <c r="G15020" s="87"/>
      <c r="H15020" s="90"/>
    </row>
    <row r="15021" spans="7:8">
      <c r="G15021" s="87"/>
      <c r="H15021" s="90"/>
    </row>
    <row r="15022" spans="7:8">
      <c r="G15022" s="87"/>
      <c r="H15022" s="90"/>
    </row>
    <row r="15023" spans="7:8">
      <c r="G15023" s="87"/>
      <c r="H15023" s="90"/>
    </row>
    <row r="15024" spans="7:8">
      <c r="G15024" s="87"/>
      <c r="H15024" s="90"/>
    </row>
    <row r="15025" spans="7:8">
      <c r="G15025" s="87"/>
      <c r="H15025" s="90"/>
    </row>
    <row r="15026" spans="7:8">
      <c r="G15026" s="87"/>
      <c r="H15026" s="90"/>
    </row>
    <row r="15027" spans="7:8">
      <c r="G15027" s="87"/>
      <c r="H15027" s="90"/>
    </row>
    <row r="15028" spans="7:8">
      <c r="G15028" s="87"/>
      <c r="H15028" s="90"/>
    </row>
    <row r="15029" spans="7:8">
      <c r="G15029" s="87"/>
      <c r="H15029" s="90"/>
    </row>
    <row r="15030" spans="7:8">
      <c r="G15030" s="87"/>
      <c r="H15030" s="90"/>
    </row>
    <row r="15031" spans="7:8">
      <c r="G15031" s="87"/>
      <c r="H15031" s="90"/>
    </row>
    <row r="15032" spans="7:8">
      <c r="G15032" s="87"/>
      <c r="H15032" s="90"/>
    </row>
    <row r="15033" spans="7:8">
      <c r="G15033" s="87"/>
      <c r="H15033" s="90"/>
    </row>
    <row r="15034" spans="7:8">
      <c r="G15034" s="87"/>
      <c r="H15034" s="90"/>
    </row>
    <row r="15035" spans="7:8">
      <c r="G15035" s="87"/>
      <c r="H15035" s="90"/>
    </row>
    <row r="15036" spans="7:8">
      <c r="G15036" s="87"/>
      <c r="H15036" s="90"/>
    </row>
    <row r="15037" spans="7:8">
      <c r="G15037" s="87"/>
      <c r="H15037" s="90"/>
    </row>
    <row r="15038" spans="7:8">
      <c r="G15038" s="87"/>
      <c r="H15038" s="90"/>
    </row>
    <row r="15039" spans="7:8">
      <c r="G15039" s="87"/>
      <c r="H15039" s="90"/>
    </row>
    <row r="15040" spans="7:8">
      <c r="G15040" s="87"/>
      <c r="H15040" s="90"/>
    </row>
    <row r="15041" spans="7:8">
      <c r="G15041" s="87"/>
      <c r="H15041" s="90"/>
    </row>
    <row r="15042" spans="7:8">
      <c r="G15042" s="87"/>
      <c r="H15042" s="90"/>
    </row>
    <row r="15043" spans="7:8">
      <c r="G15043" s="87"/>
      <c r="H15043" s="90"/>
    </row>
    <row r="15044" spans="7:8">
      <c r="G15044" s="87"/>
      <c r="H15044" s="90"/>
    </row>
    <row r="15045" spans="7:8">
      <c r="G15045" s="87"/>
      <c r="H15045" s="90"/>
    </row>
    <row r="15046" spans="7:8">
      <c r="G15046" s="87"/>
      <c r="H15046" s="90"/>
    </row>
    <row r="15047" spans="7:8">
      <c r="G15047" s="87"/>
      <c r="H15047" s="90"/>
    </row>
    <row r="15048" spans="7:8">
      <c r="G15048" s="87"/>
      <c r="H15048" s="90"/>
    </row>
    <row r="15049" spans="7:8">
      <c r="G15049" s="87"/>
      <c r="H15049" s="90"/>
    </row>
    <row r="15050" spans="7:8">
      <c r="G15050" s="87"/>
      <c r="H15050" s="90"/>
    </row>
    <row r="15051" spans="7:8">
      <c r="G15051" s="87"/>
      <c r="H15051" s="90"/>
    </row>
    <row r="15052" spans="7:8">
      <c r="G15052" s="87"/>
      <c r="H15052" s="90"/>
    </row>
    <row r="15053" spans="7:8">
      <c r="G15053" s="87"/>
      <c r="H15053" s="90"/>
    </row>
    <row r="15054" spans="7:8">
      <c r="G15054" s="87"/>
      <c r="H15054" s="90"/>
    </row>
    <row r="15055" spans="7:8">
      <c r="G15055" s="87"/>
      <c r="H15055" s="90"/>
    </row>
    <row r="15056" spans="7:8">
      <c r="G15056" s="87"/>
      <c r="H15056" s="90"/>
    </row>
    <row r="15057" spans="7:8">
      <c r="G15057" s="87"/>
      <c r="H15057" s="90"/>
    </row>
    <row r="15058" spans="7:8">
      <c r="G15058" s="87"/>
      <c r="H15058" s="90"/>
    </row>
    <row r="15059" spans="7:8">
      <c r="G15059" s="87"/>
      <c r="H15059" s="90"/>
    </row>
    <row r="15060" spans="7:8">
      <c r="G15060" s="87"/>
      <c r="H15060" s="90"/>
    </row>
    <row r="15061" spans="7:8">
      <c r="G15061" s="87"/>
      <c r="H15061" s="90"/>
    </row>
    <row r="15062" spans="7:8">
      <c r="G15062" s="87"/>
      <c r="H15062" s="90"/>
    </row>
    <row r="15063" spans="7:8">
      <c r="G15063" s="87"/>
      <c r="H15063" s="90"/>
    </row>
    <row r="15064" spans="7:8">
      <c r="G15064" s="87"/>
      <c r="H15064" s="90"/>
    </row>
    <row r="15065" spans="7:8">
      <c r="G15065" s="87"/>
      <c r="H15065" s="90"/>
    </row>
    <row r="15066" spans="7:8">
      <c r="G15066" s="87"/>
      <c r="H15066" s="90"/>
    </row>
    <row r="15067" spans="7:8">
      <c r="G15067" s="87"/>
      <c r="H15067" s="90"/>
    </row>
    <row r="15068" spans="7:8">
      <c r="G15068" s="87"/>
      <c r="H15068" s="90"/>
    </row>
    <row r="15069" spans="7:8">
      <c r="G15069" s="87"/>
      <c r="H15069" s="90"/>
    </row>
    <row r="15070" spans="7:8">
      <c r="G15070" s="87"/>
      <c r="H15070" s="90"/>
    </row>
    <row r="15071" spans="7:8">
      <c r="G15071" s="87"/>
      <c r="H15071" s="90"/>
    </row>
    <row r="15072" spans="7:8">
      <c r="G15072" s="87"/>
      <c r="H15072" s="90"/>
    </row>
    <row r="15073" spans="7:8">
      <c r="G15073" s="87"/>
      <c r="H15073" s="90"/>
    </row>
    <row r="15074" spans="7:8">
      <c r="G15074" s="87"/>
      <c r="H15074" s="90"/>
    </row>
    <row r="15075" spans="7:8">
      <c r="G15075" s="87"/>
      <c r="H15075" s="90"/>
    </row>
    <row r="15076" spans="7:8">
      <c r="G15076" s="87"/>
      <c r="H15076" s="90"/>
    </row>
    <row r="15077" spans="7:8">
      <c r="G15077" s="87"/>
      <c r="H15077" s="90"/>
    </row>
    <row r="15078" spans="7:8">
      <c r="G15078" s="87"/>
      <c r="H15078" s="90"/>
    </row>
    <row r="15079" spans="7:8">
      <c r="G15079" s="87"/>
      <c r="H15079" s="90"/>
    </row>
    <row r="15080" spans="7:8">
      <c r="G15080" s="87"/>
      <c r="H15080" s="90"/>
    </row>
    <row r="15081" spans="7:8">
      <c r="G15081" s="87"/>
      <c r="H15081" s="90"/>
    </row>
    <row r="15082" spans="7:8">
      <c r="G15082" s="87"/>
      <c r="H15082" s="90"/>
    </row>
    <row r="15083" spans="7:8">
      <c r="G15083" s="87"/>
      <c r="H15083" s="90"/>
    </row>
    <row r="15084" spans="7:8">
      <c r="G15084" s="87"/>
      <c r="H15084" s="90"/>
    </row>
    <row r="15085" spans="7:8">
      <c r="G15085" s="87"/>
      <c r="H15085" s="90"/>
    </row>
    <row r="15086" spans="7:8">
      <c r="G15086" s="87"/>
      <c r="H15086" s="90"/>
    </row>
    <row r="15087" spans="7:8">
      <c r="G15087" s="87"/>
      <c r="H15087" s="90"/>
    </row>
    <row r="15088" spans="7:8">
      <c r="G15088" s="87"/>
      <c r="H15088" s="90"/>
    </row>
    <row r="15089" spans="7:8">
      <c r="G15089" s="87"/>
      <c r="H15089" s="90"/>
    </row>
    <row r="15090" spans="7:8">
      <c r="G15090" s="87"/>
      <c r="H15090" s="90"/>
    </row>
    <row r="15091" spans="7:8">
      <c r="G15091" s="87"/>
      <c r="H15091" s="90"/>
    </row>
    <row r="15092" spans="7:8">
      <c r="G15092" s="87"/>
      <c r="H15092" s="90"/>
    </row>
    <row r="15093" spans="7:8">
      <c r="G15093" s="87"/>
      <c r="H15093" s="90"/>
    </row>
    <row r="15094" spans="7:8">
      <c r="G15094" s="87"/>
      <c r="H15094" s="90"/>
    </row>
    <row r="15095" spans="7:8">
      <c r="G15095" s="87"/>
      <c r="H15095" s="90"/>
    </row>
    <row r="15096" spans="7:8">
      <c r="G15096" s="87"/>
      <c r="H15096" s="90"/>
    </row>
    <row r="15097" spans="7:8">
      <c r="G15097" s="87"/>
      <c r="H15097" s="90"/>
    </row>
    <row r="15098" spans="7:8">
      <c r="G15098" s="87"/>
      <c r="H15098" s="90"/>
    </row>
    <row r="15099" spans="7:8">
      <c r="G15099" s="87"/>
      <c r="H15099" s="90"/>
    </row>
    <row r="15100" spans="7:8">
      <c r="G15100" s="87"/>
      <c r="H15100" s="90"/>
    </row>
    <row r="15101" spans="7:8">
      <c r="G15101" s="87"/>
      <c r="H15101" s="90"/>
    </row>
    <row r="15102" spans="7:8">
      <c r="G15102" s="87"/>
      <c r="H15102" s="90"/>
    </row>
    <row r="15103" spans="7:8">
      <c r="G15103" s="87"/>
      <c r="H15103" s="90"/>
    </row>
    <row r="15104" spans="7:8">
      <c r="G15104" s="87"/>
      <c r="H15104" s="90"/>
    </row>
    <row r="15105" spans="7:8">
      <c r="G15105" s="87"/>
      <c r="H15105" s="90"/>
    </row>
    <row r="15106" spans="7:8">
      <c r="G15106" s="87"/>
      <c r="H15106" s="90"/>
    </row>
    <row r="15107" spans="7:8">
      <c r="G15107" s="87"/>
      <c r="H15107" s="90"/>
    </row>
    <row r="15108" spans="7:8">
      <c r="G15108" s="87"/>
      <c r="H15108" s="90"/>
    </row>
    <row r="15109" spans="7:8">
      <c r="G15109" s="87"/>
      <c r="H15109" s="90"/>
    </row>
    <row r="15110" spans="7:8">
      <c r="G15110" s="87"/>
      <c r="H15110" s="90"/>
    </row>
    <row r="15111" spans="7:8">
      <c r="G15111" s="87"/>
      <c r="H15111" s="90"/>
    </row>
    <row r="15112" spans="7:8">
      <c r="G15112" s="87"/>
      <c r="H15112" s="90"/>
    </row>
    <row r="15113" spans="7:8">
      <c r="G15113" s="87"/>
      <c r="H15113" s="90"/>
    </row>
    <row r="15114" spans="7:8">
      <c r="G15114" s="87"/>
      <c r="H15114" s="90"/>
    </row>
    <row r="15115" spans="7:8">
      <c r="G15115" s="87"/>
      <c r="H15115" s="90"/>
    </row>
    <row r="15116" spans="7:8">
      <c r="G15116" s="87"/>
      <c r="H15116" s="90"/>
    </row>
    <row r="15117" spans="7:8">
      <c r="G15117" s="87"/>
      <c r="H15117" s="90"/>
    </row>
    <row r="15118" spans="7:8">
      <c r="G15118" s="87"/>
      <c r="H15118" s="90"/>
    </row>
    <row r="15119" spans="7:8">
      <c r="G15119" s="87"/>
      <c r="H15119" s="90"/>
    </row>
    <row r="15120" spans="7:8">
      <c r="G15120" s="87"/>
      <c r="H15120" s="90"/>
    </row>
    <row r="15121" spans="7:8">
      <c r="G15121" s="87"/>
      <c r="H15121" s="90"/>
    </row>
    <row r="15122" spans="7:8">
      <c r="G15122" s="87"/>
      <c r="H15122" s="90"/>
    </row>
    <row r="15123" spans="7:8">
      <c r="G15123" s="87"/>
      <c r="H15123" s="90"/>
    </row>
    <row r="15124" spans="7:8">
      <c r="G15124" s="87"/>
      <c r="H15124" s="90"/>
    </row>
    <row r="15125" spans="7:8">
      <c r="G15125" s="87"/>
      <c r="H15125" s="90"/>
    </row>
    <row r="15126" spans="7:8">
      <c r="G15126" s="87"/>
      <c r="H15126" s="90"/>
    </row>
    <row r="15127" spans="7:8">
      <c r="G15127" s="87"/>
      <c r="H15127" s="90"/>
    </row>
    <row r="15128" spans="7:8">
      <c r="G15128" s="87"/>
      <c r="H15128" s="90"/>
    </row>
    <row r="15129" spans="7:8">
      <c r="G15129" s="87"/>
      <c r="H15129" s="90"/>
    </row>
    <row r="15130" spans="7:8">
      <c r="G15130" s="87"/>
      <c r="H15130" s="90"/>
    </row>
    <row r="15131" spans="7:8">
      <c r="G15131" s="87"/>
      <c r="H15131" s="90"/>
    </row>
    <row r="15132" spans="7:8">
      <c r="G15132" s="87"/>
      <c r="H15132" s="90"/>
    </row>
    <row r="15133" spans="7:8">
      <c r="G15133" s="87"/>
      <c r="H15133" s="90"/>
    </row>
    <row r="15134" spans="7:8">
      <c r="G15134" s="87"/>
      <c r="H15134" s="90"/>
    </row>
    <row r="15135" spans="7:8">
      <c r="G15135" s="87"/>
      <c r="H15135" s="90"/>
    </row>
    <row r="15136" spans="7:8">
      <c r="G15136" s="87"/>
      <c r="H15136" s="90"/>
    </row>
    <row r="15137" spans="7:8">
      <c r="G15137" s="87"/>
      <c r="H15137" s="90"/>
    </row>
    <row r="15138" spans="7:8">
      <c r="G15138" s="87"/>
      <c r="H15138" s="90"/>
    </row>
    <row r="15139" spans="7:8">
      <c r="G15139" s="87"/>
      <c r="H15139" s="90"/>
    </row>
    <row r="15140" spans="7:8">
      <c r="G15140" s="87"/>
      <c r="H15140" s="90"/>
    </row>
    <row r="15141" spans="7:8">
      <c r="G15141" s="87"/>
      <c r="H15141" s="90"/>
    </row>
    <row r="15142" spans="7:8">
      <c r="G15142" s="87"/>
      <c r="H15142" s="90"/>
    </row>
    <row r="15143" spans="7:8">
      <c r="G15143" s="87"/>
      <c r="H15143" s="90"/>
    </row>
    <row r="15144" spans="7:8">
      <c r="G15144" s="87"/>
      <c r="H15144" s="90"/>
    </row>
    <row r="15145" spans="7:8">
      <c r="G15145" s="87"/>
      <c r="H15145" s="90"/>
    </row>
    <row r="15146" spans="7:8">
      <c r="G15146" s="87"/>
      <c r="H15146" s="90"/>
    </row>
    <row r="15147" spans="7:8">
      <c r="G15147" s="87"/>
      <c r="H15147" s="90"/>
    </row>
    <row r="15148" spans="7:8">
      <c r="G15148" s="87"/>
      <c r="H15148" s="90"/>
    </row>
    <row r="15149" spans="7:8">
      <c r="G15149" s="87"/>
      <c r="H15149" s="90"/>
    </row>
    <row r="15150" spans="7:8">
      <c r="G15150" s="87"/>
      <c r="H15150" s="90"/>
    </row>
    <row r="15151" spans="7:8">
      <c r="G15151" s="87"/>
      <c r="H15151" s="90"/>
    </row>
    <row r="15152" spans="7:8">
      <c r="G15152" s="87"/>
      <c r="H15152" s="90"/>
    </row>
    <row r="15153" spans="7:8">
      <c r="G15153" s="87"/>
      <c r="H15153" s="90"/>
    </row>
    <row r="15154" spans="7:8">
      <c r="G15154" s="87"/>
      <c r="H15154" s="90"/>
    </row>
    <row r="15155" spans="7:8">
      <c r="G15155" s="87"/>
      <c r="H15155" s="90"/>
    </row>
    <row r="15156" spans="7:8">
      <c r="G15156" s="87"/>
      <c r="H15156" s="90"/>
    </row>
    <row r="15157" spans="7:8">
      <c r="G15157" s="87"/>
      <c r="H15157" s="90"/>
    </row>
    <row r="15158" spans="7:8">
      <c r="G15158" s="87"/>
      <c r="H15158" s="90"/>
    </row>
    <row r="15159" spans="7:8">
      <c r="G15159" s="87"/>
      <c r="H15159" s="90"/>
    </row>
    <row r="15160" spans="7:8">
      <c r="G15160" s="87"/>
      <c r="H15160" s="90"/>
    </row>
    <row r="15161" spans="7:8">
      <c r="G15161" s="87"/>
      <c r="H15161" s="90"/>
    </row>
    <row r="15162" spans="7:8">
      <c r="G15162" s="87"/>
      <c r="H15162" s="90"/>
    </row>
    <row r="15163" spans="7:8">
      <c r="G15163" s="87"/>
      <c r="H15163" s="90"/>
    </row>
    <row r="15164" spans="7:8">
      <c r="G15164" s="87"/>
      <c r="H15164" s="90"/>
    </row>
    <row r="15165" spans="7:8">
      <c r="G15165" s="87"/>
      <c r="H15165" s="90"/>
    </row>
    <row r="15166" spans="7:8">
      <c r="G15166" s="87"/>
      <c r="H15166" s="90"/>
    </row>
    <row r="15167" spans="7:8">
      <c r="G15167" s="87"/>
      <c r="H15167" s="90"/>
    </row>
    <row r="15168" spans="7:8">
      <c r="G15168" s="87"/>
      <c r="H15168" s="90"/>
    </row>
    <row r="15169" spans="7:8">
      <c r="G15169" s="87"/>
      <c r="H15169" s="90"/>
    </row>
    <row r="15170" spans="7:8">
      <c r="G15170" s="87"/>
      <c r="H15170" s="90"/>
    </row>
    <row r="15171" spans="7:8">
      <c r="G15171" s="87"/>
      <c r="H15171" s="90"/>
    </row>
    <row r="15172" spans="7:8">
      <c r="G15172" s="87"/>
      <c r="H15172" s="90"/>
    </row>
    <row r="15173" spans="7:8">
      <c r="G15173" s="87"/>
      <c r="H15173" s="90"/>
    </row>
    <row r="15174" spans="7:8">
      <c r="G15174" s="87"/>
      <c r="H15174" s="90"/>
    </row>
    <row r="15175" spans="7:8">
      <c r="G15175" s="87"/>
      <c r="H15175" s="90"/>
    </row>
    <row r="15176" spans="7:8">
      <c r="G15176" s="87"/>
      <c r="H15176" s="90"/>
    </row>
    <row r="15177" spans="7:8">
      <c r="G15177" s="87"/>
      <c r="H15177" s="90"/>
    </row>
    <row r="15178" spans="7:8">
      <c r="G15178" s="87"/>
      <c r="H15178" s="90"/>
    </row>
    <row r="15179" spans="7:8">
      <c r="G15179" s="87"/>
      <c r="H15179" s="90"/>
    </row>
    <row r="15180" spans="7:8">
      <c r="G15180" s="87"/>
      <c r="H15180" s="90"/>
    </row>
    <row r="15181" spans="7:8">
      <c r="G15181" s="87"/>
      <c r="H15181" s="90"/>
    </row>
    <row r="15182" spans="7:8">
      <c r="G15182" s="87"/>
      <c r="H15182" s="90"/>
    </row>
    <row r="15183" spans="7:8">
      <c r="G15183" s="87"/>
      <c r="H15183" s="90"/>
    </row>
    <row r="15184" spans="7:8">
      <c r="G15184" s="87"/>
      <c r="H15184" s="90"/>
    </row>
    <row r="15185" spans="7:8">
      <c r="G15185" s="87"/>
      <c r="H15185" s="90"/>
    </row>
    <row r="15186" spans="7:8">
      <c r="G15186" s="87"/>
      <c r="H15186" s="90"/>
    </row>
    <row r="15187" spans="7:8">
      <c r="G15187" s="87"/>
      <c r="H15187" s="90"/>
    </row>
    <row r="15188" spans="7:8">
      <c r="G15188" s="87"/>
      <c r="H15188" s="90"/>
    </row>
    <row r="15189" spans="7:8">
      <c r="G15189" s="87"/>
      <c r="H15189" s="90"/>
    </row>
    <row r="15190" spans="7:8">
      <c r="G15190" s="87"/>
      <c r="H15190" s="90"/>
    </row>
    <row r="15191" spans="7:8">
      <c r="G15191" s="87"/>
      <c r="H15191" s="90"/>
    </row>
    <row r="15192" spans="7:8">
      <c r="G15192" s="87"/>
      <c r="H15192" s="90"/>
    </row>
    <row r="15193" spans="7:8">
      <c r="G15193" s="87"/>
      <c r="H15193" s="90"/>
    </row>
    <row r="15194" spans="7:8">
      <c r="G15194" s="87"/>
      <c r="H15194" s="90"/>
    </row>
    <row r="15195" spans="7:8">
      <c r="G15195" s="87"/>
      <c r="H15195" s="90"/>
    </row>
    <row r="15196" spans="7:8">
      <c r="G15196" s="87"/>
      <c r="H15196" s="90"/>
    </row>
    <row r="15197" spans="7:8">
      <c r="G15197" s="87"/>
      <c r="H15197" s="90"/>
    </row>
    <row r="15198" spans="7:8">
      <c r="G15198" s="87"/>
      <c r="H15198" s="90"/>
    </row>
    <row r="15199" spans="7:8">
      <c r="G15199" s="87"/>
      <c r="H15199" s="90"/>
    </row>
    <row r="15200" spans="7:8">
      <c r="G15200" s="87"/>
      <c r="H15200" s="90"/>
    </row>
    <row r="15201" spans="7:8">
      <c r="G15201" s="87"/>
      <c r="H15201" s="90"/>
    </row>
    <row r="15202" spans="7:8">
      <c r="G15202" s="87"/>
      <c r="H15202" s="90"/>
    </row>
    <row r="15203" spans="7:8">
      <c r="G15203" s="87"/>
      <c r="H15203" s="90"/>
    </row>
    <row r="15204" spans="7:8">
      <c r="G15204" s="87"/>
      <c r="H15204" s="90"/>
    </row>
    <row r="15205" spans="7:8">
      <c r="G15205" s="87"/>
      <c r="H15205" s="90"/>
    </row>
    <row r="15206" spans="7:8">
      <c r="G15206" s="87"/>
      <c r="H15206" s="90"/>
    </row>
    <row r="15207" spans="7:8">
      <c r="G15207" s="87"/>
      <c r="H15207" s="90"/>
    </row>
    <row r="15208" spans="7:8">
      <c r="G15208" s="87"/>
      <c r="H15208" s="90"/>
    </row>
    <row r="15209" spans="7:8">
      <c r="G15209" s="87"/>
      <c r="H15209" s="90"/>
    </row>
    <row r="15210" spans="7:8">
      <c r="G15210" s="87"/>
      <c r="H15210" s="90"/>
    </row>
    <row r="15211" spans="7:8">
      <c r="G15211" s="87"/>
      <c r="H15211" s="90"/>
    </row>
    <row r="15212" spans="7:8">
      <c r="G15212" s="87"/>
      <c r="H15212" s="90"/>
    </row>
    <row r="15213" spans="7:8">
      <c r="G15213" s="87"/>
      <c r="H15213" s="90"/>
    </row>
    <row r="15214" spans="7:8">
      <c r="G15214" s="87"/>
      <c r="H15214" s="90"/>
    </row>
    <row r="15215" spans="7:8">
      <c r="G15215" s="87"/>
      <c r="H15215" s="90"/>
    </row>
    <row r="15216" spans="7:8">
      <c r="G15216" s="87"/>
      <c r="H15216" s="90"/>
    </row>
    <row r="15217" spans="7:8">
      <c r="G15217" s="87"/>
      <c r="H15217" s="90"/>
    </row>
    <row r="15218" spans="7:8">
      <c r="G15218" s="87"/>
      <c r="H15218" s="90"/>
    </row>
    <row r="15219" spans="7:8">
      <c r="G15219" s="87"/>
      <c r="H15219" s="90"/>
    </row>
    <row r="15220" spans="7:8">
      <c r="G15220" s="87"/>
      <c r="H15220" s="90"/>
    </row>
    <row r="15221" spans="7:8">
      <c r="G15221" s="87"/>
      <c r="H15221" s="90"/>
    </row>
    <row r="15222" spans="7:8">
      <c r="G15222" s="87"/>
      <c r="H15222" s="90"/>
    </row>
    <row r="15223" spans="7:8">
      <c r="G15223" s="87"/>
      <c r="H15223" s="90"/>
    </row>
    <row r="15224" spans="7:8">
      <c r="G15224" s="87"/>
      <c r="H15224" s="90"/>
    </row>
    <row r="15225" spans="7:8">
      <c r="G15225" s="87"/>
      <c r="H15225" s="90"/>
    </row>
    <row r="15226" spans="7:8">
      <c r="G15226" s="87"/>
      <c r="H15226" s="90"/>
    </row>
    <row r="15227" spans="7:8">
      <c r="G15227" s="87"/>
      <c r="H15227" s="90"/>
    </row>
    <row r="15228" spans="7:8">
      <c r="G15228" s="87"/>
      <c r="H15228" s="90"/>
    </row>
    <row r="15229" spans="7:8">
      <c r="G15229" s="87"/>
      <c r="H15229" s="90"/>
    </row>
    <row r="15230" spans="7:8">
      <c r="G15230" s="87"/>
      <c r="H15230" s="90"/>
    </row>
    <row r="15231" spans="7:8">
      <c r="G15231" s="87"/>
      <c r="H15231" s="90"/>
    </row>
    <row r="15232" spans="7:8">
      <c r="G15232" s="87"/>
      <c r="H15232" s="90"/>
    </row>
    <row r="15233" spans="7:8">
      <c r="G15233" s="87"/>
      <c r="H15233" s="90"/>
    </row>
    <row r="15234" spans="7:8">
      <c r="G15234" s="87"/>
      <c r="H15234" s="90"/>
    </row>
    <row r="15235" spans="7:8">
      <c r="G15235" s="87"/>
      <c r="H15235" s="90"/>
    </row>
    <row r="15236" spans="7:8">
      <c r="G15236" s="87"/>
      <c r="H15236" s="90"/>
    </row>
    <row r="15237" spans="7:8">
      <c r="G15237" s="87"/>
      <c r="H15237" s="90"/>
    </row>
    <row r="15238" spans="7:8">
      <c r="G15238" s="87"/>
      <c r="H15238" s="90"/>
    </row>
    <row r="15239" spans="7:8">
      <c r="G15239" s="87"/>
      <c r="H15239" s="90"/>
    </row>
    <row r="15240" spans="7:8">
      <c r="G15240" s="87"/>
      <c r="H15240" s="90"/>
    </row>
    <row r="15241" spans="7:8">
      <c r="G15241" s="87"/>
      <c r="H15241" s="90"/>
    </row>
    <row r="15242" spans="7:8">
      <c r="G15242" s="87"/>
      <c r="H15242" s="90"/>
    </row>
    <row r="15243" spans="7:8">
      <c r="G15243" s="87"/>
      <c r="H15243" s="90"/>
    </row>
    <row r="15244" spans="7:8">
      <c r="G15244" s="87"/>
      <c r="H15244" s="90"/>
    </row>
    <row r="15245" spans="7:8">
      <c r="G15245" s="87"/>
      <c r="H15245" s="90"/>
    </row>
    <row r="15246" spans="7:8">
      <c r="G15246" s="87"/>
      <c r="H15246" s="90"/>
    </row>
    <row r="15247" spans="7:8">
      <c r="G15247" s="87"/>
      <c r="H15247" s="90"/>
    </row>
    <row r="15248" spans="7:8">
      <c r="G15248" s="87"/>
      <c r="H15248" s="90"/>
    </row>
    <row r="15249" spans="7:8">
      <c r="G15249" s="87"/>
      <c r="H15249" s="90"/>
    </row>
    <row r="15250" spans="7:8">
      <c r="G15250" s="87"/>
      <c r="H15250" s="90"/>
    </row>
    <row r="15251" spans="7:8">
      <c r="G15251" s="87"/>
      <c r="H15251" s="90"/>
    </row>
    <row r="15252" spans="7:8">
      <c r="G15252" s="87"/>
      <c r="H15252" s="90"/>
    </row>
    <row r="15253" spans="7:8">
      <c r="G15253" s="87"/>
      <c r="H15253" s="90"/>
    </row>
    <row r="15254" spans="7:8">
      <c r="G15254" s="87"/>
      <c r="H15254" s="90"/>
    </row>
    <row r="15255" spans="7:8">
      <c r="G15255" s="87"/>
      <c r="H15255" s="90"/>
    </row>
    <row r="15256" spans="7:8">
      <c r="G15256" s="87"/>
      <c r="H15256" s="90"/>
    </row>
    <row r="15257" spans="7:8">
      <c r="G15257" s="87"/>
      <c r="H15257" s="90"/>
    </row>
    <row r="15258" spans="7:8">
      <c r="G15258" s="87"/>
      <c r="H15258" s="90"/>
    </row>
    <row r="15259" spans="7:8">
      <c r="G15259" s="87"/>
      <c r="H15259" s="90"/>
    </row>
    <row r="15260" spans="7:8">
      <c r="G15260" s="87"/>
      <c r="H15260" s="90"/>
    </row>
    <row r="15261" spans="7:8">
      <c r="G15261" s="87"/>
      <c r="H15261" s="90"/>
    </row>
    <row r="15262" spans="7:8">
      <c r="G15262" s="87"/>
      <c r="H15262" s="90"/>
    </row>
    <row r="15263" spans="7:8">
      <c r="G15263" s="87"/>
      <c r="H15263" s="90"/>
    </row>
    <row r="15264" spans="7:8">
      <c r="G15264" s="87"/>
      <c r="H15264" s="90"/>
    </row>
    <row r="15265" spans="7:8">
      <c r="G15265" s="87"/>
      <c r="H15265" s="90"/>
    </row>
    <row r="15266" spans="7:8">
      <c r="G15266" s="87"/>
      <c r="H15266" s="90"/>
    </row>
    <row r="15267" spans="7:8">
      <c r="G15267" s="87"/>
      <c r="H15267" s="90"/>
    </row>
    <row r="15268" spans="7:8">
      <c r="G15268" s="87"/>
      <c r="H15268" s="90"/>
    </row>
    <row r="15269" spans="7:8">
      <c r="G15269" s="87"/>
      <c r="H15269" s="90"/>
    </row>
    <row r="15270" spans="7:8">
      <c r="G15270" s="87"/>
      <c r="H15270" s="90"/>
    </row>
    <row r="15271" spans="7:8">
      <c r="G15271" s="87"/>
      <c r="H15271" s="90"/>
    </row>
    <row r="15272" spans="7:8">
      <c r="G15272" s="87"/>
      <c r="H15272" s="90"/>
    </row>
    <row r="15273" spans="7:8">
      <c r="G15273" s="87"/>
      <c r="H15273" s="90"/>
    </row>
    <row r="15274" spans="7:8">
      <c r="G15274" s="87"/>
      <c r="H15274" s="90"/>
    </row>
    <row r="15275" spans="7:8">
      <c r="G15275" s="87"/>
      <c r="H15275" s="90"/>
    </row>
    <row r="15276" spans="7:8">
      <c r="G15276" s="87"/>
      <c r="H15276" s="90"/>
    </row>
    <row r="15277" spans="7:8">
      <c r="G15277" s="87"/>
      <c r="H15277" s="90"/>
    </row>
    <row r="15278" spans="7:8">
      <c r="G15278" s="87"/>
      <c r="H15278" s="90"/>
    </row>
    <row r="15279" spans="7:8">
      <c r="G15279" s="87"/>
      <c r="H15279" s="90"/>
    </row>
    <row r="15280" spans="7:8">
      <c r="G15280" s="87"/>
      <c r="H15280" s="90"/>
    </row>
    <row r="15281" spans="7:8">
      <c r="G15281" s="87"/>
      <c r="H15281" s="90"/>
    </row>
    <row r="15282" spans="7:8">
      <c r="G15282" s="87"/>
      <c r="H15282" s="90"/>
    </row>
    <row r="15283" spans="7:8">
      <c r="G15283" s="87"/>
      <c r="H15283" s="90"/>
    </row>
    <row r="15284" spans="7:8">
      <c r="G15284" s="87"/>
      <c r="H15284" s="90"/>
    </row>
    <row r="15285" spans="7:8">
      <c r="G15285" s="87"/>
      <c r="H15285" s="90"/>
    </row>
    <row r="15286" spans="7:8">
      <c r="G15286" s="87"/>
      <c r="H15286" s="90"/>
    </row>
    <row r="15287" spans="7:8">
      <c r="G15287" s="87"/>
      <c r="H15287" s="90"/>
    </row>
    <row r="15288" spans="7:8">
      <c r="G15288" s="87"/>
      <c r="H15288" s="90"/>
    </row>
    <row r="15289" spans="7:8">
      <c r="G15289" s="87"/>
      <c r="H15289" s="90"/>
    </row>
    <row r="15290" spans="7:8">
      <c r="G15290" s="87"/>
      <c r="H15290" s="90"/>
    </row>
    <row r="15291" spans="7:8">
      <c r="G15291" s="87"/>
      <c r="H15291" s="90"/>
    </row>
    <row r="15292" spans="7:8">
      <c r="G15292" s="87"/>
      <c r="H15292" s="90"/>
    </row>
    <row r="15293" spans="7:8">
      <c r="G15293" s="87"/>
      <c r="H15293" s="90"/>
    </row>
    <row r="15294" spans="7:8">
      <c r="G15294" s="87"/>
      <c r="H15294" s="90"/>
    </row>
    <row r="15295" spans="7:8">
      <c r="G15295" s="87"/>
      <c r="H15295" s="90"/>
    </row>
    <row r="15296" spans="7:8">
      <c r="G15296" s="87"/>
      <c r="H15296" s="90"/>
    </row>
    <row r="15297" spans="7:8">
      <c r="G15297" s="87"/>
      <c r="H15297" s="90"/>
    </row>
    <row r="15298" spans="7:8">
      <c r="G15298" s="87"/>
      <c r="H15298" s="90"/>
    </row>
    <row r="15299" spans="7:8">
      <c r="G15299" s="87"/>
      <c r="H15299" s="90"/>
    </row>
    <row r="15300" spans="7:8">
      <c r="G15300" s="87"/>
      <c r="H15300" s="90"/>
    </row>
    <row r="15301" spans="7:8">
      <c r="G15301" s="87"/>
      <c r="H15301" s="90"/>
    </row>
    <row r="15302" spans="7:8">
      <c r="G15302" s="87"/>
      <c r="H15302" s="90"/>
    </row>
    <row r="15303" spans="7:8">
      <c r="G15303" s="87"/>
      <c r="H15303" s="90"/>
    </row>
    <row r="15304" spans="7:8">
      <c r="G15304" s="87"/>
      <c r="H15304" s="90"/>
    </row>
    <row r="15305" spans="7:8">
      <c r="G15305" s="87"/>
      <c r="H15305" s="90"/>
    </row>
    <row r="15306" spans="7:8">
      <c r="G15306" s="87"/>
      <c r="H15306" s="90"/>
    </row>
    <row r="15307" spans="7:8">
      <c r="G15307" s="87"/>
      <c r="H15307" s="90"/>
    </row>
    <row r="15308" spans="7:8">
      <c r="G15308" s="87"/>
      <c r="H15308" s="90"/>
    </row>
    <row r="15309" spans="7:8">
      <c r="G15309" s="87"/>
      <c r="H15309" s="90"/>
    </row>
    <row r="15310" spans="7:8">
      <c r="G15310" s="87"/>
      <c r="H15310" s="90"/>
    </row>
    <row r="15311" spans="7:8">
      <c r="G15311" s="87"/>
      <c r="H15311" s="90"/>
    </row>
    <row r="15312" spans="7:8">
      <c r="G15312" s="87"/>
      <c r="H15312" s="90"/>
    </row>
    <row r="15313" spans="7:8">
      <c r="G15313" s="87"/>
      <c r="H15313" s="90"/>
    </row>
    <row r="15314" spans="7:8">
      <c r="G15314" s="87"/>
      <c r="H15314" s="90"/>
    </row>
    <row r="15315" spans="7:8">
      <c r="G15315" s="87"/>
      <c r="H15315" s="90"/>
    </row>
    <row r="15316" spans="7:8">
      <c r="G15316" s="87"/>
      <c r="H15316" s="90"/>
    </row>
    <row r="15317" spans="7:8">
      <c r="G15317" s="87"/>
      <c r="H15317" s="90"/>
    </row>
    <row r="15318" spans="7:8">
      <c r="G15318" s="87"/>
      <c r="H15318" s="90"/>
    </row>
    <row r="15319" spans="7:8">
      <c r="G15319" s="87"/>
      <c r="H15319" s="90"/>
    </row>
    <row r="15320" spans="7:8">
      <c r="G15320" s="87"/>
      <c r="H15320" s="90"/>
    </row>
    <row r="15321" spans="7:8">
      <c r="G15321" s="87"/>
      <c r="H15321" s="90"/>
    </row>
    <row r="15322" spans="7:8">
      <c r="G15322" s="87"/>
      <c r="H15322" s="90"/>
    </row>
    <row r="15323" spans="7:8">
      <c r="G15323" s="87"/>
      <c r="H15323" s="90"/>
    </row>
    <row r="15324" spans="7:8">
      <c r="G15324" s="87"/>
      <c r="H15324" s="90"/>
    </row>
    <row r="15325" spans="7:8">
      <c r="G15325" s="87"/>
      <c r="H15325" s="90"/>
    </row>
    <row r="15326" spans="7:8">
      <c r="G15326" s="87"/>
      <c r="H15326" s="90"/>
    </row>
    <row r="15327" spans="7:8">
      <c r="G15327" s="87"/>
      <c r="H15327" s="90"/>
    </row>
    <row r="15328" spans="7:8">
      <c r="G15328" s="87"/>
      <c r="H15328" s="90"/>
    </row>
    <row r="15329" spans="7:8">
      <c r="G15329" s="87"/>
      <c r="H15329" s="90"/>
    </row>
    <row r="15330" spans="7:8">
      <c r="G15330" s="87"/>
      <c r="H15330" s="90"/>
    </row>
    <row r="15331" spans="7:8">
      <c r="G15331" s="87"/>
      <c r="H15331" s="90"/>
    </row>
    <row r="15332" spans="7:8">
      <c r="G15332" s="87"/>
      <c r="H15332" s="90"/>
    </row>
    <row r="15333" spans="7:8">
      <c r="G15333" s="87"/>
      <c r="H15333" s="90"/>
    </row>
    <row r="15334" spans="7:8">
      <c r="G15334" s="87"/>
      <c r="H15334" s="90"/>
    </row>
    <row r="15335" spans="7:8">
      <c r="G15335" s="87"/>
      <c r="H15335" s="90"/>
    </row>
    <row r="15336" spans="7:8">
      <c r="G15336" s="87"/>
      <c r="H15336" s="90"/>
    </row>
    <row r="15337" spans="7:8">
      <c r="G15337" s="87"/>
      <c r="H15337" s="90"/>
    </row>
    <row r="15338" spans="7:8">
      <c r="G15338" s="87"/>
      <c r="H15338" s="90"/>
    </row>
    <row r="15339" spans="7:8">
      <c r="G15339" s="87"/>
      <c r="H15339" s="90"/>
    </row>
    <row r="15340" spans="7:8">
      <c r="G15340" s="87"/>
      <c r="H15340" s="90"/>
    </row>
    <row r="15341" spans="7:8">
      <c r="G15341" s="87"/>
      <c r="H15341" s="90"/>
    </row>
    <row r="15342" spans="7:8">
      <c r="G15342" s="87"/>
      <c r="H15342" s="90"/>
    </row>
    <row r="15343" spans="7:8">
      <c r="G15343" s="87"/>
      <c r="H15343" s="90"/>
    </row>
    <row r="15344" spans="7:8">
      <c r="G15344" s="87"/>
      <c r="H15344" s="90"/>
    </row>
    <row r="15345" spans="7:8">
      <c r="G15345" s="87"/>
      <c r="H15345" s="90"/>
    </row>
    <row r="15346" spans="7:8">
      <c r="G15346" s="87"/>
      <c r="H15346" s="90"/>
    </row>
    <row r="15347" spans="7:8">
      <c r="G15347" s="87"/>
      <c r="H15347" s="90"/>
    </row>
    <row r="15348" spans="7:8">
      <c r="G15348" s="87"/>
      <c r="H15348" s="90"/>
    </row>
    <row r="15349" spans="7:8">
      <c r="G15349" s="87"/>
      <c r="H15349" s="90"/>
    </row>
    <row r="15350" spans="7:8">
      <c r="G15350" s="87"/>
      <c r="H15350" s="90"/>
    </row>
    <row r="15351" spans="7:8">
      <c r="G15351" s="87"/>
      <c r="H15351" s="90"/>
    </row>
    <row r="15352" spans="7:8">
      <c r="G15352" s="87"/>
      <c r="H15352" s="90"/>
    </row>
    <row r="15353" spans="7:8">
      <c r="G15353" s="87"/>
      <c r="H15353" s="90"/>
    </row>
    <row r="15354" spans="7:8">
      <c r="G15354" s="87"/>
      <c r="H15354" s="90"/>
    </row>
    <row r="15355" spans="7:8">
      <c r="G15355" s="87"/>
      <c r="H15355" s="90"/>
    </row>
    <row r="15356" spans="7:8">
      <c r="G15356" s="87"/>
      <c r="H15356" s="90"/>
    </row>
    <row r="15357" spans="7:8">
      <c r="G15357" s="87"/>
      <c r="H15357" s="90"/>
    </row>
    <row r="15358" spans="7:8">
      <c r="G15358" s="87"/>
      <c r="H15358" s="90"/>
    </row>
    <row r="15359" spans="7:8">
      <c r="G15359" s="87"/>
      <c r="H15359" s="90"/>
    </row>
    <row r="15360" spans="7:8">
      <c r="G15360" s="87"/>
      <c r="H15360" s="90"/>
    </row>
    <row r="15361" spans="7:8">
      <c r="G15361" s="87"/>
      <c r="H15361" s="90"/>
    </row>
    <row r="15362" spans="7:8">
      <c r="G15362" s="87"/>
      <c r="H15362" s="90"/>
    </row>
    <row r="15363" spans="7:8">
      <c r="G15363" s="87"/>
      <c r="H15363" s="90"/>
    </row>
    <row r="15364" spans="7:8">
      <c r="G15364" s="87"/>
      <c r="H15364" s="90"/>
    </row>
    <row r="15365" spans="7:8">
      <c r="G15365" s="87"/>
      <c r="H15365" s="90"/>
    </row>
    <row r="15366" spans="7:8">
      <c r="G15366" s="87"/>
      <c r="H15366" s="90"/>
    </row>
    <row r="15367" spans="7:8">
      <c r="G15367" s="87"/>
      <c r="H15367" s="90"/>
    </row>
    <row r="15368" spans="7:8">
      <c r="G15368" s="87"/>
      <c r="H15368" s="90"/>
    </row>
    <row r="15369" spans="7:8">
      <c r="G15369" s="87"/>
      <c r="H15369" s="90"/>
    </row>
    <row r="15370" spans="7:8">
      <c r="G15370" s="87"/>
      <c r="H15370" s="90"/>
    </row>
    <row r="15371" spans="7:8">
      <c r="G15371" s="87"/>
      <c r="H15371" s="90"/>
    </row>
    <row r="15372" spans="7:8">
      <c r="G15372" s="87"/>
      <c r="H15372" s="90"/>
    </row>
    <row r="15373" spans="7:8">
      <c r="G15373" s="87"/>
      <c r="H15373" s="90"/>
    </row>
    <row r="15374" spans="7:8">
      <c r="G15374" s="87"/>
      <c r="H15374" s="90"/>
    </row>
    <row r="15375" spans="7:8">
      <c r="G15375" s="87"/>
      <c r="H15375" s="90"/>
    </row>
    <row r="15376" spans="7:8">
      <c r="G15376" s="87"/>
      <c r="H15376" s="90"/>
    </row>
    <row r="15377" spans="7:8">
      <c r="G15377" s="87"/>
      <c r="H15377" s="90"/>
    </row>
    <row r="15378" spans="7:8">
      <c r="G15378" s="87"/>
      <c r="H15378" s="90"/>
    </row>
    <row r="15379" spans="7:8">
      <c r="G15379" s="87"/>
      <c r="H15379" s="90"/>
    </row>
    <row r="15380" spans="7:8">
      <c r="G15380" s="87"/>
      <c r="H15380" s="90"/>
    </row>
    <row r="15381" spans="7:8">
      <c r="G15381" s="87"/>
      <c r="H15381" s="90"/>
    </row>
    <row r="15382" spans="7:8">
      <c r="G15382" s="87"/>
      <c r="H15382" s="90"/>
    </row>
    <row r="15383" spans="7:8">
      <c r="G15383" s="87"/>
      <c r="H15383" s="90"/>
    </row>
    <row r="15384" spans="7:8">
      <c r="G15384" s="87"/>
      <c r="H15384" s="90"/>
    </row>
    <row r="15385" spans="7:8">
      <c r="G15385" s="87"/>
      <c r="H15385" s="90"/>
    </row>
    <row r="15386" spans="7:8">
      <c r="G15386" s="87"/>
      <c r="H15386" s="90"/>
    </row>
    <row r="15387" spans="7:8">
      <c r="G15387" s="87"/>
      <c r="H15387" s="90"/>
    </row>
    <row r="15388" spans="7:8">
      <c r="G15388" s="87"/>
      <c r="H15388" s="90"/>
    </row>
    <row r="15389" spans="7:8">
      <c r="G15389" s="87"/>
      <c r="H15389" s="90"/>
    </row>
    <row r="15390" spans="7:8">
      <c r="G15390" s="87"/>
      <c r="H15390" s="90"/>
    </row>
    <row r="15391" spans="7:8">
      <c r="G15391" s="87"/>
      <c r="H15391" s="90"/>
    </row>
    <row r="15392" spans="7:8">
      <c r="G15392" s="87"/>
      <c r="H15392" s="90"/>
    </row>
    <row r="15393" spans="7:8">
      <c r="G15393" s="87"/>
      <c r="H15393" s="90"/>
    </row>
    <row r="15394" spans="7:8">
      <c r="G15394" s="87"/>
      <c r="H15394" s="90"/>
    </row>
    <row r="15395" spans="7:8">
      <c r="G15395" s="87"/>
      <c r="H15395" s="90"/>
    </row>
    <row r="15396" spans="7:8">
      <c r="G15396" s="87"/>
      <c r="H15396" s="90"/>
    </row>
    <row r="15397" spans="7:8">
      <c r="G15397" s="87"/>
      <c r="H15397" s="90"/>
    </row>
    <row r="15398" spans="7:8">
      <c r="G15398" s="87"/>
      <c r="H15398" s="90"/>
    </row>
    <row r="15399" spans="7:8">
      <c r="G15399" s="87"/>
      <c r="H15399" s="90"/>
    </row>
    <row r="15400" spans="7:8">
      <c r="G15400" s="87"/>
      <c r="H15400" s="90"/>
    </row>
    <row r="15401" spans="7:8">
      <c r="G15401" s="87"/>
      <c r="H15401" s="90"/>
    </row>
    <row r="15402" spans="7:8">
      <c r="G15402" s="87"/>
      <c r="H15402" s="90"/>
    </row>
    <row r="15403" spans="7:8">
      <c r="G15403" s="87"/>
      <c r="H15403" s="90"/>
    </row>
    <row r="15404" spans="7:8">
      <c r="G15404" s="87"/>
      <c r="H15404" s="90"/>
    </row>
    <row r="15405" spans="7:8">
      <c r="G15405" s="87"/>
      <c r="H15405" s="90"/>
    </row>
    <row r="15406" spans="7:8">
      <c r="G15406" s="87"/>
      <c r="H15406" s="90"/>
    </row>
    <row r="15407" spans="7:8">
      <c r="G15407" s="87"/>
      <c r="H15407" s="90"/>
    </row>
    <row r="15408" spans="7:8">
      <c r="G15408" s="87"/>
      <c r="H15408" s="90"/>
    </row>
    <row r="15409" spans="7:8">
      <c r="G15409" s="87"/>
      <c r="H15409" s="90"/>
    </row>
    <row r="15410" spans="7:8">
      <c r="G15410" s="87"/>
      <c r="H15410" s="90"/>
    </row>
    <row r="15411" spans="7:8">
      <c r="G15411" s="87"/>
      <c r="H15411" s="90"/>
    </row>
    <row r="15412" spans="7:8">
      <c r="G15412" s="87"/>
      <c r="H15412" s="90"/>
    </row>
    <row r="15413" spans="7:8">
      <c r="G15413" s="87"/>
      <c r="H15413" s="90"/>
    </row>
    <row r="15414" spans="7:8">
      <c r="G15414" s="87"/>
      <c r="H15414" s="90"/>
    </row>
    <row r="15415" spans="7:8">
      <c r="G15415" s="87"/>
      <c r="H15415" s="90"/>
    </row>
    <row r="15416" spans="7:8">
      <c r="G15416" s="87"/>
      <c r="H15416" s="90"/>
    </row>
    <row r="15417" spans="7:8">
      <c r="G15417" s="87"/>
      <c r="H15417" s="90"/>
    </row>
    <row r="15418" spans="7:8">
      <c r="G15418" s="87"/>
      <c r="H15418" s="90"/>
    </row>
    <row r="15419" spans="7:8">
      <c r="G15419" s="87"/>
      <c r="H15419" s="90"/>
    </row>
    <row r="15420" spans="7:8">
      <c r="G15420" s="87"/>
      <c r="H15420" s="90"/>
    </row>
    <row r="15421" spans="7:8">
      <c r="G15421" s="87"/>
      <c r="H15421" s="90"/>
    </row>
    <row r="15422" spans="7:8">
      <c r="G15422" s="87"/>
      <c r="H15422" s="90"/>
    </row>
    <row r="15423" spans="7:8">
      <c r="G15423" s="87"/>
      <c r="H15423" s="90"/>
    </row>
    <row r="15424" spans="7:8">
      <c r="G15424" s="87"/>
      <c r="H15424" s="90"/>
    </row>
    <row r="15425" spans="7:8">
      <c r="G15425" s="87"/>
      <c r="H15425" s="90"/>
    </row>
    <row r="15426" spans="7:8">
      <c r="G15426" s="87"/>
      <c r="H15426" s="90"/>
    </row>
    <row r="15427" spans="7:8">
      <c r="G15427" s="87"/>
      <c r="H15427" s="90"/>
    </row>
    <row r="15428" spans="7:8">
      <c r="G15428" s="87"/>
      <c r="H15428" s="90"/>
    </row>
    <row r="15429" spans="7:8">
      <c r="G15429" s="87"/>
      <c r="H15429" s="90"/>
    </row>
    <row r="15430" spans="7:8">
      <c r="G15430" s="87"/>
      <c r="H15430" s="90"/>
    </row>
    <row r="15431" spans="7:8">
      <c r="G15431" s="87"/>
      <c r="H15431" s="90"/>
    </row>
    <row r="15432" spans="7:8">
      <c r="G15432" s="87"/>
      <c r="H15432" s="90"/>
    </row>
    <row r="15433" spans="7:8">
      <c r="G15433" s="87"/>
      <c r="H15433" s="90"/>
    </row>
    <row r="15434" spans="7:8">
      <c r="G15434" s="87"/>
      <c r="H15434" s="90"/>
    </row>
    <row r="15435" spans="7:8">
      <c r="G15435" s="87"/>
      <c r="H15435" s="90"/>
    </row>
    <row r="15436" spans="7:8">
      <c r="G15436" s="87"/>
      <c r="H15436" s="90"/>
    </row>
    <row r="15437" spans="7:8">
      <c r="G15437" s="87"/>
      <c r="H15437" s="90"/>
    </row>
    <row r="15438" spans="7:8">
      <c r="G15438" s="87"/>
      <c r="H15438" s="90"/>
    </row>
    <row r="15439" spans="7:8">
      <c r="G15439" s="87"/>
      <c r="H15439" s="90"/>
    </row>
    <row r="15440" spans="7:8">
      <c r="G15440" s="87"/>
      <c r="H15440" s="90"/>
    </row>
    <row r="15441" spans="7:8">
      <c r="G15441" s="87"/>
      <c r="H15441" s="90"/>
    </row>
    <row r="15442" spans="7:8">
      <c r="G15442" s="87"/>
      <c r="H15442" s="90"/>
    </row>
    <row r="15443" spans="7:8">
      <c r="G15443" s="87"/>
      <c r="H15443" s="90"/>
    </row>
    <row r="15444" spans="7:8">
      <c r="G15444" s="87"/>
      <c r="H15444" s="90"/>
    </row>
    <row r="15445" spans="7:8">
      <c r="G15445" s="87"/>
      <c r="H15445" s="90"/>
    </row>
    <row r="15446" spans="7:8">
      <c r="G15446" s="87"/>
      <c r="H15446" s="90"/>
    </row>
    <row r="15447" spans="7:8">
      <c r="G15447" s="87"/>
      <c r="H15447" s="90"/>
    </row>
    <row r="15448" spans="7:8">
      <c r="G15448" s="87"/>
      <c r="H15448" s="90"/>
    </row>
    <row r="15449" spans="7:8">
      <c r="G15449" s="87"/>
      <c r="H15449" s="90"/>
    </row>
    <row r="15450" spans="7:8">
      <c r="G15450" s="87"/>
      <c r="H15450" s="90"/>
    </row>
    <row r="15451" spans="7:8">
      <c r="G15451" s="87"/>
      <c r="H15451" s="90"/>
    </row>
    <row r="15452" spans="7:8">
      <c r="G15452" s="87"/>
      <c r="H15452" s="90"/>
    </row>
    <row r="15453" spans="7:8">
      <c r="G15453" s="87"/>
      <c r="H15453" s="90"/>
    </row>
    <row r="15454" spans="7:8">
      <c r="G15454" s="87"/>
      <c r="H15454" s="90"/>
    </row>
    <row r="15455" spans="7:8">
      <c r="G15455" s="87"/>
      <c r="H15455" s="90"/>
    </row>
    <row r="15456" spans="7:8">
      <c r="G15456" s="87"/>
      <c r="H15456" s="90"/>
    </row>
    <row r="15457" spans="7:8">
      <c r="G15457" s="87"/>
      <c r="H15457" s="90"/>
    </row>
    <row r="15458" spans="7:8">
      <c r="G15458" s="87"/>
      <c r="H15458" s="90"/>
    </row>
    <row r="15459" spans="7:8">
      <c r="G15459" s="87"/>
      <c r="H15459" s="90"/>
    </row>
    <row r="15460" spans="7:8">
      <c r="G15460" s="87"/>
      <c r="H15460" s="90"/>
    </row>
    <row r="15461" spans="7:8">
      <c r="G15461" s="87"/>
      <c r="H15461" s="90"/>
    </row>
    <row r="15462" spans="7:8">
      <c r="G15462" s="87"/>
      <c r="H15462" s="90"/>
    </row>
    <row r="15463" spans="7:8">
      <c r="G15463" s="87"/>
      <c r="H15463" s="90"/>
    </row>
    <row r="15464" spans="7:8">
      <c r="G15464" s="87"/>
      <c r="H15464" s="90"/>
    </row>
    <row r="15465" spans="7:8">
      <c r="G15465" s="87"/>
      <c r="H15465" s="90"/>
    </row>
    <row r="15466" spans="7:8">
      <c r="G15466" s="87"/>
      <c r="H15466" s="90"/>
    </row>
    <row r="15467" spans="7:8">
      <c r="G15467" s="87"/>
      <c r="H15467" s="90"/>
    </row>
    <row r="15468" spans="7:8">
      <c r="G15468" s="87"/>
      <c r="H15468" s="90"/>
    </row>
    <row r="15469" spans="7:8">
      <c r="G15469" s="87"/>
      <c r="H15469" s="90"/>
    </row>
    <row r="15470" spans="7:8">
      <c r="G15470" s="87"/>
      <c r="H15470" s="90"/>
    </row>
    <row r="15471" spans="7:8">
      <c r="G15471" s="87"/>
      <c r="H15471" s="90"/>
    </row>
    <row r="15472" spans="7:8">
      <c r="G15472" s="87"/>
      <c r="H15472" s="90"/>
    </row>
    <row r="15473" spans="7:8">
      <c r="G15473" s="87"/>
      <c r="H15473" s="90"/>
    </row>
    <row r="15474" spans="7:8">
      <c r="G15474" s="87"/>
      <c r="H15474" s="90"/>
    </row>
    <row r="15475" spans="7:8">
      <c r="G15475" s="87"/>
      <c r="H15475" s="90"/>
    </row>
    <row r="15476" spans="7:8">
      <c r="G15476" s="87"/>
      <c r="H15476" s="90"/>
    </row>
    <row r="15477" spans="7:8">
      <c r="G15477" s="87"/>
      <c r="H15477" s="90"/>
    </row>
    <row r="15478" spans="7:8">
      <c r="G15478" s="87"/>
      <c r="H15478" s="90"/>
    </row>
    <row r="15479" spans="7:8">
      <c r="G15479" s="87"/>
      <c r="H15479" s="90"/>
    </row>
    <row r="15480" spans="7:8">
      <c r="G15480" s="87"/>
      <c r="H15480" s="90"/>
    </row>
    <row r="15481" spans="7:8">
      <c r="G15481" s="87"/>
      <c r="H15481" s="90"/>
    </row>
    <row r="15482" spans="7:8">
      <c r="G15482" s="87"/>
      <c r="H15482" s="90"/>
    </row>
    <row r="15483" spans="7:8">
      <c r="G15483" s="87"/>
      <c r="H15483" s="90"/>
    </row>
    <row r="15484" spans="7:8">
      <c r="G15484" s="87"/>
      <c r="H15484" s="90"/>
    </row>
    <row r="15485" spans="7:8">
      <c r="G15485" s="87"/>
      <c r="H15485" s="90"/>
    </row>
    <row r="15486" spans="7:8">
      <c r="G15486" s="87"/>
      <c r="H15486" s="90"/>
    </row>
    <row r="15487" spans="7:8">
      <c r="G15487" s="87"/>
      <c r="H15487" s="90"/>
    </row>
    <row r="15488" spans="7:8">
      <c r="G15488" s="87"/>
      <c r="H15488" s="90"/>
    </row>
    <row r="15489" spans="7:8">
      <c r="G15489" s="87"/>
      <c r="H15489" s="90"/>
    </row>
    <row r="15490" spans="7:8">
      <c r="G15490" s="87"/>
      <c r="H15490" s="90"/>
    </row>
    <row r="15491" spans="7:8">
      <c r="G15491" s="87"/>
      <c r="H15491" s="90"/>
    </row>
    <row r="15492" spans="7:8">
      <c r="G15492" s="87"/>
      <c r="H15492" s="90"/>
    </row>
    <row r="15493" spans="7:8">
      <c r="G15493" s="87"/>
      <c r="H15493" s="90"/>
    </row>
    <row r="15494" spans="7:8">
      <c r="G15494" s="87"/>
      <c r="H15494" s="90"/>
    </row>
    <row r="15495" spans="7:8">
      <c r="G15495" s="87"/>
      <c r="H15495" s="90"/>
    </row>
    <row r="15496" spans="7:8">
      <c r="G15496" s="87"/>
      <c r="H15496" s="90"/>
    </row>
    <row r="15497" spans="7:8">
      <c r="G15497" s="87"/>
      <c r="H15497" s="90"/>
    </row>
    <row r="15498" spans="7:8">
      <c r="G15498" s="87"/>
      <c r="H15498" s="90"/>
    </row>
    <row r="15499" spans="7:8">
      <c r="G15499" s="87"/>
      <c r="H15499" s="90"/>
    </row>
    <row r="15500" spans="7:8">
      <c r="G15500" s="87"/>
      <c r="H15500" s="90"/>
    </row>
    <row r="15501" spans="7:8">
      <c r="G15501" s="87"/>
      <c r="H15501" s="90"/>
    </row>
    <row r="15502" spans="7:8">
      <c r="G15502" s="87"/>
      <c r="H15502" s="90"/>
    </row>
    <row r="15503" spans="7:8">
      <c r="G15503" s="87"/>
      <c r="H15503" s="90"/>
    </row>
    <row r="15504" spans="7:8">
      <c r="G15504" s="87"/>
      <c r="H15504" s="90"/>
    </row>
    <row r="15505" spans="7:8">
      <c r="G15505" s="87"/>
      <c r="H15505" s="90"/>
    </row>
    <row r="15506" spans="7:8">
      <c r="G15506" s="87"/>
      <c r="H15506" s="90"/>
    </row>
    <row r="15507" spans="7:8">
      <c r="G15507" s="87"/>
      <c r="H15507" s="90"/>
    </row>
    <row r="15508" spans="7:8">
      <c r="G15508" s="87"/>
      <c r="H15508" s="90"/>
    </row>
    <row r="15509" spans="7:8">
      <c r="G15509" s="87"/>
      <c r="H15509" s="90"/>
    </row>
    <row r="15510" spans="7:8">
      <c r="G15510" s="87"/>
      <c r="H15510" s="90"/>
    </row>
    <row r="15511" spans="7:8">
      <c r="G15511" s="87"/>
      <c r="H15511" s="90"/>
    </row>
    <row r="15512" spans="7:8">
      <c r="G15512" s="87"/>
      <c r="H15512" s="90"/>
    </row>
    <row r="15513" spans="7:8">
      <c r="G15513" s="87"/>
      <c r="H15513" s="90"/>
    </row>
    <row r="15514" spans="7:8">
      <c r="G15514" s="87"/>
      <c r="H15514" s="90"/>
    </row>
    <row r="15515" spans="7:8">
      <c r="G15515" s="87"/>
      <c r="H15515" s="90"/>
    </row>
    <row r="15516" spans="7:8">
      <c r="G15516" s="87"/>
      <c r="H15516" s="90"/>
    </row>
    <row r="15517" spans="7:8">
      <c r="G15517" s="87"/>
      <c r="H15517" s="90"/>
    </row>
    <row r="15518" spans="7:8">
      <c r="G15518" s="87"/>
      <c r="H15518" s="90"/>
    </row>
    <row r="15519" spans="7:8">
      <c r="G15519" s="87"/>
      <c r="H15519" s="90"/>
    </row>
    <row r="15520" spans="7:8">
      <c r="G15520" s="87"/>
      <c r="H15520" s="90"/>
    </row>
    <row r="15521" spans="7:8">
      <c r="G15521" s="87"/>
      <c r="H15521" s="90"/>
    </row>
    <row r="15522" spans="7:8">
      <c r="G15522" s="87"/>
      <c r="H15522" s="90"/>
    </row>
    <row r="15523" spans="7:8">
      <c r="G15523" s="87"/>
      <c r="H15523" s="90"/>
    </row>
    <row r="15524" spans="7:8">
      <c r="G15524" s="87"/>
      <c r="H15524" s="90"/>
    </row>
    <row r="15525" spans="7:8">
      <c r="G15525" s="87"/>
      <c r="H15525" s="90"/>
    </row>
    <row r="15526" spans="7:8">
      <c r="G15526" s="87"/>
      <c r="H15526" s="90"/>
    </row>
    <row r="15527" spans="7:8">
      <c r="G15527" s="87"/>
      <c r="H15527" s="90"/>
    </row>
    <row r="15528" spans="7:8">
      <c r="G15528" s="87"/>
      <c r="H15528" s="90"/>
    </row>
    <row r="15529" spans="7:8">
      <c r="G15529" s="87"/>
      <c r="H15529" s="90"/>
    </row>
    <row r="15530" spans="7:8">
      <c r="G15530" s="87"/>
      <c r="H15530" s="90"/>
    </row>
    <row r="15531" spans="7:8">
      <c r="G15531" s="87"/>
      <c r="H15531" s="90"/>
    </row>
    <row r="15532" spans="7:8">
      <c r="G15532" s="87"/>
      <c r="H15532" s="90"/>
    </row>
    <row r="15533" spans="7:8">
      <c r="G15533" s="87"/>
      <c r="H15533" s="90"/>
    </row>
    <row r="15534" spans="7:8">
      <c r="G15534" s="87"/>
      <c r="H15534" s="90"/>
    </row>
    <row r="15535" spans="7:8">
      <c r="G15535" s="87"/>
      <c r="H15535" s="90"/>
    </row>
    <row r="15536" spans="7:8">
      <c r="G15536" s="87"/>
      <c r="H15536" s="90"/>
    </row>
    <row r="15537" spans="7:8">
      <c r="G15537" s="87"/>
      <c r="H15537" s="90"/>
    </row>
    <row r="15538" spans="7:8">
      <c r="G15538" s="87"/>
      <c r="H15538" s="90"/>
    </row>
    <row r="15539" spans="7:8">
      <c r="G15539" s="87"/>
      <c r="H15539" s="90"/>
    </row>
    <row r="15540" spans="7:8">
      <c r="G15540" s="87"/>
      <c r="H15540" s="90"/>
    </row>
    <row r="15541" spans="7:8">
      <c r="G15541" s="87"/>
      <c r="H15541" s="90"/>
    </row>
    <row r="15542" spans="7:8">
      <c r="G15542" s="87"/>
      <c r="H15542" s="90"/>
    </row>
    <row r="15543" spans="7:8">
      <c r="G15543" s="87"/>
      <c r="H15543" s="90"/>
    </row>
    <row r="15544" spans="7:8">
      <c r="G15544" s="87"/>
      <c r="H15544" s="90"/>
    </row>
    <row r="15545" spans="7:8">
      <c r="G15545" s="87"/>
      <c r="H15545" s="90"/>
    </row>
    <row r="15546" spans="7:8">
      <c r="G15546" s="87"/>
      <c r="H15546" s="90"/>
    </row>
    <row r="15547" spans="7:8">
      <c r="G15547" s="87"/>
      <c r="H15547" s="90"/>
    </row>
    <row r="15548" spans="7:8">
      <c r="G15548" s="87"/>
      <c r="H15548" s="90"/>
    </row>
    <row r="15549" spans="7:8">
      <c r="G15549" s="87"/>
      <c r="H15549" s="90"/>
    </row>
    <row r="15550" spans="7:8">
      <c r="G15550" s="87"/>
      <c r="H15550" s="90"/>
    </row>
    <row r="15551" spans="7:8">
      <c r="G15551" s="87"/>
      <c r="H15551" s="90"/>
    </row>
    <row r="15552" spans="7:8">
      <c r="G15552" s="87"/>
      <c r="H15552" s="90"/>
    </row>
    <row r="15553" spans="7:8">
      <c r="G15553" s="87"/>
      <c r="H15553" s="90"/>
    </row>
    <row r="15554" spans="7:8">
      <c r="G15554" s="87"/>
      <c r="H15554" s="90"/>
    </row>
    <row r="15555" spans="7:8">
      <c r="G15555" s="87"/>
      <c r="H15555" s="90"/>
    </row>
    <row r="15556" spans="7:8">
      <c r="G15556" s="87"/>
      <c r="H15556" s="90"/>
    </row>
    <row r="15557" spans="7:8">
      <c r="G15557" s="87"/>
      <c r="H15557" s="90"/>
    </row>
    <row r="15558" spans="7:8">
      <c r="G15558" s="87"/>
      <c r="H15558" s="90"/>
    </row>
    <row r="15559" spans="7:8">
      <c r="G15559" s="87"/>
      <c r="H15559" s="90"/>
    </row>
    <row r="15560" spans="7:8">
      <c r="G15560" s="87"/>
      <c r="H15560" s="90"/>
    </row>
    <row r="15561" spans="7:8">
      <c r="G15561" s="87"/>
      <c r="H15561" s="90"/>
    </row>
    <row r="15562" spans="7:8">
      <c r="G15562" s="87"/>
      <c r="H15562" s="90"/>
    </row>
    <row r="15563" spans="7:8">
      <c r="G15563" s="87"/>
      <c r="H15563" s="90"/>
    </row>
    <row r="15564" spans="7:8">
      <c r="G15564" s="87"/>
      <c r="H15564" s="90"/>
    </row>
    <row r="15565" spans="7:8">
      <c r="G15565" s="87"/>
      <c r="H15565" s="90"/>
    </row>
    <row r="15566" spans="7:8">
      <c r="G15566" s="87"/>
      <c r="H15566" s="90"/>
    </row>
    <row r="15567" spans="7:8">
      <c r="G15567" s="87"/>
      <c r="H15567" s="90"/>
    </row>
    <row r="15568" spans="7:8">
      <c r="G15568" s="87"/>
      <c r="H15568" s="90"/>
    </row>
    <row r="15569" spans="7:8">
      <c r="G15569" s="87"/>
      <c r="H15569" s="90"/>
    </row>
    <row r="15570" spans="7:8">
      <c r="G15570" s="87"/>
      <c r="H15570" s="90"/>
    </row>
    <row r="15571" spans="7:8">
      <c r="G15571" s="87"/>
      <c r="H15571" s="90"/>
    </row>
    <row r="15572" spans="7:8">
      <c r="G15572" s="87"/>
      <c r="H15572" s="90"/>
    </row>
    <row r="15573" spans="7:8">
      <c r="G15573" s="87"/>
      <c r="H15573" s="90"/>
    </row>
    <row r="15574" spans="7:8">
      <c r="G15574" s="87"/>
      <c r="H15574" s="90"/>
    </row>
    <row r="15575" spans="7:8">
      <c r="G15575" s="87"/>
      <c r="H15575" s="90"/>
    </row>
    <row r="15576" spans="7:8">
      <c r="G15576" s="87"/>
      <c r="H15576" s="90"/>
    </row>
    <row r="15577" spans="7:8">
      <c r="G15577" s="87"/>
      <c r="H15577" s="90"/>
    </row>
    <row r="15578" spans="7:8">
      <c r="G15578" s="87"/>
      <c r="H15578" s="90"/>
    </row>
    <row r="15579" spans="7:8">
      <c r="G15579" s="87"/>
      <c r="H15579" s="90"/>
    </row>
    <row r="15580" spans="7:8">
      <c r="G15580" s="87"/>
      <c r="H15580" s="90"/>
    </row>
    <row r="15581" spans="7:8">
      <c r="G15581" s="87"/>
      <c r="H15581" s="90"/>
    </row>
    <row r="15582" spans="7:8">
      <c r="G15582" s="87"/>
      <c r="H15582" s="90"/>
    </row>
    <row r="15583" spans="7:8">
      <c r="G15583" s="87"/>
      <c r="H15583" s="90"/>
    </row>
    <row r="15584" spans="7:8">
      <c r="G15584" s="87"/>
      <c r="H15584" s="90"/>
    </row>
    <row r="15585" spans="7:8">
      <c r="G15585" s="87"/>
      <c r="H15585" s="90"/>
    </row>
    <row r="15586" spans="7:8">
      <c r="G15586" s="87"/>
      <c r="H15586" s="90"/>
    </row>
    <row r="15587" spans="7:8">
      <c r="G15587" s="87"/>
      <c r="H15587" s="90"/>
    </row>
    <row r="15588" spans="7:8">
      <c r="G15588" s="87"/>
      <c r="H15588" s="90"/>
    </row>
    <row r="15589" spans="7:8">
      <c r="G15589" s="87"/>
      <c r="H15589" s="90"/>
    </row>
    <row r="15590" spans="7:8">
      <c r="G15590" s="87"/>
      <c r="H15590" s="90"/>
    </row>
    <row r="15591" spans="7:8">
      <c r="G15591" s="87"/>
      <c r="H15591" s="90"/>
    </row>
    <row r="15592" spans="7:8">
      <c r="G15592" s="87"/>
      <c r="H15592" s="90"/>
    </row>
    <row r="15593" spans="7:8">
      <c r="G15593" s="87"/>
      <c r="H15593" s="90"/>
    </row>
    <row r="15594" spans="7:8">
      <c r="G15594" s="87"/>
      <c r="H15594" s="90"/>
    </row>
    <row r="15595" spans="7:8">
      <c r="G15595" s="87"/>
      <c r="H15595" s="90"/>
    </row>
    <row r="15596" spans="7:8">
      <c r="G15596" s="87"/>
      <c r="H15596" s="90"/>
    </row>
    <row r="15597" spans="7:8">
      <c r="G15597" s="87"/>
      <c r="H15597" s="90"/>
    </row>
    <row r="15598" spans="7:8">
      <c r="G15598" s="87"/>
      <c r="H15598" s="90"/>
    </row>
    <row r="15599" spans="7:8">
      <c r="G15599" s="87"/>
      <c r="H15599" s="90"/>
    </row>
    <row r="15600" spans="7:8">
      <c r="G15600" s="87"/>
      <c r="H15600" s="90"/>
    </row>
    <row r="15601" spans="7:8">
      <c r="G15601" s="87"/>
      <c r="H15601" s="90"/>
    </row>
    <row r="15602" spans="7:8">
      <c r="G15602" s="87"/>
      <c r="H15602" s="90"/>
    </row>
    <row r="15603" spans="7:8">
      <c r="G15603" s="87"/>
      <c r="H15603" s="90"/>
    </row>
    <row r="15604" spans="7:8">
      <c r="G15604" s="87"/>
      <c r="H15604" s="90"/>
    </row>
    <row r="15605" spans="7:8">
      <c r="G15605" s="87"/>
      <c r="H15605" s="90"/>
    </row>
    <row r="15606" spans="7:8">
      <c r="G15606" s="87"/>
      <c r="H15606" s="90"/>
    </row>
    <row r="15607" spans="7:8">
      <c r="G15607" s="87"/>
      <c r="H15607" s="90"/>
    </row>
    <row r="15608" spans="7:8">
      <c r="G15608" s="87"/>
      <c r="H15608" s="90"/>
    </row>
    <row r="15609" spans="7:8">
      <c r="G15609" s="87"/>
      <c r="H15609" s="90"/>
    </row>
    <row r="15610" spans="7:8">
      <c r="G15610" s="87"/>
      <c r="H15610" s="90"/>
    </row>
    <row r="15611" spans="7:8">
      <c r="G15611" s="87"/>
      <c r="H15611" s="90"/>
    </row>
    <row r="15612" spans="7:8">
      <c r="G15612" s="87"/>
      <c r="H15612" s="90"/>
    </row>
    <row r="15613" spans="7:8">
      <c r="G15613" s="87"/>
      <c r="H15613" s="90"/>
    </row>
    <row r="15614" spans="7:8">
      <c r="G15614" s="87"/>
      <c r="H15614" s="90"/>
    </row>
    <row r="15615" spans="7:8">
      <c r="G15615" s="87"/>
      <c r="H15615" s="90"/>
    </row>
    <row r="15616" spans="7:8">
      <c r="G15616" s="87"/>
      <c r="H15616" s="90"/>
    </row>
    <row r="15617" spans="7:8">
      <c r="G15617" s="87"/>
      <c r="H15617" s="90"/>
    </row>
    <row r="15618" spans="7:8">
      <c r="G15618" s="87"/>
      <c r="H15618" s="90"/>
    </row>
    <row r="15619" spans="7:8">
      <c r="G15619" s="87"/>
      <c r="H15619" s="90"/>
    </row>
    <row r="15620" spans="7:8">
      <c r="G15620" s="87"/>
      <c r="H15620" s="90"/>
    </row>
    <row r="15621" spans="7:8">
      <c r="G15621" s="87"/>
      <c r="H15621" s="90"/>
    </row>
    <row r="15622" spans="7:8">
      <c r="G15622" s="87"/>
      <c r="H15622" s="90"/>
    </row>
    <row r="15623" spans="7:8">
      <c r="G15623" s="87"/>
      <c r="H15623" s="90"/>
    </row>
    <row r="15624" spans="7:8">
      <c r="G15624" s="87"/>
      <c r="H15624" s="90"/>
    </row>
    <row r="15625" spans="7:8">
      <c r="G15625" s="87"/>
      <c r="H15625" s="90"/>
    </row>
    <row r="15626" spans="7:8">
      <c r="G15626" s="87"/>
      <c r="H15626" s="90"/>
    </row>
    <row r="15627" spans="7:8">
      <c r="G15627" s="87"/>
      <c r="H15627" s="90"/>
    </row>
    <row r="15628" spans="7:8">
      <c r="G15628" s="87"/>
      <c r="H15628" s="90"/>
    </row>
    <row r="15629" spans="7:8">
      <c r="G15629" s="87"/>
      <c r="H15629" s="90"/>
    </row>
    <row r="15630" spans="7:8">
      <c r="G15630" s="87"/>
      <c r="H15630" s="90"/>
    </row>
    <row r="15631" spans="7:8">
      <c r="G15631" s="87"/>
      <c r="H15631" s="90"/>
    </row>
    <row r="15632" spans="7:8">
      <c r="G15632" s="87"/>
      <c r="H15632" s="90"/>
    </row>
    <row r="15633" spans="7:8">
      <c r="G15633" s="87"/>
      <c r="H15633" s="90"/>
    </row>
    <row r="15634" spans="7:8">
      <c r="G15634" s="87"/>
      <c r="H15634" s="90"/>
    </row>
    <row r="15635" spans="7:8">
      <c r="G15635" s="87"/>
      <c r="H15635" s="90"/>
    </row>
    <row r="15636" spans="7:8">
      <c r="G15636" s="87"/>
      <c r="H15636" s="90"/>
    </row>
    <row r="15637" spans="7:8">
      <c r="G15637" s="87"/>
      <c r="H15637" s="90"/>
    </row>
    <row r="15638" spans="7:8">
      <c r="G15638" s="87"/>
      <c r="H15638" s="90"/>
    </row>
    <row r="15639" spans="7:8">
      <c r="G15639" s="87"/>
      <c r="H15639" s="90"/>
    </row>
    <row r="15640" spans="7:8">
      <c r="G15640" s="87"/>
      <c r="H15640" s="90"/>
    </row>
    <row r="15641" spans="7:8">
      <c r="G15641" s="87"/>
      <c r="H15641" s="90"/>
    </row>
    <row r="15642" spans="7:8">
      <c r="G15642" s="87"/>
      <c r="H15642" s="90"/>
    </row>
    <row r="15643" spans="7:8">
      <c r="G15643" s="87"/>
      <c r="H15643" s="90"/>
    </row>
    <row r="15644" spans="7:8">
      <c r="G15644" s="87"/>
      <c r="H15644" s="90"/>
    </row>
    <row r="15645" spans="7:8">
      <c r="G15645" s="87"/>
      <c r="H15645" s="90"/>
    </row>
    <row r="15646" spans="7:8">
      <c r="G15646" s="87"/>
      <c r="H15646" s="90"/>
    </row>
    <row r="15647" spans="7:8">
      <c r="G15647" s="87"/>
      <c r="H15647" s="90"/>
    </row>
    <row r="15648" spans="7:8">
      <c r="G15648" s="87"/>
      <c r="H15648" s="90"/>
    </row>
    <row r="15649" spans="7:8">
      <c r="G15649" s="87"/>
      <c r="H15649" s="90"/>
    </row>
    <row r="15650" spans="7:8">
      <c r="G15650" s="87"/>
      <c r="H15650" s="90"/>
    </row>
    <row r="15651" spans="7:8">
      <c r="G15651" s="87"/>
      <c r="H15651" s="90"/>
    </row>
    <row r="15652" spans="7:8">
      <c r="G15652" s="87"/>
      <c r="H15652" s="90"/>
    </row>
    <row r="15653" spans="7:8">
      <c r="G15653" s="87"/>
      <c r="H15653" s="90"/>
    </row>
    <row r="15654" spans="7:8">
      <c r="G15654" s="87"/>
      <c r="H15654" s="90"/>
    </row>
    <row r="15655" spans="7:8">
      <c r="G15655" s="87"/>
      <c r="H15655" s="90"/>
    </row>
    <row r="15656" spans="7:8">
      <c r="G15656" s="87"/>
      <c r="H15656" s="90"/>
    </row>
    <row r="15657" spans="7:8">
      <c r="G15657" s="87"/>
      <c r="H15657" s="90"/>
    </row>
    <row r="15658" spans="7:8">
      <c r="G15658" s="87"/>
      <c r="H15658" s="90"/>
    </row>
    <row r="15659" spans="7:8">
      <c r="G15659" s="87"/>
      <c r="H15659" s="90"/>
    </row>
    <row r="15660" spans="7:8">
      <c r="G15660" s="87"/>
      <c r="H15660" s="90"/>
    </row>
    <row r="15661" spans="7:8">
      <c r="G15661" s="87"/>
      <c r="H15661" s="90"/>
    </row>
    <row r="15662" spans="7:8">
      <c r="G15662" s="87"/>
      <c r="H15662" s="90"/>
    </row>
    <row r="15663" spans="7:8">
      <c r="G15663" s="87"/>
      <c r="H15663" s="90"/>
    </row>
    <row r="15664" spans="7:8">
      <c r="G15664" s="87"/>
      <c r="H15664" s="90"/>
    </row>
    <row r="15665" spans="7:8">
      <c r="G15665" s="87"/>
      <c r="H15665" s="90"/>
    </row>
    <row r="15666" spans="7:8">
      <c r="G15666" s="87"/>
      <c r="H15666" s="90"/>
    </row>
    <row r="15667" spans="7:8">
      <c r="G15667" s="87"/>
      <c r="H15667" s="90"/>
    </row>
    <row r="15668" spans="7:8">
      <c r="G15668" s="87"/>
      <c r="H15668" s="90"/>
    </row>
    <row r="15669" spans="7:8">
      <c r="G15669" s="87"/>
      <c r="H15669" s="90"/>
    </row>
    <row r="15670" spans="7:8">
      <c r="G15670" s="87"/>
      <c r="H15670" s="90"/>
    </row>
    <row r="15671" spans="7:8">
      <c r="G15671" s="87"/>
      <c r="H15671" s="90"/>
    </row>
    <row r="15672" spans="7:8">
      <c r="G15672" s="87"/>
      <c r="H15672" s="90"/>
    </row>
    <row r="15673" spans="7:8">
      <c r="G15673" s="87"/>
      <c r="H15673" s="90"/>
    </row>
    <row r="15674" spans="7:8">
      <c r="G15674" s="87"/>
      <c r="H15674" s="90"/>
    </row>
    <row r="15675" spans="7:8">
      <c r="G15675" s="87"/>
      <c r="H15675" s="90"/>
    </row>
    <row r="15676" spans="7:8">
      <c r="G15676" s="87"/>
      <c r="H15676" s="90"/>
    </row>
    <row r="15677" spans="7:8">
      <c r="G15677" s="87"/>
      <c r="H15677" s="90"/>
    </row>
    <row r="15678" spans="7:8">
      <c r="G15678" s="87"/>
      <c r="H15678" s="90"/>
    </row>
    <row r="15679" spans="7:8">
      <c r="G15679" s="87"/>
      <c r="H15679" s="90"/>
    </row>
    <row r="15680" spans="7:8">
      <c r="G15680" s="87"/>
      <c r="H15680" s="90"/>
    </row>
    <row r="15681" spans="7:8">
      <c r="G15681" s="87"/>
      <c r="H15681" s="90"/>
    </row>
    <row r="15682" spans="7:8">
      <c r="G15682" s="87"/>
      <c r="H15682" s="90"/>
    </row>
    <row r="15683" spans="7:8">
      <c r="G15683" s="87"/>
      <c r="H15683" s="90"/>
    </row>
    <row r="15684" spans="7:8">
      <c r="G15684" s="87"/>
      <c r="H15684" s="90"/>
    </row>
    <row r="15685" spans="7:8">
      <c r="G15685" s="87"/>
      <c r="H15685" s="90"/>
    </row>
    <row r="15686" spans="7:8">
      <c r="G15686" s="87"/>
      <c r="H15686" s="90"/>
    </row>
    <row r="15687" spans="7:8">
      <c r="G15687" s="87"/>
      <c r="H15687" s="90"/>
    </row>
    <row r="15688" spans="7:8">
      <c r="G15688" s="87"/>
      <c r="H15688" s="90"/>
    </row>
    <row r="15689" spans="7:8">
      <c r="G15689" s="87"/>
      <c r="H15689" s="90"/>
    </row>
    <row r="15690" spans="7:8">
      <c r="G15690" s="87"/>
      <c r="H15690" s="90"/>
    </row>
    <row r="15691" spans="7:8">
      <c r="G15691" s="87"/>
      <c r="H15691" s="90"/>
    </row>
    <row r="15692" spans="7:8">
      <c r="G15692" s="87"/>
      <c r="H15692" s="90"/>
    </row>
    <row r="15693" spans="7:8">
      <c r="G15693" s="87"/>
      <c r="H15693" s="90"/>
    </row>
    <row r="15694" spans="7:8">
      <c r="G15694" s="87"/>
      <c r="H15694" s="90"/>
    </row>
    <row r="15695" spans="7:8">
      <c r="G15695" s="87"/>
      <c r="H15695" s="90"/>
    </row>
    <row r="15696" spans="7:8">
      <c r="G15696" s="87"/>
      <c r="H15696" s="90"/>
    </row>
    <row r="15697" spans="7:8">
      <c r="G15697" s="87"/>
      <c r="H15697" s="90"/>
    </row>
    <row r="15698" spans="7:8">
      <c r="G15698" s="87"/>
      <c r="H15698" s="90"/>
    </row>
    <row r="15699" spans="7:8">
      <c r="G15699" s="87"/>
      <c r="H15699" s="90"/>
    </row>
    <row r="15700" spans="7:8">
      <c r="G15700" s="87"/>
      <c r="H15700" s="90"/>
    </row>
    <row r="15701" spans="7:8">
      <c r="G15701" s="87"/>
      <c r="H15701" s="90"/>
    </row>
    <row r="15702" spans="7:8">
      <c r="G15702" s="87"/>
      <c r="H15702" s="90"/>
    </row>
    <row r="15703" spans="7:8">
      <c r="G15703" s="87"/>
      <c r="H15703" s="90"/>
    </row>
    <row r="15704" spans="7:8">
      <c r="G15704" s="87"/>
      <c r="H15704" s="90"/>
    </row>
    <row r="15705" spans="7:8">
      <c r="G15705" s="87"/>
      <c r="H15705" s="90"/>
    </row>
    <row r="15706" spans="7:8">
      <c r="G15706" s="87"/>
      <c r="H15706" s="90"/>
    </row>
    <row r="15707" spans="7:8">
      <c r="G15707" s="87"/>
      <c r="H15707" s="90"/>
    </row>
    <row r="15708" spans="7:8">
      <c r="G15708" s="87"/>
      <c r="H15708" s="90"/>
    </row>
    <row r="15709" spans="7:8">
      <c r="G15709" s="87"/>
      <c r="H15709" s="90"/>
    </row>
    <row r="15710" spans="7:8">
      <c r="G15710" s="87"/>
      <c r="H15710" s="90"/>
    </row>
    <row r="15711" spans="7:8">
      <c r="G15711" s="87"/>
      <c r="H15711" s="90"/>
    </row>
    <row r="15712" spans="7:8">
      <c r="G15712" s="87"/>
      <c r="H15712" s="90"/>
    </row>
    <row r="15713" spans="7:8">
      <c r="G15713" s="87"/>
      <c r="H15713" s="90"/>
    </row>
    <row r="15714" spans="7:8">
      <c r="G15714" s="87"/>
      <c r="H15714" s="90"/>
    </row>
    <row r="15715" spans="7:8">
      <c r="G15715" s="87"/>
      <c r="H15715" s="90"/>
    </row>
    <row r="15716" spans="7:8">
      <c r="G15716" s="87"/>
      <c r="H15716" s="90"/>
    </row>
    <row r="15717" spans="7:8">
      <c r="G15717" s="87"/>
      <c r="H15717" s="90"/>
    </row>
    <row r="15718" spans="7:8">
      <c r="G15718" s="87"/>
      <c r="H15718" s="90"/>
    </row>
    <row r="15719" spans="7:8">
      <c r="G15719" s="87"/>
      <c r="H15719" s="90"/>
    </row>
    <row r="15720" spans="7:8">
      <c r="G15720" s="87"/>
      <c r="H15720" s="90"/>
    </row>
    <row r="15721" spans="7:8">
      <c r="G15721" s="87"/>
      <c r="H15721" s="90"/>
    </row>
    <row r="15722" spans="7:8">
      <c r="G15722" s="87"/>
      <c r="H15722" s="90"/>
    </row>
    <row r="15723" spans="7:8">
      <c r="G15723" s="87"/>
      <c r="H15723" s="90"/>
    </row>
    <row r="15724" spans="7:8">
      <c r="G15724" s="87"/>
      <c r="H15724" s="90"/>
    </row>
    <row r="15725" spans="7:8">
      <c r="G15725" s="87"/>
      <c r="H15725" s="90"/>
    </row>
    <row r="15726" spans="7:8">
      <c r="G15726" s="87"/>
      <c r="H15726" s="90"/>
    </row>
    <row r="15727" spans="7:8">
      <c r="G15727" s="87"/>
      <c r="H15727" s="90"/>
    </row>
    <row r="15728" spans="7:8">
      <c r="G15728" s="87"/>
      <c r="H15728" s="90"/>
    </row>
    <row r="15729" spans="7:8">
      <c r="G15729" s="87"/>
      <c r="H15729" s="90"/>
    </row>
    <row r="15730" spans="7:8">
      <c r="G15730" s="87"/>
      <c r="H15730" s="90"/>
    </row>
    <row r="15731" spans="7:8">
      <c r="G15731" s="87"/>
      <c r="H15731" s="90"/>
    </row>
    <row r="15732" spans="7:8">
      <c r="G15732" s="87"/>
      <c r="H15732" s="90"/>
    </row>
    <row r="15733" spans="7:8">
      <c r="G15733" s="87"/>
      <c r="H15733" s="90"/>
    </row>
    <row r="15734" spans="7:8">
      <c r="G15734" s="87"/>
      <c r="H15734" s="90"/>
    </row>
    <row r="15735" spans="7:8">
      <c r="G15735" s="87"/>
      <c r="H15735" s="90"/>
    </row>
    <row r="15736" spans="7:8">
      <c r="G15736" s="87"/>
      <c r="H15736" s="90"/>
    </row>
    <row r="15737" spans="7:8">
      <c r="G15737" s="87"/>
      <c r="H15737" s="90"/>
    </row>
    <row r="15738" spans="7:8">
      <c r="G15738" s="87"/>
      <c r="H15738" s="90"/>
    </row>
    <row r="15739" spans="7:8">
      <c r="G15739" s="87"/>
      <c r="H15739" s="90"/>
    </row>
    <row r="15740" spans="7:8">
      <c r="G15740" s="87"/>
      <c r="H15740" s="90"/>
    </row>
    <row r="15741" spans="7:8">
      <c r="G15741" s="87"/>
      <c r="H15741" s="90"/>
    </row>
    <row r="15742" spans="7:8">
      <c r="G15742" s="87"/>
      <c r="H15742" s="90"/>
    </row>
    <row r="15743" spans="7:8">
      <c r="G15743" s="87"/>
      <c r="H15743" s="90"/>
    </row>
    <row r="15744" spans="7:8">
      <c r="G15744" s="87"/>
      <c r="H15744" s="90"/>
    </row>
    <row r="15745" spans="7:8">
      <c r="G15745" s="87"/>
      <c r="H15745" s="90"/>
    </row>
    <row r="15746" spans="7:8">
      <c r="G15746" s="87"/>
      <c r="H15746" s="90"/>
    </row>
    <row r="15747" spans="7:8">
      <c r="G15747" s="87"/>
      <c r="H15747" s="90"/>
    </row>
    <row r="15748" spans="7:8">
      <c r="G15748" s="87"/>
      <c r="H15748" s="90"/>
    </row>
    <row r="15749" spans="7:8">
      <c r="G15749" s="87"/>
      <c r="H15749" s="90"/>
    </row>
    <row r="15750" spans="7:8">
      <c r="G15750" s="87"/>
      <c r="H15750" s="90"/>
    </row>
    <row r="15751" spans="7:8">
      <c r="G15751" s="87"/>
      <c r="H15751" s="90"/>
    </row>
    <row r="15752" spans="7:8">
      <c r="G15752" s="87"/>
      <c r="H15752" s="90"/>
    </row>
    <row r="15753" spans="7:8">
      <c r="G15753" s="87"/>
      <c r="H15753" s="90"/>
    </row>
    <row r="15754" spans="7:8">
      <c r="G15754" s="87"/>
      <c r="H15754" s="90"/>
    </row>
    <row r="15755" spans="7:8">
      <c r="G15755" s="87"/>
      <c r="H15755" s="90"/>
    </row>
    <row r="15756" spans="7:8">
      <c r="G15756" s="87"/>
      <c r="H15756" s="90"/>
    </row>
    <row r="15757" spans="7:8">
      <c r="G15757" s="87"/>
      <c r="H15757" s="90"/>
    </row>
    <row r="15758" spans="7:8">
      <c r="G15758" s="87"/>
      <c r="H15758" s="90"/>
    </row>
    <row r="15759" spans="7:8">
      <c r="G15759" s="87"/>
      <c r="H15759" s="90"/>
    </row>
    <row r="15760" spans="7:8">
      <c r="G15760" s="87"/>
      <c r="H15760" s="90"/>
    </row>
    <row r="15761" spans="7:8">
      <c r="G15761" s="87"/>
      <c r="H15761" s="90"/>
    </row>
    <row r="15762" spans="7:8">
      <c r="G15762" s="87"/>
      <c r="H15762" s="90"/>
    </row>
    <row r="15763" spans="7:8">
      <c r="G15763" s="87"/>
      <c r="H15763" s="90"/>
    </row>
    <row r="15764" spans="7:8">
      <c r="G15764" s="87"/>
      <c r="H15764" s="90"/>
    </row>
    <row r="15765" spans="7:8">
      <c r="G15765" s="87"/>
      <c r="H15765" s="90"/>
    </row>
    <row r="15766" spans="7:8">
      <c r="G15766" s="87"/>
      <c r="H15766" s="90"/>
    </row>
    <row r="15767" spans="7:8">
      <c r="G15767" s="87"/>
      <c r="H15767" s="90"/>
    </row>
    <row r="15768" spans="7:8">
      <c r="G15768" s="87"/>
      <c r="H15768" s="90"/>
    </row>
    <row r="15769" spans="7:8">
      <c r="G15769" s="87"/>
      <c r="H15769" s="90"/>
    </row>
    <row r="15770" spans="7:8">
      <c r="G15770" s="87"/>
      <c r="H15770" s="90"/>
    </row>
    <row r="15771" spans="7:8">
      <c r="G15771" s="87"/>
      <c r="H15771" s="90"/>
    </row>
    <row r="15772" spans="7:8">
      <c r="G15772" s="87"/>
      <c r="H15772" s="90"/>
    </row>
    <row r="15773" spans="7:8">
      <c r="G15773" s="87"/>
      <c r="H15773" s="90"/>
    </row>
    <row r="15774" spans="7:8">
      <c r="G15774" s="87"/>
      <c r="H15774" s="90"/>
    </row>
    <row r="15775" spans="7:8">
      <c r="G15775" s="87"/>
      <c r="H15775" s="90"/>
    </row>
    <row r="15776" spans="7:8">
      <c r="G15776" s="87"/>
      <c r="H15776" s="90"/>
    </row>
    <row r="15777" spans="7:8">
      <c r="G15777" s="87"/>
      <c r="H15777" s="90"/>
    </row>
    <row r="15778" spans="7:8">
      <c r="G15778" s="87"/>
      <c r="H15778" s="90"/>
    </row>
    <row r="15779" spans="7:8">
      <c r="G15779" s="87"/>
      <c r="H15779" s="90"/>
    </row>
    <row r="15780" spans="7:8">
      <c r="G15780" s="87"/>
      <c r="H15780" s="90"/>
    </row>
    <row r="15781" spans="7:8">
      <c r="G15781" s="87"/>
      <c r="H15781" s="90"/>
    </row>
    <row r="15782" spans="7:8">
      <c r="G15782" s="87"/>
      <c r="H15782" s="90"/>
    </row>
    <row r="15783" spans="7:8">
      <c r="G15783" s="87"/>
      <c r="H15783" s="90"/>
    </row>
    <row r="15784" spans="7:8">
      <c r="G15784" s="87"/>
      <c r="H15784" s="90"/>
    </row>
    <row r="15785" spans="7:8">
      <c r="G15785" s="87"/>
      <c r="H15785" s="90"/>
    </row>
    <row r="15786" spans="7:8">
      <c r="G15786" s="87"/>
      <c r="H15786" s="90"/>
    </row>
    <row r="15787" spans="7:8">
      <c r="G15787" s="87"/>
      <c r="H15787" s="90"/>
    </row>
    <row r="15788" spans="7:8">
      <c r="G15788" s="87"/>
      <c r="H15788" s="90"/>
    </row>
    <row r="15789" spans="7:8">
      <c r="G15789" s="87"/>
      <c r="H15789" s="90"/>
    </row>
    <row r="15790" spans="7:8">
      <c r="G15790" s="87"/>
      <c r="H15790" s="90"/>
    </row>
    <row r="15791" spans="7:8">
      <c r="G15791" s="87"/>
      <c r="H15791" s="90"/>
    </row>
    <row r="15792" spans="7:8">
      <c r="G15792" s="87"/>
      <c r="H15792" s="90"/>
    </row>
    <row r="15793" spans="7:8">
      <c r="G15793" s="87"/>
      <c r="H15793" s="90"/>
    </row>
    <row r="15794" spans="7:8">
      <c r="G15794" s="87"/>
      <c r="H15794" s="90"/>
    </row>
    <row r="15795" spans="7:8">
      <c r="G15795" s="87"/>
      <c r="H15795" s="90"/>
    </row>
    <row r="15796" spans="7:8">
      <c r="G15796" s="87"/>
      <c r="H15796" s="90"/>
    </row>
    <row r="15797" spans="7:8">
      <c r="G15797" s="87"/>
      <c r="H15797" s="90"/>
    </row>
    <row r="15798" spans="7:8">
      <c r="G15798" s="87"/>
      <c r="H15798" s="90"/>
    </row>
    <row r="15799" spans="7:8">
      <c r="G15799" s="87"/>
      <c r="H15799" s="90"/>
    </row>
    <row r="15800" spans="7:8">
      <c r="G15800" s="87"/>
      <c r="H15800" s="90"/>
    </row>
    <row r="15801" spans="7:8">
      <c r="G15801" s="87"/>
      <c r="H15801" s="90"/>
    </row>
    <row r="15802" spans="7:8">
      <c r="G15802" s="87"/>
      <c r="H15802" s="90"/>
    </row>
    <row r="15803" spans="7:8">
      <c r="G15803" s="87"/>
      <c r="H15803" s="90"/>
    </row>
    <row r="15804" spans="7:8">
      <c r="G15804" s="87"/>
      <c r="H15804" s="90"/>
    </row>
    <row r="15805" spans="7:8">
      <c r="G15805" s="87"/>
      <c r="H15805" s="90"/>
    </row>
    <row r="15806" spans="7:8">
      <c r="G15806" s="87"/>
      <c r="H15806" s="90"/>
    </row>
    <row r="15807" spans="7:8">
      <c r="G15807" s="87"/>
      <c r="H15807" s="90"/>
    </row>
    <row r="15808" spans="7:8">
      <c r="G15808" s="87"/>
      <c r="H15808" s="90"/>
    </row>
    <row r="15809" spans="7:8">
      <c r="G15809" s="87"/>
      <c r="H15809" s="90"/>
    </row>
    <row r="15810" spans="7:8">
      <c r="G15810" s="87"/>
      <c r="H15810" s="90"/>
    </row>
    <row r="15811" spans="7:8">
      <c r="G15811" s="87"/>
      <c r="H15811" s="90"/>
    </row>
    <row r="15812" spans="7:8">
      <c r="G15812" s="87"/>
      <c r="H15812" s="90"/>
    </row>
    <row r="15813" spans="7:8">
      <c r="G15813" s="87"/>
      <c r="H15813" s="90"/>
    </row>
    <row r="15814" spans="7:8">
      <c r="G15814" s="87"/>
      <c r="H15814" s="90"/>
    </row>
    <row r="15815" spans="7:8">
      <c r="G15815" s="87"/>
      <c r="H15815" s="90"/>
    </row>
    <row r="15816" spans="7:8">
      <c r="G15816" s="87"/>
      <c r="H15816" s="90"/>
    </row>
    <row r="15817" spans="7:8">
      <c r="G15817" s="87"/>
      <c r="H15817" s="90"/>
    </row>
    <row r="15818" spans="7:8">
      <c r="G15818" s="87"/>
      <c r="H15818" s="90"/>
    </row>
    <row r="15819" spans="7:8">
      <c r="G15819" s="87"/>
      <c r="H15819" s="90"/>
    </row>
    <row r="15820" spans="7:8">
      <c r="G15820" s="87"/>
      <c r="H15820" s="90"/>
    </row>
    <row r="15821" spans="7:8">
      <c r="G15821" s="87"/>
      <c r="H15821" s="90"/>
    </row>
    <row r="15822" spans="7:8">
      <c r="G15822" s="87"/>
      <c r="H15822" s="90"/>
    </row>
    <row r="15823" spans="7:8">
      <c r="G15823" s="87"/>
      <c r="H15823" s="90"/>
    </row>
    <row r="15824" spans="7:8">
      <c r="G15824" s="87"/>
      <c r="H15824" s="90"/>
    </row>
    <row r="15825" spans="7:8">
      <c r="G15825" s="87"/>
      <c r="H15825" s="90"/>
    </row>
    <row r="15826" spans="7:8">
      <c r="G15826" s="87"/>
      <c r="H15826" s="90"/>
    </row>
    <row r="15827" spans="7:8">
      <c r="G15827" s="87"/>
      <c r="H15827" s="90"/>
    </row>
    <row r="15828" spans="7:8">
      <c r="G15828" s="87"/>
      <c r="H15828" s="90"/>
    </row>
    <row r="15829" spans="7:8">
      <c r="G15829" s="87"/>
      <c r="H15829" s="90"/>
    </row>
    <row r="15830" spans="7:8">
      <c r="G15830" s="87"/>
      <c r="H15830" s="90"/>
    </row>
    <row r="15831" spans="7:8">
      <c r="G15831" s="87"/>
      <c r="H15831" s="90"/>
    </row>
    <row r="15832" spans="7:8">
      <c r="G15832" s="87"/>
      <c r="H15832" s="90"/>
    </row>
    <row r="15833" spans="7:8">
      <c r="G15833" s="87"/>
      <c r="H15833" s="90"/>
    </row>
    <row r="15834" spans="7:8">
      <c r="G15834" s="87"/>
      <c r="H15834" s="90"/>
    </row>
    <row r="15835" spans="7:8">
      <c r="G15835" s="87"/>
      <c r="H15835" s="90"/>
    </row>
    <row r="15836" spans="7:8">
      <c r="G15836" s="87"/>
      <c r="H15836" s="90"/>
    </row>
    <row r="15837" spans="7:8">
      <c r="G15837" s="87"/>
      <c r="H15837" s="90"/>
    </row>
    <row r="15838" spans="7:8">
      <c r="G15838" s="87"/>
      <c r="H15838" s="90"/>
    </row>
    <row r="15839" spans="7:8">
      <c r="G15839" s="87"/>
      <c r="H15839" s="90"/>
    </row>
    <row r="15840" spans="7:8">
      <c r="G15840" s="87"/>
      <c r="H15840" s="90"/>
    </row>
    <row r="15841" spans="7:8">
      <c r="G15841" s="87"/>
      <c r="H15841" s="90"/>
    </row>
    <row r="15842" spans="7:8">
      <c r="G15842" s="87"/>
      <c r="H15842" s="90"/>
    </row>
    <row r="15843" spans="7:8">
      <c r="G15843" s="87"/>
      <c r="H15843" s="90"/>
    </row>
    <row r="15844" spans="7:8">
      <c r="G15844" s="87"/>
      <c r="H15844" s="90"/>
    </row>
    <row r="15845" spans="7:8">
      <c r="G15845" s="87"/>
      <c r="H15845" s="90"/>
    </row>
    <row r="15846" spans="7:8">
      <c r="G15846" s="87"/>
      <c r="H15846" s="90"/>
    </row>
    <row r="15847" spans="7:8">
      <c r="G15847" s="87"/>
      <c r="H15847" s="90"/>
    </row>
    <row r="15848" spans="7:8">
      <c r="G15848" s="87"/>
      <c r="H15848" s="90"/>
    </row>
    <row r="15849" spans="7:8">
      <c r="G15849" s="87"/>
      <c r="H15849" s="90"/>
    </row>
    <row r="15850" spans="7:8">
      <c r="G15850" s="87"/>
      <c r="H15850" s="90"/>
    </row>
    <row r="15851" spans="7:8">
      <c r="G15851" s="87"/>
      <c r="H15851" s="90"/>
    </row>
    <row r="15852" spans="7:8">
      <c r="G15852" s="87"/>
      <c r="H15852" s="90"/>
    </row>
    <row r="15853" spans="7:8">
      <c r="G15853" s="87"/>
      <c r="H15853" s="90"/>
    </row>
    <row r="15854" spans="7:8">
      <c r="G15854" s="87"/>
      <c r="H15854" s="90"/>
    </row>
    <row r="15855" spans="7:8">
      <c r="G15855" s="87"/>
      <c r="H15855" s="90"/>
    </row>
    <row r="15856" spans="7:8">
      <c r="G15856" s="87"/>
      <c r="H15856" s="90"/>
    </row>
    <row r="15857" spans="7:8">
      <c r="G15857" s="87"/>
      <c r="H15857" s="90"/>
    </row>
    <row r="15858" spans="7:8">
      <c r="G15858" s="87"/>
      <c r="H15858" s="90"/>
    </row>
    <row r="15859" spans="7:8">
      <c r="G15859" s="87"/>
      <c r="H15859" s="90"/>
    </row>
    <row r="15860" spans="7:8">
      <c r="G15860" s="87"/>
      <c r="H15860" s="90"/>
    </row>
    <row r="15861" spans="7:8">
      <c r="G15861" s="87"/>
      <c r="H15861" s="90"/>
    </row>
    <row r="15862" spans="7:8">
      <c r="G15862" s="87"/>
      <c r="H15862" s="90"/>
    </row>
    <row r="15863" spans="7:8">
      <c r="G15863" s="87"/>
      <c r="H15863" s="90"/>
    </row>
    <row r="15864" spans="7:8">
      <c r="G15864" s="87"/>
      <c r="H15864" s="90"/>
    </row>
    <row r="15865" spans="7:8">
      <c r="G15865" s="87"/>
      <c r="H15865" s="90"/>
    </row>
    <row r="15866" spans="7:8">
      <c r="G15866" s="87"/>
      <c r="H15866" s="90"/>
    </row>
    <row r="15867" spans="7:8">
      <c r="G15867" s="87"/>
      <c r="H15867" s="90"/>
    </row>
    <row r="15868" spans="7:8">
      <c r="G15868" s="87"/>
      <c r="H15868" s="90"/>
    </row>
    <row r="15869" spans="7:8">
      <c r="G15869" s="87"/>
      <c r="H15869" s="90"/>
    </row>
    <row r="15870" spans="7:8">
      <c r="G15870" s="87"/>
      <c r="H15870" s="90"/>
    </row>
    <row r="15871" spans="7:8">
      <c r="G15871" s="87"/>
      <c r="H15871" s="90"/>
    </row>
    <row r="15872" spans="7:8">
      <c r="G15872" s="87"/>
      <c r="H15872" s="90"/>
    </row>
    <row r="15873" spans="7:8">
      <c r="G15873" s="87"/>
      <c r="H15873" s="90"/>
    </row>
    <row r="15874" spans="7:8">
      <c r="G15874" s="87"/>
      <c r="H15874" s="90"/>
    </row>
    <row r="15875" spans="7:8">
      <c r="G15875" s="87"/>
      <c r="H15875" s="90"/>
    </row>
    <row r="15876" spans="7:8">
      <c r="G15876" s="87"/>
      <c r="H15876" s="90"/>
    </row>
    <row r="15877" spans="7:8">
      <c r="G15877" s="87"/>
      <c r="H15877" s="90"/>
    </row>
    <row r="15878" spans="7:8">
      <c r="G15878" s="87"/>
      <c r="H15878" s="90"/>
    </row>
    <row r="15879" spans="7:8">
      <c r="G15879" s="87"/>
      <c r="H15879" s="90"/>
    </row>
    <row r="15880" spans="7:8">
      <c r="G15880" s="87"/>
      <c r="H15880" s="90"/>
    </row>
    <row r="15881" spans="7:8">
      <c r="G15881" s="87"/>
      <c r="H15881" s="90"/>
    </row>
    <row r="15882" spans="7:8">
      <c r="G15882" s="87"/>
      <c r="H15882" s="90"/>
    </row>
    <row r="15883" spans="7:8">
      <c r="G15883" s="87"/>
      <c r="H15883" s="90"/>
    </row>
    <row r="15884" spans="7:8">
      <c r="G15884" s="87"/>
      <c r="H15884" s="90"/>
    </row>
    <row r="15885" spans="7:8">
      <c r="G15885" s="87"/>
      <c r="H15885" s="90"/>
    </row>
    <row r="15886" spans="7:8">
      <c r="G15886" s="87"/>
      <c r="H15886" s="90"/>
    </row>
    <row r="15887" spans="7:8">
      <c r="G15887" s="87"/>
      <c r="H15887" s="90"/>
    </row>
    <row r="15888" spans="7:8">
      <c r="G15888" s="87"/>
      <c r="H15888" s="90"/>
    </row>
    <row r="15889" spans="7:8">
      <c r="G15889" s="87"/>
      <c r="H15889" s="90"/>
    </row>
    <row r="15890" spans="7:8">
      <c r="G15890" s="87"/>
      <c r="H15890" s="90"/>
    </row>
    <row r="15891" spans="7:8">
      <c r="G15891" s="87"/>
      <c r="H15891" s="90"/>
    </row>
    <row r="15892" spans="7:8">
      <c r="G15892" s="87"/>
      <c r="H15892" s="90"/>
    </row>
    <row r="15893" spans="7:8">
      <c r="G15893" s="87"/>
      <c r="H15893" s="90"/>
    </row>
    <row r="15894" spans="7:8">
      <c r="G15894" s="87"/>
      <c r="H15894" s="90"/>
    </row>
    <row r="15895" spans="7:8">
      <c r="G15895" s="87"/>
      <c r="H15895" s="90"/>
    </row>
    <row r="15896" spans="7:8">
      <c r="G15896" s="87"/>
      <c r="H15896" s="90"/>
    </row>
    <row r="15897" spans="7:8">
      <c r="G15897" s="87"/>
      <c r="H15897" s="90"/>
    </row>
    <row r="15898" spans="7:8">
      <c r="G15898" s="87"/>
      <c r="H15898" s="90"/>
    </row>
    <row r="15899" spans="7:8">
      <c r="G15899" s="87"/>
      <c r="H15899" s="90"/>
    </row>
    <row r="15900" spans="7:8">
      <c r="G15900" s="87"/>
      <c r="H15900" s="90"/>
    </row>
    <row r="15901" spans="7:8">
      <c r="G15901" s="87"/>
      <c r="H15901" s="90"/>
    </row>
    <row r="15902" spans="7:8">
      <c r="G15902" s="87"/>
      <c r="H15902" s="90"/>
    </row>
    <row r="15903" spans="7:8">
      <c r="G15903" s="87"/>
      <c r="H15903" s="90"/>
    </row>
    <row r="15904" spans="7:8">
      <c r="G15904" s="87"/>
      <c r="H15904" s="90"/>
    </row>
    <row r="15905" spans="7:8">
      <c r="G15905" s="87"/>
      <c r="H15905" s="90"/>
    </row>
    <row r="15906" spans="7:8">
      <c r="G15906" s="87"/>
      <c r="H15906" s="90"/>
    </row>
    <row r="15907" spans="7:8">
      <c r="G15907" s="87"/>
      <c r="H15907" s="90"/>
    </row>
    <row r="15908" spans="7:8">
      <c r="G15908" s="87"/>
      <c r="H15908" s="90"/>
    </row>
    <row r="15909" spans="7:8">
      <c r="G15909" s="87"/>
      <c r="H15909" s="90"/>
    </row>
    <row r="15910" spans="7:8">
      <c r="G15910" s="87"/>
      <c r="H15910" s="90"/>
    </row>
    <row r="15911" spans="7:8">
      <c r="G15911" s="87"/>
      <c r="H15911" s="90"/>
    </row>
    <row r="15912" spans="7:8">
      <c r="G15912" s="87"/>
      <c r="H15912" s="90"/>
    </row>
    <row r="15913" spans="7:8">
      <c r="G15913" s="87"/>
      <c r="H15913" s="90"/>
    </row>
    <row r="15914" spans="7:8">
      <c r="G15914" s="87"/>
      <c r="H15914" s="90"/>
    </row>
    <row r="15915" spans="7:8">
      <c r="G15915" s="87"/>
      <c r="H15915" s="90"/>
    </row>
    <row r="15916" spans="7:8">
      <c r="G15916" s="87"/>
      <c r="H15916" s="90"/>
    </row>
    <row r="15917" spans="7:8">
      <c r="G15917" s="87"/>
      <c r="H15917" s="90"/>
    </row>
    <row r="15918" spans="7:8">
      <c r="G15918" s="87"/>
      <c r="H15918" s="90"/>
    </row>
    <row r="15919" spans="7:8">
      <c r="G15919" s="87"/>
      <c r="H15919" s="90"/>
    </row>
    <row r="15920" spans="7:8">
      <c r="G15920" s="87"/>
      <c r="H15920" s="90"/>
    </row>
    <row r="15921" spans="7:8">
      <c r="G15921" s="87"/>
      <c r="H15921" s="90"/>
    </row>
    <row r="15922" spans="7:8">
      <c r="G15922" s="87"/>
      <c r="H15922" s="90"/>
    </row>
    <row r="15923" spans="7:8">
      <c r="G15923" s="87"/>
      <c r="H15923" s="90"/>
    </row>
    <row r="15924" spans="7:8">
      <c r="G15924" s="87"/>
      <c r="H15924" s="90"/>
    </row>
    <row r="15925" spans="7:8">
      <c r="G15925" s="87"/>
      <c r="H15925" s="90"/>
    </row>
    <row r="15926" spans="7:8">
      <c r="G15926" s="87"/>
      <c r="H15926" s="90"/>
    </row>
    <row r="15927" spans="7:8">
      <c r="G15927" s="87"/>
      <c r="H15927" s="90"/>
    </row>
    <row r="15928" spans="7:8">
      <c r="G15928" s="87"/>
      <c r="H15928" s="90"/>
    </row>
    <row r="15929" spans="7:8">
      <c r="G15929" s="87"/>
      <c r="H15929" s="90"/>
    </row>
    <row r="15930" spans="7:8">
      <c r="G15930" s="87"/>
      <c r="H15930" s="90"/>
    </row>
    <row r="15931" spans="7:8">
      <c r="G15931" s="87"/>
      <c r="H15931" s="90"/>
    </row>
    <row r="15932" spans="7:8">
      <c r="G15932" s="87"/>
      <c r="H15932" s="90"/>
    </row>
    <row r="15933" spans="7:8">
      <c r="G15933" s="87"/>
      <c r="H15933" s="90"/>
    </row>
    <row r="15934" spans="7:8">
      <c r="G15934" s="87"/>
      <c r="H15934" s="90"/>
    </row>
    <row r="15935" spans="7:8">
      <c r="G15935" s="87"/>
      <c r="H15935" s="90"/>
    </row>
    <row r="15936" spans="7:8">
      <c r="G15936" s="87"/>
      <c r="H15936" s="90"/>
    </row>
    <row r="15937" spans="7:8">
      <c r="G15937" s="87"/>
      <c r="H15937" s="90"/>
    </row>
    <row r="15938" spans="7:8">
      <c r="G15938" s="87"/>
      <c r="H15938" s="90"/>
    </row>
    <row r="15939" spans="7:8">
      <c r="G15939" s="87"/>
      <c r="H15939" s="90"/>
    </row>
    <row r="15940" spans="7:8">
      <c r="G15940" s="87"/>
      <c r="H15940" s="90"/>
    </row>
    <row r="15941" spans="7:8">
      <c r="G15941" s="87"/>
      <c r="H15941" s="90"/>
    </row>
    <row r="15942" spans="7:8">
      <c r="G15942" s="87"/>
      <c r="H15942" s="90"/>
    </row>
    <row r="15943" spans="7:8">
      <c r="G15943" s="87"/>
      <c r="H15943" s="90"/>
    </row>
    <row r="15944" spans="7:8">
      <c r="G15944" s="87"/>
      <c r="H15944" s="90"/>
    </row>
    <row r="15945" spans="7:8">
      <c r="G15945" s="87"/>
      <c r="H15945" s="90"/>
    </row>
    <row r="15946" spans="7:8">
      <c r="G15946" s="87"/>
      <c r="H15946" s="90"/>
    </row>
    <row r="15947" spans="7:8">
      <c r="G15947" s="87"/>
      <c r="H15947" s="90"/>
    </row>
    <row r="15948" spans="7:8">
      <c r="G15948" s="87"/>
      <c r="H15948" s="90"/>
    </row>
    <row r="15949" spans="7:8">
      <c r="G15949" s="87"/>
      <c r="H15949" s="90"/>
    </row>
    <row r="15950" spans="7:8">
      <c r="G15950" s="87"/>
      <c r="H15950" s="90"/>
    </row>
    <row r="15951" spans="7:8">
      <c r="G15951" s="87"/>
      <c r="H15951" s="90"/>
    </row>
    <row r="15952" spans="7:8">
      <c r="G15952" s="87"/>
      <c r="H15952" s="90"/>
    </row>
    <row r="15953" spans="7:8">
      <c r="G15953" s="87"/>
      <c r="H15953" s="90"/>
    </row>
    <row r="15954" spans="7:8">
      <c r="G15954" s="87"/>
      <c r="H15954" s="90"/>
    </row>
    <row r="15955" spans="7:8">
      <c r="G15955" s="87"/>
      <c r="H15955" s="90"/>
    </row>
    <row r="15956" spans="7:8">
      <c r="G15956" s="87"/>
      <c r="H15956" s="90"/>
    </row>
    <row r="15957" spans="7:8">
      <c r="G15957" s="87"/>
      <c r="H15957" s="90"/>
    </row>
    <row r="15958" spans="7:8">
      <c r="G15958" s="87"/>
      <c r="H15958" s="90"/>
    </row>
    <row r="15959" spans="7:8">
      <c r="G15959" s="87"/>
      <c r="H15959" s="90"/>
    </row>
    <row r="15960" spans="7:8">
      <c r="G15960" s="87"/>
      <c r="H15960" s="90"/>
    </row>
    <row r="15961" spans="7:8">
      <c r="G15961" s="87"/>
      <c r="H15961" s="90"/>
    </row>
    <row r="15962" spans="7:8">
      <c r="G15962" s="87"/>
      <c r="H15962" s="90"/>
    </row>
    <row r="15963" spans="7:8">
      <c r="G15963" s="87"/>
      <c r="H15963" s="90"/>
    </row>
    <row r="15964" spans="7:8">
      <c r="G15964" s="87"/>
      <c r="H15964" s="90"/>
    </row>
    <row r="15965" spans="7:8">
      <c r="G15965" s="87"/>
      <c r="H15965" s="90"/>
    </row>
    <row r="15966" spans="7:8">
      <c r="G15966" s="87"/>
      <c r="H15966" s="90"/>
    </row>
    <row r="15967" spans="7:8">
      <c r="G15967" s="87"/>
      <c r="H15967" s="90"/>
    </row>
    <row r="15968" spans="7:8">
      <c r="G15968" s="87"/>
      <c r="H15968" s="90"/>
    </row>
    <row r="15969" spans="7:8">
      <c r="G15969" s="87"/>
      <c r="H15969" s="90"/>
    </row>
    <row r="15970" spans="7:8">
      <c r="G15970" s="87"/>
      <c r="H15970" s="90"/>
    </row>
    <row r="15971" spans="7:8">
      <c r="G15971" s="87"/>
      <c r="H15971" s="90"/>
    </row>
    <row r="15972" spans="7:8">
      <c r="G15972" s="87"/>
      <c r="H15972" s="90"/>
    </row>
    <row r="15973" spans="7:8">
      <c r="G15973" s="87"/>
      <c r="H15973" s="90"/>
    </row>
    <row r="15974" spans="7:8">
      <c r="G15974" s="87"/>
      <c r="H15974" s="90"/>
    </row>
    <row r="15975" spans="7:8">
      <c r="G15975" s="87"/>
      <c r="H15975" s="90"/>
    </row>
    <row r="15976" spans="7:8">
      <c r="G15976" s="87"/>
      <c r="H15976" s="90"/>
    </row>
    <row r="15977" spans="7:8">
      <c r="G15977" s="87"/>
      <c r="H15977" s="90"/>
    </row>
    <row r="15978" spans="7:8">
      <c r="G15978" s="87"/>
      <c r="H15978" s="90"/>
    </row>
    <row r="15979" spans="7:8">
      <c r="G15979" s="87"/>
      <c r="H15979" s="90"/>
    </row>
    <row r="15980" spans="7:8">
      <c r="G15980" s="87"/>
      <c r="H15980" s="90"/>
    </row>
    <row r="15981" spans="7:8">
      <c r="G15981" s="87"/>
      <c r="H15981" s="90"/>
    </row>
    <row r="15982" spans="7:8">
      <c r="G15982" s="87"/>
      <c r="H15982" s="90"/>
    </row>
    <row r="15983" spans="7:8">
      <c r="G15983" s="87"/>
      <c r="H15983" s="90"/>
    </row>
    <row r="15984" spans="7:8">
      <c r="G15984" s="87"/>
      <c r="H15984" s="90"/>
    </row>
    <row r="15985" spans="7:8">
      <c r="G15985" s="87"/>
      <c r="H15985" s="90"/>
    </row>
    <row r="15986" spans="7:8">
      <c r="G15986" s="87"/>
      <c r="H15986" s="90"/>
    </row>
    <row r="15987" spans="7:8">
      <c r="G15987" s="87"/>
      <c r="H15987" s="90"/>
    </row>
    <row r="15988" spans="7:8">
      <c r="G15988" s="87"/>
      <c r="H15988" s="90"/>
    </row>
    <row r="15989" spans="7:8">
      <c r="G15989" s="87"/>
      <c r="H15989" s="90"/>
    </row>
    <row r="15990" spans="7:8">
      <c r="G15990" s="87"/>
      <c r="H15990" s="90"/>
    </row>
    <row r="15991" spans="7:8">
      <c r="G15991" s="87"/>
      <c r="H15991" s="90"/>
    </row>
    <row r="15992" spans="7:8">
      <c r="G15992" s="87"/>
      <c r="H15992" s="90"/>
    </row>
    <row r="15993" spans="7:8">
      <c r="G15993" s="87"/>
      <c r="H15993" s="90"/>
    </row>
    <row r="15994" spans="7:8">
      <c r="G15994" s="87"/>
      <c r="H15994" s="90"/>
    </row>
    <row r="15995" spans="7:8">
      <c r="G15995" s="87"/>
      <c r="H15995" s="90"/>
    </row>
    <row r="15996" spans="7:8">
      <c r="G15996" s="87"/>
      <c r="H15996" s="90"/>
    </row>
    <row r="15997" spans="7:8">
      <c r="G15997" s="87"/>
      <c r="H15997" s="90"/>
    </row>
    <row r="15998" spans="7:8">
      <c r="G15998" s="87"/>
      <c r="H15998" s="90"/>
    </row>
    <row r="15999" spans="7:8">
      <c r="G15999" s="87"/>
      <c r="H15999" s="90"/>
    </row>
    <row r="16000" spans="7:8">
      <c r="G16000" s="87"/>
      <c r="H16000" s="90"/>
    </row>
    <row r="16001" spans="7:8">
      <c r="G16001" s="87"/>
      <c r="H16001" s="90"/>
    </row>
    <row r="16002" spans="7:8">
      <c r="G16002" s="87"/>
      <c r="H16002" s="90"/>
    </row>
    <row r="16003" spans="7:8">
      <c r="G16003" s="87"/>
      <c r="H16003" s="90"/>
    </row>
    <row r="16004" spans="7:8">
      <c r="G16004" s="87"/>
      <c r="H16004" s="90"/>
    </row>
    <row r="16005" spans="7:8">
      <c r="G16005" s="87"/>
      <c r="H16005" s="90"/>
    </row>
    <row r="16006" spans="7:8">
      <c r="G16006" s="87"/>
      <c r="H16006" s="90"/>
    </row>
    <row r="16007" spans="7:8">
      <c r="G16007" s="87"/>
      <c r="H16007" s="90"/>
    </row>
    <row r="16008" spans="7:8">
      <c r="G16008" s="87"/>
      <c r="H16008" s="90"/>
    </row>
    <row r="16009" spans="7:8">
      <c r="G16009" s="87"/>
      <c r="H16009" s="90"/>
    </row>
    <row r="16010" spans="7:8">
      <c r="G16010" s="87"/>
      <c r="H16010" s="90"/>
    </row>
    <row r="16011" spans="7:8">
      <c r="G16011" s="87"/>
      <c r="H16011" s="90"/>
    </row>
    <row r="16012" spans="7:8">
      <c r="G16012" s="87"/>
      <c r="H16012" s="90"/>
    </row>
    <row r="16013" spans="7:8">
      <c r="G16013" s="87"/>
      <c r="H16013" s="90"/>
    </row>
    <row r="16014" spans="7:8">
      <c r="G16014" s="87"/>
      <c r="H16014" s="90"/>
    </row>
    <row r="16015" spans="7:8">
      <c r="G16015" s="87"/>
      <c r="H16015" s="90"/>
    </row>
    <row r="16016" spans="7:8">
      <c r="G16016" s="87"/>
      <c r="H16016" s="90"/>
    </row>
    <row r="16017" spans="7:8">
      <c r="G16017" s="87"/>
      <c r="H16017" s="90"/>
    </row>
    <row r="16018" spans="7:8">
      <c r="G16018" s="87"/>
      <c r="H16018" s="90"/>
    </row>
    <row r="16019" spans="7:8">
      <c r="G16019" s="87"/>
      <c r="H16019" s="90"/>
    </row>
    <row r="16020" spans="7:8">
      <c r="G16020" s="87"/>
      <c r="H16020" s="90"/>
    </row>
    <row r="16021" spans="7:8">
      <c r="G16021" s="87"/>
      <c r="H16021" s="90"/>
    </row>
    <row r="16022" spans="7:8">
      <c r="G16022" s="87"/>
      <c r="H16022" s="90"/>
    </row>
    <row r="16023" spans="7:8">
      <c r="G16023" s="87"/>
      <c r="H16023" s="90"/>
    </row>
    <row r="16024" spans="7:8">
      <c r="G16024" s="87"/>
      <c r="H16024" s="90"/>
    </row>
    <row r="16025" spans="7:8">
      <c r="G16025" s="87"/>
      <c r="H16025" s="90"/>
    </row>
    <row r="16026" spans="7:8">
      <c r="G16026" s="87"/>
      <c r="H16026" s="90"/>
    </row>
    <row r="16027" spans="7:8">
      <c r="G16027" s="87"/>
      <c r="H16027" s="90"/>
    </row>
    <row r="16028" spans="7:8">
      <c r="G16028" s="87"/>
      <c r="H16028" s="90"/>
    </row>
    <row r="16029" spans="7:8">
      <c r="G16029" s="87"/>
      <c r="H16029" s="90"/>
    </row>
    <row r="16030" spans="7:8">
      <c r="G16030" s="87"/>
      <c r="H16030" s="90"/>
    </row>
    <row r="16031" spans="7:8">
      <c r="G16031" s="87"/>
      <c r="H16031" s="90"/>
    </row>
    <row r="16032" spans="7:8">
      <c r="G16032" s="87"/>
      <c r="H16032" s="90"/>
    </row>
    <row r="16033" spans="7:8">
      <c r="G16033" s="87"/>
      <c r="H16033" s="90"/>
    </row>
    <row r="16034" spans="7:8">
      <c r="G16034" s="87"/>
      <c r="H16034" s="90"/>
    </row>
    <row r="16035" spans="7:8">
      <c r="G16035" s="87"/>
      <c r="H16035" s="90"/>
    </row>
    <row r="16036" spans="7:8">
      <c r="G16036" s="87"/>
      <c r="H16036" s="90"/>
    </row>
    <row r="16037" spans="7:8">
      <c r="G16037" s="87"/>
      <c r="H16037" s="90"/>
    </row>
    <row r="16038" spans="7:8">
      <c r="G16038" s="87"/>
      <c r="H16038" s="90"/>
    </row>
    <row r="16039" spans="7:8">
      <c r="G16039" s="87"/>
      <c r="H16039" s="90"/>
    </row>
    <row r="16040" spans="7:8">
      <c r="G16040" s="87"/>
      <c r="H16040" s="90"/>
    </row>
    <row r="16041" spans="7:8">
      <c r="G16041" s="87"/>
      <c r="H16041" s="90"/>
    </row>
    <row r="16042" spans="7:8">
      <c r="G16042" s="87"/>
      <c r="H16042" s="90"/>
    </row>
    <row r="16043" spans="7:8">
      <c r="G16043" s="87"/>
      <c r="H16043" s="90"/>
    </row>
    <row r="16044" spans="7:8">
      <c r="G16044" s="87"/>
      <c r="H16044" s="90"/>
    </row>
    <row r="16045" spans="7:8">
      <c r="G16045" s="87"/>
      <c r="H16045" s="90"/>
    </row>
    <row r="16046" spans="7:8">
      <c r="G16046" s="87"/>
      <c r="H16046" s="90"/>
    </row>
    <row r="16047" spans="7:8">
      <c r="G16047" s="87"/>
      <c r="H16047" s="90"/>
    </row>
    <row r="16048" spans="7:8">
      <c r="G16048" s="87"/>
      <c r="H16048" s="90"/>
    </row>
    <row r="16049" spans="7:8">
      <c r="G16049" s="87"/>
      <c r="H16049" s="90"/>
    </row>
    <row r="16050" spans="7:8">
      <c r="G16050" s="87"/>
      <c r="H16050" s="90"/>
    </row>
    <row r="16051" spans="7:8">
      <c r="G16051" s="87"/>
      <c r="H16051" s="90"/>
    </row>
    <row r="16052" spans="7:8">
      <c r="G16052" s="87"/>
      <c r="H16052" s="90"/>
    </row>
    <row r="16053" spans="7:8">
      <c r="G16053" s="87"/>
      <c r="H16053" s="90"/>
    </row>
    <row r="16054" spans="7:8">
      <c r="G16054" s="87"/>
      <c r="H16054" s="90"/>
    </row>
    <row r="16055" spans="7:8">
      <c r="G16055" s="87"/>
      <c r="H16055" s="90"/>
    </row>
    <row r="16056" spans="7:8">
      <c r="G16056" s="87"/>
      <c r="H16056" s="90"/>
    </row>
    <row r="16057" spans="7:8">
      <c r="G16057" s="87"/>
      <c r="H16057" s="90"/>
    </row>
    <row r="16058" spans="7:8">
      <c r="G16058" s="87"/>
      <c r="H16058" s="90"/>
    </row>
    <row r="16059" spans="7:8">
      <c r="G16059" s="87"/>
      <c r="H16059" s="90"/>
    </row>
    <row r="16060" spans="7:8">
      <c r="G16060" s="87"/>
      <c r="H16060" s="90"/>
    </row>
    <row r="16061" spans="7:8">
      <c r="G16061" s="87"/>
      <c r="H16061" s="90"/>
    </row>
    <row r="16062" spans="7:8">
      <c r="G16062" s="87"/>
      <c r="H16062" s="90"/>
    </row>
    <row r="16063" spans="7:8">
      <c r="G16063" s="87"/>
      <c r="H16063" s="90"/>
    </row>
    <row r="16064" spans="7:8">
      <c r="G16064" s="87"/>
      <c r="H16064" s="90"/>
    </row>
    <row r="16065" spans="7:8">
      <c r="G16065" s="87"/>
      <c r="H16065" s="90"/>
    </row>
    <row r="16066" spans="7:8">
      <c r="G16066" s="87"/>
      <c r="H16066" s="90"/>
    </row>
    <row r="16067" spans="7:8">
      <c r="G16067" s="87"/>
      <c r="H16067" s="90"/>
    </row>
    <row r="16068" spans="7:8">
      <c r="G16068" s="87"/>
      <c r="H16068" s="90"/>
    </row>
    <row r="16069" spans="7:8">
      <c r="G16069" s="87"/>
      <c r="H16069" s="90"/>
    </row>
    <row r="16070" spans="7:8">
      <c r="G16070" s="87"/>
      <c r="H16070" s="90"/>
    </row>
    <row r="16071" spans="7:8">
      <c r="G16071" s="87"/>
      <c r="H16071" s="90"/>
    </row>
    <row r="16072" spans="7:8">
      <c r="G16072" s="87"/>
      <c r="H16072" s="90"/>
    </row>
    <row r="16073" spans="7:8">
      <c r="G16073" s="87"/>
      <c r="H16073" s="90"/>
    </row>
    <row r="16074" spans="7:8">
      <c r="G16074" s="87"/>
      <c r="H16074" s="90"/>
    </row>
    <row r="16075" spans="7:8">
      <c r="G16075" s="87"/>
      <c r="H16075" s="90"/>
    </row>
    <row r="16076" spans="7:8">
      <c r="G16076" s="87"/>
      <c r="H16076" s="90"/>
    </row>
    <row r="16077" spans="7:8">
      <c r="G16077" s="87"/>
      <c r="H16077" s="90"/>
    </row>
    <row r="16078" spans="7:8">
      <c r="G16078" s="87"/>
      <c r="H16078" s="90"/>
    </row>
    <row r="16079" spans="7:8">
      <c r="G16079" s="87"/>
      <c r="H16079" s="90"/>
    </row>
    <row r="16080" spans="7:8">
      <c r="G16080" s="87"/>
      <c r="H16080" s="90"/>
    </row>
    <row r="16081" spans="7:8">
      <c r="G16081" s="87"/>
      <c r="H16081" s="90"/>
    </row>
    <row r="16082" spans="7:8">
      <c r="G16082" s="87"/>
      <c r="H16082" s="90"/>
    </row>
    <row r="16083" spans="7:8">
      <c r="G16083" s="87"/>
      <c r="H16083" s="90"/>
    </row>
    <row r="16084" spans="7:8">
      <c r="G16084" s="87"/>
      <c r="H16084" s="90"/>
    </row>
    <row r="16085" spans="7:8">
      <c r="G16085" s="87"/>
      <c r="H16085" s="90"/>
    </row>
    <row r="16086" spans="7:8">
      <c r="G16086" s="87"/>
      <c r="H16086" s="90"/>
    </row>
    <row r="16087" spans="7:8">
      <c r="G16087" s="87"/>
      <c r="H16087" s="90"/>
    </row>
    <row r="16088" spans="7:8">
      <c r="G16088" s="87"/>
      <c r="H16088" s="90"/>
    </row>
    <row r="16089" spans="7:8">
      <c r="G16089" s="87"/>
      <c r="H16089" s="90"/>
    </row>
    <row r="16090" spans="7:8">
      <c r="G16090" s="87"/>
      <c r="H16090" s="90"/>
    </row>
    <row r="16091" spans="7:8">
      <c r="G16091" s="87"/>
      <c r="H16091" s="90"/>
    </row>
    <row r="16092" spans="7:8">
      <c r="G16092" s="87"/>
      <c r="H16092" s="90"/>
    </row>
    <row r="16093" spans="7:8">
      <c r="G16093" s="87"/>
      <c r="H16093" s="90"/>
    </row>
    <row r="16094" spans="7:8">
      <c r="G16094" s="87"/>
      <c r="H16094" s="90"/>
    </row>
    <row r="16095" spans="7:8">
      <c r="G16095" s="87"/>
      <c r="H16095" s="90"/>
    </row>
    <row r="16096" spans="7:8">
      <c r="G16096" s="87"/>
      <c r="H16096" s="90"/>
    </row>
    <row r="16097" spans="7:8">
      <c r="G16097" s="87"/>
      <c r="H16097" s="90"/>
    </row>
    <row r="16098" spans="7:8">
      <c r="G16098" s="87"/>
      <c r="H16098" s="90"/>
    </row>
    <row r="16099" spans="7:8">
      <c r="G16099" s="87"/>
      <c r="H16099" s="90"/>
    </row>
    <row r="16100" spans="7:8">
      <c r="G16100" s="87"/>
      <c r="H16100" s="90"/>
    </row>
    <row r="16101" spans="7:8">
      <c r="G16101" s="87"/>
      <c r="H16101" s="90"/>
    </row>
    <row r="16102" spans="7:8">
      <c r="G16102" s="87"/>
      <c r="H16102" s="90"/>
    </row>
    <row r="16103" spans="7:8">
      <c r="G16103" s="87"/>
      <c r="H16103" s="90"/>
    </row>
    <row r="16104" spans="7:8">
      <c r="G16104" s="87"/>
      <c r="H16104" s="90"/>
    </row>
    <row r="16105" spans="7:8">
      <c r="G16105" s="87"/>
      <c r="H16105" s="90"/>
    </row>
    <row r="16106" spans="7:8">
      <c r="G16106" s="87"/>
      <c r="H16106" s="90"/>
    </row>
    <row r="16107" spans="7:8">
      <c r="G16107" s="87"/>
      <c r="H16107" s="90"/>
    </row>
    <row r="16108" spans="7:8">
      <c r="G16108" s="87"/>
      <c r="H16108" s="90"/>
    </row>
    <row r="16109" spans="7:8">
      <c r="G16109" s="87"/>
      <c r="H16109" s="90"/>
    </row>
    <row r="16110" spans="7:8">
      <c r="G16110" s="87"/>
      <c r="H16110" s="90"/>
    </row>
    <row r="16111" spans="7:8">
      <c r="G16111" s="87"/>
      <c r="H16111" s="90"/>
    </row>
    <row r="16112" spans="7:8">
      <c r="G16112" s="87"/>
      <c r="H16112" s="90"/>
    </row>
    <row r="16113" spans="7:8">
      <c r="G16113" s="87"/>
      <c r="H16113" s="90"/>
    </row>
    <row r="16114" spans="7:8">
      <c r="G16114" s="87"/>
      <c r="H16114" s="90"/>
    </row>
    <row r="16115" spans="7:8">
      <c r="G16115" s="87"/>
      <c r="H16115" s="90"/>
    </row>
    <row r="16116" spans="7:8">
      <c r="G16116" s="87"/>
      <c r="H16116" s="90"/>
    </row>
    <row r="16117" spans="7:8">
      <c r="G16117" s="87"/>
      <c r="H16117" s="90"/>
    </row>
    <row r="16118" spans="7:8">
      <c r="G16118" s="87"/>
      <c r="H16118" s="90"/>
    </row>
    <row r="16119" spans="7:8">
      <c r="G16119" s="87"/>
      <c r="H16119" s="90"/>
    </row>
    <row r="16120" spans="7:8">
      <c r="G16120" s="87"/>
      <c r="H16120" s="90"/>
    </row>
    <row r="16121" spans="7:8">
      <c r="G16121" s="87"/>
      <c r="H16121" s="90"/>
    </row>
    <row r="16122" spans="7:8">
      <c r="G16122" s="87"/>
      <c r="H16122" s="90"/>
    </row>
    <row r="16123" spans="7:8">
      <c r="G16123" s="87"/>
      <c r="H16123" s="90"/>
    </row>
    <row r="16124" spans="7:8">
      <c r="G16124" s="87"/>
      <c r="H16124" s="90"/>
    </row>
    <row r="16125" spans="7:8">
      <c r="G16125" s="87"/>
      <c r="H16125" s="90"/>
    </row>
    <row r="16126" spans="7:8">
      <c r="G16126" s="87"/>
      <c r="H16126" s="90"/>
    </row>
    <row r="16127" spans="7:8">
      <c r="G16127" s="87"/>
      <c r="H16127" s="90"/>
    </row>
    <row r="16128" spans="7:8">
      <c r="G16128" s="87"/>
      <c r="H16128" s="90"/>
    </row>
    <row r="16129" spans="7:8">
      <c r="G16129" s="87"/>
      <c r="H16129" s="90"/>
    </row>
    <row r="16130" spans="7:8">
      <c r="G16130" s="87"/>
      <c r="H16130" s="90"/>
    </row>
    <row r="16131" spans="7:8">
      <c r="G16131" s="87"/>
      <c r="H16131" s="90"/>
    </row>
    <row r="16132" spans="7:8">
      <c r="G16132" s="87"/>
      <c r="H16132" s="90"/>
    </row>
    <row r="16133" spans="7:8">
      <c r="G16133" s="87"/>
      <c r="H16133" s="90"/>
    </row>
    <row r="16134" spans="7:8">
      <c r="G16134" s="87"/>
      <c r="H16134" s="90"/>
    </row>
    <row r="16135" spans="7:8">
      <c r="G16135" s="87"/>
      <c r="H16135" s="90"/>
    </row>
    <row r="16136" spans="7:8">
      <c r="G16136" s="87"/>
      <c r="H16136" s="90"/>
    </row>
    <row r="16137" spans="7:8">
      <c r="G16137" s="87"/>
      <c r="H16137" s="90"/>
    </row>
    <row r="16138" spans="7:8">
      <c r="G16138" s="87"/>
      <c r="H16138" s="90"/>
    </row>
    <row r="16139" spans="7:8">
      <c r="G16139" s="87"/>
      <c r="H16139" s="90"/>
    </row>
    <row r="16140" spans="7:8">
      <c r="G16140" s="87"/>
      <c r="H16140" s="90"/>
    </row>
    <row r="16141" spans="7:8">
      <c r="G16141" s="87"/>
      <c r="H16141" s="90"/>
    </row>
    <row r="16142" spans="7:8">
      <c r="G16142" s="87"/>
      <c r="H16142" s="90"/>
    </row>
    <row r="16143" spans="7:8">
      <c r="G16143" s="87"/>
      <c r="H16143" s="90"/>
    </row>
    <row r="16144" spans="7:8">
      <c r="G16144" s="87"/>
      <c r="H16144" s="90"/>
    </row>
    <row r="16145" spans="7:8">
      <c r="G16145" s="87"/>
      <c r="H16145" s="90"/>
    </row>
    <row r="16146" spans="7:8">
      <c r="G16146" s="87"/>
      <c r="H16146" s="90"/>
    </row>
    <row r="16147" spans="7:8">
      <c r="G16147" s="87"/>
      <c r="H16147" s="90"/>
    </row>
    <row r="16148" spans="7:8">
      <c r="G16148" s="87"/>
      <c r="H16148" s="90"/>
    </row>
    <row r="16149" spans="7:8">
      <c r="G16149" s="87"/>
      <c r="H16149" s="90"/>
    </row>
    <row r="16150" spans="7:8">
      <c r="G16150" s="87"/>
      <c r="H16150" s="90"/>
    </row>
    <row r="16151" spans="7:8">
      <c r="G16151" s="87"/>
      <c r="H16151" s="90"/>
    </row>
    <row r="16152" spans="7:8">
      <c r="G16152" s="87"/>
      <c r="H16152" s="90"/>
    </row>
    <row r="16153" spans="7:8">
      <c r="G16153" s="87"/>
      <c r="H16153" s="90"/>
    </row>
    <row r="16154" spans="7:8">
      <c r="G16154" s="87"/>
      <c r="H16154" s="90"/>
    </row>
    <row r="16155" spans="7:8">
      <c r="G16155" s="87"/>
      <c r="H16155" s="90"/>
    </row>
    <row r="16156" spans="7:8">
      <c r="G16156" s="87"/>
      <c r="H16156" s="90"/>
    </row>
    <row r="16157" spans="7:8">
      <c r="G16157" s="87"/>
      <c r="H16157" s="90"/>
    </row>
    <row r="16158" spans="7:8">
      <c r="G16158" s="87"/>
      <c r="H16158" s="90"/>
    </row>
    <row r="16159" spans="7:8">
      <c r="G16159" s="87"/>
      <c r="H16159" s="90"/>
    </row>
    <row r="16160" spans="7:8">
      <c r="G16160" s="87"/>
      <c r="H16160" s="90"/>
    </row>
    <row r="16161" spans="7:8">
      <c r="G16161" s="87"/>
      <c r="H16161" s="90"/>
    </row>
    <row r="16162" spans="7:8">
      <c r="G16162" s="87"/>
      <c r="H16162" s="90"/>
    </row>
    <row r="16163" spans="7:8">
      <c r="G16163" s="87"/>
      <c r="H16163" s="90"/>
    </row>
    <row r="16164" spans="7:8">
      <c r="G16164" s="87"/>
      <c r="H16164" s="90"/>
    </row>
    <row r="16165" spans="7:8">
      <c r="G16165" s="87"/>
      <c r="H16165" s="90"/>
    </row>
    <row r="16166" spans="7:8">
      <c r="G16166" s="87"/>
      <c r="H16166" s="90"/>
    </row>
    <row r="16167" spans="7:8">
      <c r="G16167" s="87"/>
      <c r="H16167" s="90"/>
    </row>
    <row r="16168" spans="7:8">
      <c r="G16168" s="87"/>
      <c r="H16168" s="90"/>
    </row>
    <row r="16169" spans="7:8">
      <c r="G16169" s="87"/>
      <c r="H16169" s="90"/>
    </row>
    <row r="16170" spans="7:8">
      <c r="G16170" s="87"/>
      <c r="H16170" s="90"/>
    </row>
    <row r="16171" spans="7:8">
      <c r="G16171" s="87"/>
      <c r="H16171" s="90"/>
    </row>
    <row r="16172" spans="7:8">
      <c r="G16172" s="87"/>
      <c r="H16172" s="90"/>
    </row>
    <row r="16173" spans="7:8">
      <c r="G16173" s="87"/>
      <c r="H16173" s="90"/>
    </row>
    <row r="16174" spans="7:8">
      <c r="G16174" s="87"/>
      <c r="H16174" s="90"/>
    </row>
    <row r="16175" spans="7:8">
      <c r="G16175" s="87"/>
      <c r="H16175" s="90"/>
    </row>
    <row r="16176" spans="7:8">
      <c r="G16176" s="87"/>
      <c r="H16176" s="90"/>
    </row>
    <row r="16177" spans="7:8">
      <c r="G16177" s="87"/>
      <c r="H16177" s="90"/>
    </row>
    <row r="16178" spans="7:8">
      <c r="G16178" s="87"/>
      <c r="H16178" s="90"/>
    </row>
    <row r="16179" spans="7:8">
      <c r="G16179" s="87"/>
      <c r="H16179" s="90"/>
    </row>
    <row r="16180" spans="7:8">
      <c r="G16180" s="87"/>
      <c r="H16180" s="90"/>
    </row>
    <row r="16181" spans="7:8">
      <c r="G16181" s="87"/>
      <c r="H16181" s="90"/>
    </row>
    <row r="16182" spans="7:8">
      <c r="G16182" s="87"/>
      <c r="H16182" s="90"/>
    </row>
    <row r="16183" spans="7:8">
      <c r="G16183" s="87"/>
      <c r="H16183" s="90"/>
    </row>
    <row r="16184" spans="7:8">
      <c r="G16184" s="87"/>
      <c r="H16184" s="90"/>
    </row>
    <row r="16185" spans="7:8">
      <c r="G16185" s="87"/>
      <c r="H16185" s="90"/>
    </row>
    <row r="16186" spans="7:8">
      <c r="G16186" s="87"/>
      <c r="H16186" s="90"/>
    </row>
    <row r="16187" spans="7:8">
      <c r="G16187" s="87"/>
      <c r="H16187" s="90"/>
    </row>
    <row r="16188" spans="7:8">
      <c r="G16188" s="87"/>
      <c r="H16188" s="90"/>
    </row>
    <row r="16189" spans="7:8">
      <c r="G16189" s="87"/>
      <c r="H16189" s="90"/>
    </row>
    <row r="16190" spans="7:8">
      <c r="G16190" s="87"/>
      <c r="H16190" s="90"/>
    </row>
    <row r="16191" spans="7:8">
      <c r="G16191" s="87"/>
      <c r="H16191" s="90"/>
    </row>
    <row r="16192" spans="7:8">
      <c r="G16192" s="87"/>
      <c r="H16192" s="90"/>
    </row>
    <row r="16193" spans="7:8">
      <c r="G16193" s="87"/>
      <c r="H16193" s="90"/>
    </row>
    <row r="16194" spans="7:8">
      <c r="G16194" s="87"/>
      <c r="H16194" s="90"/>
    </row>
    <row r="16195" spans="7:8">
      <c r="G16195" s="87"/>
      <c r="H16195" s="90"/>
    </row>
    <row r="16196" spans="7:8">
      <c r="G16196" s="87"/>
      <c r="H16196" s="90"/>
    </row>
    <row r="16197" spans="7:8">
      <c r="G16197" s="87"/>
      <c r="H16197" s="90"/>
    </row>
    <row r="16198" spans="7:8">
      <c r="G16198" s="87"/>
      <c r="H16198" s="90"/>
    </row>
    <row r="16199" spans="7:8">
      <c r="G16199" s="87"/>
      <c r="H16199" s="90"/>
    </row>
    <row r="16200" spans="7:8">
      <c r="G16200" s="87"/>
      <c r="H16200" s="90"/>
    </row>
    <row r="16201" spans="7:8">
      <c r="G16201" s="87"/>
      <c r="H16201" s="90"/>
    </row>
    <row r="16202" spans="7:8">
      <c r="G16202" s="87"/>
      <c r="H16202" s="90"/>
    </row>
    <row r="16203" spans="7:8">
      <c r="G16203" s="87"/>
      <c r="H16203" s="90"/>
    </row>
    <row r="16204" spans="7:8">
      <c r="G16204" s="87"/>
      <c r="H16204" s="90"/>
    </row>
    <row r="16205" spans="7:8">
      <c r="G16205" s="87"/>
      <c r="H16205" s="90"/>
    </row>
    <row r="16206" spans="7:8">
      <c r="G16206" s="87"/>
      <c r="H16206" s="90"/>
    </row>
    <row r="16207" spans="7:8">
      <c r="G16207" s="87"/>
      <c r="H16207" s="90"/>
    </row>
    <row r="16208" spans="7:8">
      <c r="G16208" s="87"/>
      <c r="H16208" s="90"/>
    </row>
    <row r="16209" spans="7:8">
      <c r="G16209" s="87"/>
      <c r="H16209" s="90"/>
    </row>
    <row r="16210" spans="7:8">
      <c r="G16210" s="87"/>
      <c r="H16210" s="90"/>
    </row>
    <row r="16211" spans="7:8">
      <c r="G16211" s="87"/>
      <c r="H16211" s="90"/>
    </row>
    <row r="16212" spans="7:8">
      <c r="G16212" s="87"/>
      <c r="H16212" s="90"/>
    </row>
    <row r="16213" spans="7:8">
      <c r="G16213" s="87"/>
      <c r="H16213" s="90"/>
    </row>
    <row r="16214" spans="7:8">
      <c r="G16214" s="87"/>
      <c r="H16214" s="90"/>
    </row>
    <row r="16215" spans="7:8">
      <c r="G16215" s="87"/>
      <c r="H16215" s="90"/>
    </row>
    <row r="16216" spans="7:8">
      <c r="G16216" s="87"/>
      <c r="H16216" s="90"/>
    </row>
    <row r="16217" spans="7:8">
      <c r="G16217" s="87"/>
      <c r="H16217" s="90"/>
    </row>
    <row r="16218" spans="7:8">
      <c r="G16218" s="87"/>
      <c r="H16218" s="90"/>
    </row>
    <row r="16219" spans="7:8">
      <c r="G16219" s="87"/>
      <c r="H16219" s="90"/>
    </row>
    <row r="16220" spans="7:8">
      <c r="G16220" s="87"/>
      <c r="H16220" s="90"/>
    </row>
    <row r="16221" spans="7:8">
      <c r="G16221" s="87"/>
      <c r="H16221" s="90"/>
    </row>
    <row r="16222" spans="7:8">
      <c r="G16222" s="87"/>
      <c r="H16222" s="90"/>
    </row>
    <row r="16223" spans="7:8">
      <c r="G16223" s="87"/>
      <c r="H16223" s="90"/>
    </row>
    <row r="16224" spans="7:8">
      <c r="G16224" s="87"/>
      <c r="H16224" s="90"/>
    </row>
    <row r="16225" spans="7:8">
      <c r="G16225" s="87"/>
      <c r="H16225" s="90"/>
    </row>
    <row r="16226" spans="7:8">
      <c r="G16226" s="87"/>
      <c r="H16226" s="90"/>
    </row>
    <row r="16227" spans="7:8">
      <c r="G16227" s="87"/>
      <c r="H16227" s="90"/>
    </row>
    <row r="16228" spans="7:8">
      <c r="G16228" s="87"/>
      <c r="H16228" s="90"/>
    </row>
    <row r="16229" spans="7:8">
      <c r="G16229" s="87"/>
      <c r="H16229" s="90"/>
    </row>
    <row r="16230" spans="7:8">
      <c r="G16230" s="87"/>
      <c r="H16230" s="90"/>
    </row>
    <row r="16231" spans="7:8">
      <c r="G16231" s="87"/>
      <c r="H16231" s="90"/>
    </row>
    <row r="16232" spans="7:8">
      <c r="G16232" s="87"/>
      <c r="H16232" s="90"/>
    </row>
    <row r="16233" spans="7:8">
      <c r="G16233" s="87"/>
      <c r="H16233" s="90"/>
    </row>
    <row r="16234" spans="7:8">
      <c r="G16234" s="87"/>
      <c r="H16234" s="90"/>
    </row>
    <row r="16235" spans="7:8">
      <c r="G16235" s="87"/>
      <c r="H16235" s="90"/>
    </row>
    <row r="16236" spans="7:8">
      <c r="G16236" s="87"/>
      <c r="H16236" s="90"/>
    </row>
    <row r="16237" spans="7:8">
      <c r="G16237" s="87"/>
      <c r="H16237" s="90"/>
    </row>
    <row r="16238" spans="7:8">
      <c r="G16238" s="87"/>
      <c r="H16238" s="90"/>
    </row>
    <row r="16239" spans="7:8">
      <c r="G16239" s="87"/>
      <c r="H16239" s="90"/>
    </row>
    <row r="16240" spans="7:8">
      <c r="G16240" s="87"/>
      <c r="H16240" s="90"/>
    </row>
    <row r="16241" spans="7:8">
      <c r="G16241" s="87"/>
      <c r="H16241" s="90"/>
    </row>
    <row r="16242" spans="7:8">
      <c r="G16242" s="87"/>
      <c r="H16242" s="90"/>
    </row>
    <row r="16243" spans="7:8">
      <c r="G16243" s="87"/>
      <c r="H16243" s="90"/>
    </row>
    <row r="16244" spans="7:8">
      <c r="G16244" s="87"/>
      <c r="H16244" s="90"/>
    </row>
    <row r="16245" spans="7:8">
      <c r="G16245" s="87"/>
      <c r="H16245" s="90"/>
    </row>
    <row r="16246" spans="7:8">
      <c r="G16246" s="87"/>
      <c r="H16246" s="90"/>
    </row>
    <row r="16247" spans="7:8">
      <c r="G16247" s="87"/>
      <c r="H16247" s="90"/>
    </row>
    <row r="16248" spans="7:8">
      <c r="G16248" s="87"/>
      <c r="H16248" s="90"/>
    </row>
    <row r="16249" spans="7:8">
      <c r="G16249" s="87"/>
      <c r="H16249" s="90"/>
    </row>
    <row r="16250" spans="7:8">
      <c r="G16250" s="87"/>
      <c r="H16250" s="90"/>
    </row>
    <row r="16251" spans="7:8">
      <c r="G16251" s="87"/>
      <c r="H16251" s="90"/>
    </row>
    <row r="16252" spans="7:8">
      <c r="G16252" s="87"/>
      <c r="H16252" s="90"/>
    </row>
    <row r="16253" spans="7:8">
      <c r="G16253" s="87"/>
      <c r="H16253" s="90"/>
    </row>
    <row r="16254" spans="7:8">
      <c r="G16254" s="87"/>
      <c r="H16254" s="90"/>
    </row>
    <row r="16255" spans="7:8">
      <c r="G16255" s="87"/>
      <c r="H16255" s="90"/>
    </row>
    <row r="16256" spans="7:8">
      <c r="G16256" s="87"/>
      <c r="H16256" s="90"/>
    </row>
    <row r="16257" spans="7:8">
      <c r="G16257" s="87"/>
      <c r="H16257" s="90"/>
    </row>
    <row r="16258" spans="7:8">
      <c r="G16258" s="87"/>
      <c r="H16258" s="90"/>
    </row>
    <row r="16259" spans="7:8">
      <c r="G16259" s="87"/>
      <c r="H16259" s="90"/>
    </row>
    <row r="16260" spans="7:8">
      <c r="G16260" s="87"/>
      <c r="H16260" s="90"/>
    </row>
    <row r="16261" spans="7:8">
      <c r="G16261" s="87"/>
      <c r="H16261" s="90"/>
    </row>
    <row r="16262" spans="7:8">
      <c r="G16262" s="87"/>
      <c r="H16262" s="90"/>
    </row>
    <row r="16263" spans="7:8">
      <c r="G16263" s="87"/>
      <c r="H16263" s="90"/>
    </row>
    <row r="16264" spans="7:8">
      <c r="G16264" s="87"/>
      <c r="H16264" s="90"/>
    </row>
    <row r="16265" spans="7:8">
      <c r="G16265" s="87"/>
      <c r="H16265" s="90"/>
    </row>
    <row r="16266" spans="7:8">
      <c r="G16266" s="87"/>
      <c r="H16266" s="90"/>
    </row>
    <row r="16267" spans="7:8">
      <c r="G16267" s="87"/>
      <c r="H16267" s="90"/>
    </row>
    <row r="16268" spans="7:8">
      <c r="G16268" s="87"/>
      <c r="H16268" s="90"/>
    </row>
    <row r="16269" spans="7:8">
      <c r="G16269" s="87"/>
      <c r="H16269" s="90"/>
    </row>
    <row r="16270" spans="7:8">
      <c r="G16270" s="87"/>
      <c r="H16270" s="90"/>
    </row>
    <row r="16271" spans="7:8">
      <c r="G16271" s="87"/>
      <c r="H16271" s="90"/>
    </row>
    <row r="16272" spans="7:8">
      <c r="G16272" s="87"/>
      <c r="H16272" s="90"/>
    </row>
    <row r="16273" spans="7:8">
      <c r="G16273" s="87"/>
      <c r="H16273" s="90"/>
    </row>
    <row r="16274" spans="7:8">
      <c r="G16274" s="87"/>
      <c r="H16274" s="90"/>
    </row>
    <row r="16275" spans="7:8">
      <c r="G16275" s="87"/>
      <c r="H16275" s="90"/>
    </row>
    <row r="16276" spans="7:8">
      <c r="G16276" s="87"/>
      <c r="H16276" s="90"/>
    </row>
    <row r="16277" spans="7:8">
      <c r="G16277" s="87"/>
      <c r="H16277" s="90"/>
    </row>
    <row r="16278" spans="7:8">
      <c r="G16278" s="87"/>
      <c r="H16278" s="90"/>
    </row>
    <row r="16279" spans="7:8">
      <c r="G16279" s="87"/>
      <c r="H16279" s="90"/>
    </row>
    <row r="16280" spans="7:8">
      <c r="G16280" s="87"/>
      <c r="H16280" s="90"/>
    </row>
    <row r="16281" spans="7:8">
      <c r="G16281" s="87"/>
      <c r="H16281" s="90"/>
    </row>
    <row r="16282" spans="7:8">
      <c r="G16282" s="87"/>
      <c r="H16282" s="90"/>
    </row>
    <row r="16283" spans="7:8">
      <c r="G16283" s="87"/>
      <c r="H16283" s="90"/>
    </row>
    <row r="16284" spans="7:8">
      <c r="G16284" s="87"/>
      <c r="H16284" s="90"/>
    </row>
    <row r="16285" spans="7:8">
      <c r="G16285" s="87"/>
      <c r="H16285" s="90"/>
    </row>
    <row r="16286" spans="7:8">
      <c r="G16286" s="87"/>
      <c r="H16286" s="90"/>
    </row>
    <row r="16287" spans="7:8">
      <c r="G16287" s="87"/>
      <c r="H16287" s="90"/>
    </row>
    <row r="16288" spans="7:8">
      <c r="G16288" s="87"/>
      <c r="H16288" s="90"/>
    </row>
    <row r="16289" spans="7:8">
      <c r="G16289" s="87"/>
      <c r="H16289" s="90"/>
    </row>
    <row r="16290" spans="7:8">
      <c r="G16290" s="87"/>
      <c r="H16290" s="90"/>
    </row>
    <row r="16291" spans="7:8">
      <c r="G16291" s="87"/>
      <c r="H16291" s="90"/>
    </row>
    <row r="16292" spans="7:8">
      <c r="G16292" s="87"/>
      <c r="H16292" s="90"/>
    </row>
    <row r="16293" spans="7:8">
      <c r="G16293" s="87"/>
      <c r="H16293" s="90"/>
    </row>
    <row r="16294" spans="7:8">
      <c r="G16294" s="87"/>
      <c r="H16294" s="90"/>
    </row>
    <row r="16295" spans="7:8">
      <c r="G16295" s="87"/>
      <c r="H16295" s="90"/>
    </row>
    <row r="16296" spans="7:8">
      <c r="G16296" s="87"/>
      <c r="H16296" s="90"/>
    </row>
    <row r="16297" spans="7:8">
      <c r="G16297" s="87"/>
      <c r="H16297" s="90"/>
    </row>
    <row r="16298" spans="7:8">
      <c r="G16298" s="87"/>
      <c r="H16298" s="90"/>
    </row>
    <row r="16299" spans="7:8">
      <c r="G16299" s="87"/>
      <c r="H16299" s="90"/>
    </row>
    <row r="16300" spans="7:8">
      <c r="G16300" s="87"/>
      <c r="H16300" s="90"/>
    </row>
    <row r="16301" spans="7:8">
      <c r="G16301" s="87"/>
      <c r="H16301" s="90"/>
    </row>
    <row r="16302" spans="7:8">
      <c r="G16302" s="87"/>
      <c r="H16302" s="90"/>
    </row>
    <row r="16303" spans="7:8">
      <c r="G16303" s="87"/>
      <c r="H16303" s="90"/>
    </row>
    <row r="16304" spans="7:8">
      <c r="G16304" s="87"/>
      <c r="H16304" s="90"/>
    </row>
    <row r="16305" spans="7:8">
      <c r="G16305" s="87"/>
      <c r="H16305" s="90"/>
    </row>
    <row r="16306" spans="7:8">
      <c r="G16306" s="87"/>
      <c r="H16306" s="90"/>
    </row>
    <row r="16307" spans="7:8">
      <c r="G16307" s="87"/>
      <c r="H16307" s="90"/>
    </row>
    <row r="16308" spans="7:8">
      <c r="G16308" s="87"/>
      <c r="H16308" s="90"/>
    </row>
    <row r="16309" spans="7:8">
      <c r="G16309" s="87"/>
      <c r="H16309" s="90"/>
    </row>
    <row r="16310" spans="7:8">
      <c r="G16310" s="87"/>
      <c r="H16310" s="90"/>
    </row>
    <row r="16311" spans="7:8">
      <c r="G16311" s="87"/>
      <c r="H16311" s="90"/>
    </row>
    <row r="16312" spans="7:8">
      <c r="G16312" s="87"/>
      <c r="H16312" s="90"/>
    </row>
    <row r="16313" spans="7:8">
      <c r="G16313" s="87"/>
      <c r="H16313" s="90"/>
    </row>
    <row r="16314" spans="7:8">
      <c r="G16314" s="87"/>
      <c r="H16314" s="90"/>
    </row>
    <row r="16315" spans="7:8">
      <c r="G16315" s="87"/>
      <c r="H16315" s="90"/>
    </row>
    <row r="16316" spans="7:8">
      <c r="G16316" s="87"/>
      <c r="H16316" s="90"/>
    </row>
    <row r="16317" spans="7:8">
      <c r="G16317" s="87"/>
      <c r="H16317" s="90"/>
    </row>
    <row r="16318" spans="7:8">
      <c r="G16318" s="87"/>
      <c r="H16318" s="90"/>
    </row>
    <row r="16319" spans="7:8">
      <c r="G16319" s="87"/>
      <c r="H16319" s="90"/>
    </row>
    <row r="16320" spans="7:8">
      <c r="G16320" s="87"/>
      <c r="H16320" s="90"/>
    </row>
    <row r="16321" spans="7:8">
      <c r="G16321" s="87"/>
      <c r="H16321" s="90"/>
    </row>
    <row r="16322" spans="7:8">
      <c r="G16322" s="87"/>
      <c r="H16322" s="90"/>
    </row>
    <row r="16323" spans="7:8">
      <c r="G16323" s="87"/>
      <c r="H16323" s="90"/>
    </row>
    <row r="16324" spans="7:8">
      <c r="G16324" s="87"/>
      <c r="H16324" s="90"/>
    </row>
    <row r="16325" spans="7:8">
      <c r="G16325" s="87"/>
      <c r="H16325" s="90"/>
    </row>
    <row r="16326" spans="7:8">
      <c r="G16326" s="87"/>
      <c r="H16326" s="90"/>
    </row>
    <row r="16327" spans="7:8">
      <c r="G16327" s="87"/>
      <c r="H16327" s="90"/>
    </row>
    <row r="16328" spans="7:8">
      <c r="G16328" s="87"/>
      <c r="H16328" s="90"/>
    </row>
    <row r="16329" spans="7:8">
      <c r="G16329" s="87"/>
      <c r="H16329" s="90"/>
    </row>
    <row r="16330" spans="7:8">
      <c r="G16330" s="87"/>
      <c r="H16330" s="90"/>
    </row>
    <row r="16331" spans="7:8">
      <c r="G16331" s="87"/>
      <c r="H16331" s="90"/>
    </row>
    <row r="16332" spans="7:8">
      <c r="G16332" s="87"/>
      <c r="H16332" s="90"/>
    </row>
    <row r="16333" spans="7:8">
      <c r="G16333" s="87"/>
      <c r="H16333" s="90"/>
    </row>
    <row r="16334" spans="7:8">
      <c r="G16334" s="87"/>
      <c r="H16334" s="90"/>
    </row>
    <row r="16335" spans="7:8">
      <c r="G16335" s="87"/>
      <c r="H16335" s="90"/>
    </row>
    <row r="16336" spans="7:8">
      <c r="G16336" s="87"/>
      <c r="H16336" s="90"/>
    </row>
    <row r="16337" spans="7:8">
      <c r="G16337" s="87"/>
      <c r="H16337" s="90"/>
    </row>
    <row r="16338" spans="7:8">
      <c r="G16338" s="87"/>
      <c r="H16338" s="90"/>
    </row>
    <row r="16339" spans="7:8">
      <c r="G16339" s="87"/>
      <c r="H16339" s="90"/>
    </row>
    <row r="16340" spans="7:8">
      <c r="G16340" s="87"/>
      <c r="H16340" s="90"/>
    </row>
    <row r="16341" spans="7:8">
      <c r="G16341" s="87"/>
      <c r="H16341" s="90"/>
    </row>
    <row r="16342" spans="7:8">
      <c r="G16342" s="87"/>
      <c r="H16342" s="90"/>
    </row>
    <row r="16343" spans="7:8">
      <c r="G16343" s="87"/>
      <c r="H16343" s="90"/>
    </row>
    <row r="16344" spans="7:8">
      <c r="G16344" s="87"/>
      <c r="H16344" s="90"/>
    </row>
    <row r="16345" spans="7:8">
      <c r="G16345" s="87"/>
      <c r="H16345" s="90"/>
    </row>
    <row r="16346" spans="7:8">
      <c r="G16346" s="87"/>
      <c r="H16346" s="90"/>
    </row>
    <row r="16347" spans="7:8">
      <c r="G16347" s="87"/>
      <c r="H16347" s="90"/>
    </row>
    <row r="16348" spans="7:8">
      <c r="G16348" s="87"/>
      <c r="H16348" s="90"/>
    </row>
    <row r="16349" spans="7:8">
      <c r="G16349" s="87"/>
      <c r="H16349" s="90"/>
    </row>
    <row r="16350" spans="7:8">
      <c r="G16350" s="87"/>
      <c r="H16350" s="90"/>
    </row>
    <row r="16351" spans="7:8">
      <c r="G16351" s="87"/>
      <c r="H16351" s="90"/>
    </row>
    <row r="16352" spans="7:8">
      <c r="G16352" s="87"/>
      <c r="H16352" s="90"/>
    </row>
    <row r="16353" spans="7:8">
      <c r="G16353" s="87"/>
      <c r="H16353" s="90"/>
    </row>
    <row r="16354" spans="7:8">
      <c r="G16354" s="87"/>
      <c r="H16354" s="90"/>
    </row>
    <row r="16355" spans="7:8">
      <c r="G16355" s="87"/>
      <c r="H16355" s="90"/>
    </row>
    <row r="16356" spans="7:8">
      <c r="G16356" s="87"/>
      <c r="H16356" s="90"/>
    </row>
    <row r="16357" spans="7:8">
      <c r="G16357" s="87"/>
      <c r="H16357" s="90"/>
    </row>
    <row r="16358" spans="7:8">
      <c r="G16358" s="87"/>
      <c r="H16358" s="90"/>
    </row>
    <row r="16359" spans="7:8">
      <c r="G16359" s="87"/>
      <c r="H16359" s="90"/>
    </row>
    <row r="16360" spans="7:8">
      <c r="G16360" s="87"/>
      <c r="H16360" s="90"/>
    </row>
    <row r="16361" spans="7:8">
      <c r="G16361" s="87"/>
      <c r="H16361" s="90"/>
    </row>
    <row r="16362" spans="7:8">
      <c r="G16362" s="87"/>
      <c r="H16362" s="90"/>
    </row>
    <row r="16363" spans="7:8">
      <c r="G16363" s="87"/>
      <c r="H16363" s="90"/>
    </row>
    <row r="16364" spans="7:8">
      <c r="G16364" s="87"/>
      <c r="H16364" s="90"/>
    </row>
    <row r="16365" spans="7:8">
      <c r="G16365" s="87"/>
      <c r="H16365" s="90"/>
    </row>
    <row r="16366" spans="7:8">
      <c r="G16366" s="87"/>
      <c r="H16366" s="90"/>
    </row>
    <row r="16367" spans="7:8">
      <c r="G16367" s="87"/>
      <c r="H16367" s="90"/>
    </row>
    <row r="16368" spans="7:8">
      <c r="G16368" s="87"/>
      <c r="H16368" s="90"/>
    </row>
    <row r="16369" spans="7:8">
      <c r="G16369" s="87"/>
      <c r="H16369" s="90"/>
    </row>
    <row r="16370" spans="7:8">
      <c r="G16370" s="87"/>
      <c r="H16370" s="90"/>
    </row>
    <row r="16371" spans="7:8">
      <c r="G16371" s="87"/>
      <c r="H16371" s="90"/>
    </row>
    <row r="16372" spans="7:8">
      <c r="G16372" s="87"/>
      <c r="H16372" s="90"/>
    </row>
    <row r="16373" spans="7:8">
      <c r="G16373" s="87"/>
      <c r="H16373" s="90"/>
    </row>
    <row r="16374" spans="7:8">
      <c r="G16374" s="87"/>
      <c r="H16374" s="90"/>
    </row>
    <row r="16375" spans="7:8">
      <c r="G16375" s="87"/>
      <c r="H16375" s="90"/>
    </row>
    <row r="16376" spans="7:8">
      <c r="G16376" s="87"/>
      <c r="H16376" s="90"/>
    </row>
    <row r="16377" spans="7:8">
      <c r="G16377" s="87"/>
      <c r="H16377" s="90"/>
    </row>
    <row r="16378" spans="7:8">
      <c r="G16378" s="87"/>
      <c r="H16378" s="90"/>
    </row>
    <row r="16379" spans="7:8">
      <c r="G16379" s="87"/>
      <c r="H16379" s="90"/>
    </row>
    <row r="16380" spans="7:8">
      <c r="G16380" s="87"/>
      <c r="H16380" s="90"/>
    </row>
    <row r="16381" spans="7:8">
      <c r="G16381" s="87"/>
      <c r="H16381" s="90"/>
    </row>
    <row r="16382" spans="7:8">
      <c r="G16382" s="87"/>
      <c r="H16382" s="90"/>
    </row>
    <row r="16383" spans="7:8">
      <c r="G16383" s="87"/>
      <c r="H16383" s="90"/>
    </row>
    <row r="16384" spans="7:8">
      <c r="G16384" s="87"/>
      <c r="H16384" s="90"/>
    </row>
    <row r="16385" spans="7:8">
      <c r="G16385" s="87"/>
      <c r="H16385" s="90"/>
    </row>
    <row r="16386" spans="7:8">
      <c r="G16386" s="87"/>
      <c r="H16386" s="90"/>
    </row>
    <row r="16387" spans="7:8">
      <c r="G16387" s="87"/>
      <c r="H16387" s="90"/>
    </row>
    <row r="16388" spans="7:8">
      <c r="G16388" s="87"/>
      <c r="H16388" s="90"/>
    </row>
    <row r="16389" spans="7:8">
      <c r="G16389" s="87"/>
      <c r="H16389" s="90"/>
    </row>
    <row r="16390" spans="7:8">
      <c r="G16390" s="87"/>
      <c r="H16390" s="90"/>
    </row>
    <row r="16391" spans="7:8">
      <c r="G16391" s="87"/>
      <c r="H16391" s="90"/>
    </row>
    <row r="16392" spans="7:8">
      <c r="G16392" s="87"/>
      <c r="H16392" s="90"/>
    </row>
    <row r="16393" spans="7:8">
      <c r="G16393" s="87"/>
      <c r="H16393" s="90"/>
    </row>
    <row r="16394" spans="7:8">
      <c r="G16394" s="87"/>
      <c r="H16394" s="90"/>
    </row>
    <row r="16395" spans="7:8">
      <c r="G16395" s="87"/>
      <c r="H16395" s="90"/>
    </row>
    <row r="16396" spans="7:8">
      <c r="G16396" s="87"/>
      <c r="H16396" s="90"/>
    </row>
    <row r="16397" spans="7:8">
      <c r="G16397" s="87"/>
      <c r="H16397" s="90"/>
    </row>
    <row r="16398" spans="7:8">
      <c r="G16398" s="87"/>
      <c r="H16398" s="90"/>
    </row>
    <row r="16399" spans="7:8">
      <c r="G16399" s="87"/>
      <c r="H16399" s="90"/>
    </row>
    <row r="16400" spans="7:8">
      <c r="G16400" s="87"/>
      <c r="H16400" s="90"/>
    </row>
    <row r="16401" spans="7:8">
      <c r="G16401" s="87"/>
      <c r="H16401" s="90"/>
    </row>
    <row r="16402" spans="7:8">
      <c r="G16402" s="87"/>
      <c r="H16402" s="90"/>
    </row>
    <row r="16403" spans="7:8">
      <c r="G16403" s="87"/>
      <c r="H16403" s="90"/>
    </row>
    <row r="16404" spans="7:8">
      <c r="G16404" s="87"/>
      <c r="H16404" s="90"/>
    </row>
    <row r="16405" spans="7:8">
      <c r="G16405" s="87"/>
      <c r="H16405" s="90"/>
    </row>
    <row r="16406" spans="7:8">
      <c r="G16406" s="87"/>
      <c r="H16406" s="90"/>
    </row>
    <row r="16407" spans="7:8">
      <c r="G16407" s="87"/>
      <c r="H16407" s="90"/>
    </row>
    <row r="16408" spans="7:8">
      <c r="G16408" s="87"/>
      <c r="H16408" s="90"/>
    </row>
    <row r="16409" spans="7:8">
      <c r="G16409" s="87"/>
      <c r="H16409" s="90"/>
    </row>
    <row r="16410" spans="7:8">
      <c r="G16410" s="87"/>
      <c r="H16410" s="90"/>
    </row>
    <row r="16411" spans="7:8">
      <c r="G16411" s="87"/>
      <c r="H16411" s="90"/>
    </row>
    <row r="16412" spans="7:8">
      <c r="G16412" s="87"/>
      <c r="H16412" s="90"/>
    </row>
    <row r="16413" spans="7:8">
      <c r="G16413" s="87"/>
      <c r="H16413" s="90"/>
    </row>
    <row r="16414" spans="7:8">
      <c r="G16414" s="87"/>
      <c r="H16414" s="90"/>
    </row>
    <row r="16415" spans="7:8">
      <c r="G16415" s="87"/>
      <c r="H16415" s="90"/>
    </row>
    <row r="16416" spans="7:8">
      <c r="G16416" s="87"/>
      <c r="H16416" s="90"/>
    </row>
    <row r="16417" spans="7:8">
      <c r="G16417" s="87"/>
      <c r="H16417" s="90"/>
    </row>
    <row r="16418" spans="7:8">
      <c r="G16418" s="87"/>
      <c r="H16418" s="90"/>
    </row>
    <row r="16419" spans="7:8">
      <c r="G16419" s="87"/>
      <c r="H16419" s="90"/>
    </row>
    <row r="16420" spans="7:8">
      <c r="G16420" s="87"/>
      <c r="H16420" s="90"/>
    </row>
    <row r="16421" spans="7:8">
      <c r="G16421" s="87"/>
      <c r="H16421" s="90"/>
    </row>
    <row r="16422" spans="7:8">
      <c r="G16422" s="87"/>
      <c r="H16422" s="90"/>
    </row>
    <row r="16423" spans="7:8">
      <c r="G16423" s="87"/>
      <c r="H16423" s="90"/>
    </row>
    <row r="16424" spans="7:8">
      <c r="G16424" s="87"/>
      <c r="H16424" s="90"/>
    </row>
    <row r="16425" spans="7:8">
      <c r="G16425" s="87"/>
      <c r="H16425" s="90"/>
    </row>
    <row r="16426" spans="7:8">
      <c r="G16426" s="87"/>
      <c r="H16426" s="90"/>
    </row>
    <row r="16427" spans="7:8">
      <c r="G16427" s="87"/>
      <c r="H16427" s="90"/>
    </row>
    <row r="16428" spans="7:8">
      <c r="G16428" s="87"/>
      <c r="H16428" s="90"/>
    </row>
    <row r="16429" spans="7:8">
      <c r="G16429" s="87"/>
      <c r="H16429" s="90"/>
    </row>
    <row r="16430" spans="7:8">
      <c r="G16430" s="87"/>
      <c r="H16430" s="90"/>
    </row>
    <row r="16431" spans="7:8">
      <c r="G16431" s="87"/>
      <c r="H16431" s="90"/>
    </row>
    <row r="16432" spans="7:8">
      <c r="G16432" s="87"/>
      <c r="H16432" s="90"/>
    </row>
    <row r="16433" spans="7:8">
      <c r="G16433" s="87"/>
      <c r="H16433" s="90"/>
    </row>
    <row r="16434" spans="7:8">
      <c r="G16434" s="87"/>
      <c r="H16434" s="90"/>
    </row>
    <row r="16435" spans="7:8">
      <c r="G16435" s="87"/>
      <c r="H16435" s="90"/>
    </row>
    <row r="16436" spans="7:8">
      <c r="G16436" s="87"/>
      <c r="H16436" s="90"/>
    </row>
    <row r="16437" spans="7:8">
      <c r="G16437" s="87"/>
      <c r="H16437" s="90"/>
    </row>
    <row r="16438" spans="7:8">
      <c r="G16438" s="87"/>
      <c r="H16438" s="90"/>
    </row>
    <row r="16439" spans="7:8">
      <c r="G16439" s="87"/>
      <c r="H16439" s="90"/>
    </row>
    <row r="16440" spans="7:8">
      <c r="G16440" s="87"/>
      <c r="H16440" s="90"/>
    </row>
    <row r="16441" spans="7:8">
      <c r="G16441" s="87"/>
      <c r="H16441" s="90"/>
    </row>
    <row r="16442" spans="7:8">
      <c r="G16442" s="87"/>
      <c r="H16442" s="90"/>
    </row>
    <row r="16443" spans="7:8">
      <c r="G16443" s="87"/>
      <c r="H16443" s="90"/>
    </row>
    <row r="16444" spans="7:8">
      <c r="G16444" s="87"/>
      <c r="H16444" s="90"/>
    </row>
    <row r="16445" spans="7:8">
      <c r="G16445" s="87"/>
      <c r="H16445" s="90"/>
    </row>
    <row r="16446" spans="7:8">
      <c r="G16446" s="87"/>
      <c r="H16446" s="90"/>
    </row>
    <row r="16447" spans="7:8">
      <c r="G16447" s="87"/>
      <c r="H16447" s="90"/>
    </row>
    <row r="16448" spans="7:8">
      <c r="G16448" s="87"/>
      <c r="H16448" s="90"/>
    </row>
    <row r="16449" spans="7:8">
      <c r="G16449" s="87"/>
      <c r="H16449" s="90"/>
    </row>
    <row r="16450" spans="7:8">
      <c r="G16450" s="87"/>
      <c r="H16450" s="90"/>
    </row>
    <row r="16451" spans="7:8">
      <c r="G16451" s="87"/>
      <c r="H16451" s="90"/>
    </row>
    <row r="16452" spans="7:8">
      <c r="G16452" s="87"/>
      <c r="H16452" s="90"/>
    </row>
    <row r="16453" spans="7:8">
      <c r="G16453" s="87"/>
      <c r="H16453" s="90"/>
    </row>
    <row r="16454" spans="7:8">
      <c r="G16454" s="87"/>
      <c r="H16454" s="90"/>
    </row>
    <row r="16455" spans="7:8">
      <c r="G16455" s="87"/>
      <c r="H16455" s="90"/>
    </row>
    <row r="16456" spans="7:8">
      <c r="G16456" s="87"/>
      <c r="H16456" s="90"/>
    </row>
    <row r="16457" spans="7:8">
      <c r="G16457" s="87"/>
      <c r="H16457" s="90"/>
    </row>
    <row r="16458" spans="7:8">
      <c r="G16458" s="87"/>
      <c r="H16458" s="90"/>
    </row>
    <row r="16459" spans="7:8">
      <c r="G16459" s="87"/>
      <c r="H16459" s="90"/>
    </row>
    <row r="16460" spans="7:8">
      <c r="G16460" s="87"/>
      <c r="H16460" s="90"/>
    </row>
    <row r="16461" spans="7:8">
      <c r="G16461" s="87"/>
      <c r="H16461" s="90"/>
    </row>
    <row r="16462" spans="7:8">
      <c r="G16462" s="87"/>
      <c r="H16462" s="90"/>
    </row>
    <row r="16463" spans="7:8">
      <c r="G16463" s="87"/>
      <c r="H16463" s="90"/>
    </row>
    <row r="16464" spans="7:8">
      <c r="G16464" s="87"/>
      <c r="H16464" s="90"/>
    </row>
    <row r="16465" spans="7:8">
      <c r="G16465" s="87"/>
      <c r="H16465" s="90"/>
    </row>
    <row r="16466" spans="7:8">
      <c r="G16466" s="87"/>
      <c r="H16466" s="90"/>
    </row>
    <row r="16467" spans="7:8">
      <c r="G16467" s="87"/>
      <c r="H16467" s="90"/>
    </row>
    <row r="16468" spans="7:8">
      <c r="G16468" s="87"/>
      <c r="H16468" s="90"/>
    </row>
    <row r="16469" spans="7:8">
      <c r="G16469" s="87"/>
      <c r="H16469" s="90"/>
    </row>
    <row r="16470" spans="7:8">
      <c r="G16470" s="87"/>
      <c r="H16470" s="90"/>
    </row>
    <row r="16471" spans="7:8">
      <c r="G16471" s="87"/>
      <c r="H16471" s="90"/>
    </row>
    <row r="16472" spans="7:8">
      <c r="G16472" s="87"/>
      <c r="H16472" s="90"/>
    </row>
    <row r="16473" spans="7:8">
      <c r="G16473" s="87"/>
      <c r="H16473" s="90"/>
    </row>
    <row r="16474" spans="7:8">
      <c r="G16474" s="87"/>
      <c r="H16474" s="90"/>
    </row>
    <row r="16475" spans="7:8">
      <c r="G16475" s="87"/>
      <c r="H16475" s="90"/>
    </row>
    <row r="16476" spans="7:8">
      <c r="G16476" s="87"/>
      <c r="H16476" s="90"/>
    </row>
    <row r="16477" spans="7:8">
      <c r="G16477" s="87"/>
      <c r="H16477" s="90"/>
    </row>
    <row r="16478" spans="7:8">
      <c r="G16478" s="87"/>
      <c r="H16478" s="90"/>
    </row>
    <row r="16479" spans="7:8">
      <c r="G16479" s="87"/>
      <c r="H16479" s="90"/>
    </row>
    <row r="16480" spans="7:8">
      <c r="G16480" s="87"/>
      <c r="H16480" s="90"/>
    </row>
    <row r="16481" spans="7:8">
      <c r="G16481" s="87"/>
      <c r="H16481" s="90"/>
    </row>
    <row r="16482" spans="7:8">
      <c r="G16482" s="87"/>
      <c r="H16482" s="90"/>
    </row>
    <row r="16483" spans="7:8">
      <c r="G16483" s="87"/>
      <c r="H16483" s="90"/>
    </row>
    <row r="16484" spans="7:8">
      <c r="G16484" s="87"/>
      <c r="H16484" s="90"/>
    </row>
    <row r="16485" spans="7:8">
      <c r="G16485" s="87"/>
      <c r="H16485" s="90"/>
    </row>
    <row r="16486" spans="7:8">
      <c r="G16486" s="87"/>
      <c r="H16486" s="90"/>
    </row>
    <row r="16487" spans="7:8">
      <c r="G16487" s="87"/>
      <c r="H16487" s="90"/>
    </row>
    <row r="16488" spans="7:8">
      <c r="G16488" s="87"/>
      <c r="H16488" s="90"/>
    </row>
    <row r="16489" spans="7:8">
      <c r="G16489" s="87"/>
      <c r="H16489" s="90"/>
    </row>
    <row r="16490" spans="7:8">
      <c r="G16490" s="87"/>
      <c r="H16490" s="90"/>
    </row>
    <row r="16491" spans="7:8">
      <c r="G16491" s="87"/>
      <c r="H16491" s="90"/>
    </row>
    <row r="16492" spans="7:8">
      <c r="G16492" s="87"/>
      <c r="H16492" s="90"/>
    </row>
    <row r="16493" spans="7:8">
      <c r="G16493" s="87"/>
      <c r="H16493" s="90"/>
    </row>
    <row r="16494" spans="7:8">
      <c r="G16494" s="87"/>
      <c r="H16494" s="90"/>
    </row>
    <row r="16495" spans="7:8">
      <c r="G16495" s="87"/>
      <c r="H16495" s="90"/>
    </row>
    <row r="16496" spans="7:8">
      <c r="G16496" s="87"/>
      <c r="H16496" s="90"/>
    </row>
    <row r="16497" spans="7:8">
      <c r="G16497" s="87"/>
      <c r="H16497" s="90"/>
    </row>
    <row r="16498" spans="7:8">
      <c r="G16498" s="87"/>
      <c r="H16498" s="90"/>
    </row>
    <row r="16499" spans="7:8">
      <c r="G16499" s="87"/>
      <c r="H16499" s="90"/>
    </row>
    <row r="16500" spans="7:8">
      <c r="G16500" s="87"/>
      <c r="H16500" s="90"/>
    </row>
    <row r="16501" spans="7:8">
      <c r="G16501" s="87"/>
      <c r="H16501" s="90"/>
    </row>
    <row r="16502" spans="7:8">
      <c r="G16502" s="87"/>
      <c r="H16502" s="90"/>
    </row>
    <row r="16503" spans="7:8">
      <c r="G16503" s="87"/>
      <c r="H16503" s="90"/>
    </row>
    <row r="16504" spans="7:8">
      <c r="G16504" s="87"/>
      <c r="H16504" s="90"/>
    </row>
    <row r="16505" spans="7:8">
      <c r="G16505" s="87"/>
      <c r="H16505" s="90"/>
    </row>
    <row r="16506" spans="7:8">
      <c r="G16506" s="87"/>
      <c r="H16506" s="90"/>
    </row>
    <row r="16507" spans="7:8">
      <c r="G16507" s="87"/>
      <c r="H16507" s="90"/>
    </row>
    <row r="16508" spans="7:8">
      <c r="G16508" s="87"/>
      <c r="H16508" s="90"/>
    </row>
    <row r="16509" spans="7:8">
      <c r="G16509" s="87"/>
      <c r="H16509" s="90"/>
    </row>
    <row r="16510" spans="7:8">
      <c r="G16510" s="87"/>
      <c r="H16510" s="90"/>
    </row>
    <row r="16511" spans="7:8">
      <c r="G16511" s="87"/>
      <c r="H16511" s="90"/>
    </row>
    <row r="16512" spans="7:8">
      <c r="G16512" s="87"/>
      <c r="H16512" s="90"/>
    </row>
    <row r="16513" spans="7:8">
      <c r="G16513" s="87"/>
      <c r="H16513" s="90"/>
    </row>
    <row r="16514" spans="7:8">
      <c r="G16514" s="87"/>
      <c r="H16514" s="90"/>
    </row>
    <row r="16515" spans="7:8">
      <c r="G16515" s="87"/>
      <c r="H16515" s="90"/>
    </row>
    <row r="16516" spans="7:8">
      <c r="G16516" s="87"/>
      <c r="H16516" s="90"/>
    </row>
    <row r="16517" spans="7:8">
      <c r="G16517" s="87"/>
      <c r="H16517" s="90"/>
    </row>
    <row r="16518" spans="7:8">
      <c r="G16518" s="87"/>
      <c r="H16518" s="90"/>
    </row>
    <row r="16519" spans="7:8">
      <c r="G16519" s="87"/>
      <c r="H16519" s="90"/>
    </row>
    <row r="16520" spans="7:8">
      <c r="G16520" s="87"/>
      <c r="H16520" s="90"/>
    </row>
    <row r="16521" spans="7:8">
      <c r="G16521" s="87"/>
      <c r="H16521" s="90"/>
    </row>
    <row r="16522" spans="7:8">
      <c r="G16522" s="87"/>
      <c r="H16522" s="90"/>
    </row>
    <row r="16523" spans="7:8">
      <c r="G16523" s="87"/>
      <c r="H16523" s="90"/>
    </row>
    <row r="16524" spans="7:8">
      <c r="G16524" s="87"/>
      <c r="H16524" s="90"/>
    </row>
    <row r="16525" spans="7:8">
      <c r="G16525" s="87"/>
      <c r="H16525" s="90"/>
    </row>
    <row r="16526" spans="7:8">
      <c r="G16526" s="87"/>
      <c r="H16526" s="90"/>
    </row>
    <row r="16527" spans="7:8">
      <c r="G16527" s="87"/>
      <c r="H16527" s="90"/>
    </row>
    <row r="16528" spans="7:8">
      <c r="G16528" s="87"/>
      <c r="H16528" s="90"/>
    </row>
    <row r="16529" spans="7:8">
      <c r="G16529" s="87"/>
      <c r="H16529" s="90"/>
    </row>
    <row r="16530" spans="7:8">
      <c r="G16530" s="87"/>
      <c r="H16530" s="90"/>
    </row>
    <row r="16531" spans="7:8">
      <c r="G16531" s="87"/>
      <c r="H16531" s="90"/>
    </row>
    <row r="16532" spans="7:8">
      <c r="G16532" s="87"/>
      <c r="H16532" s="90"/>
    </row>
    <row r="16533" spans="7:8">
      <c r="G16533" s="87"/>
      <c r="H16533" s="90"/>
    </row>
    <row r="16534" spans="7:8">
      <c r="G16534" s="87"/>
      <c r="H16534" s="90"/>
    </row>
    <row r="16535" spans="7:8">
      <c r="G16535" s="87"/>
      <c r="H16535" s="90"/>
    </row>
    <row r="16536" spans="7:8">
      <c r="G16536" s="87"/>
      <c r="H16536" s="90"/>
    </row>
    <row r="16537" spans="7:8">
      <c r="G16537" s="87"/>
      <c r="H16537" s="90"/>
    </row>
    <row r="16538" spans="7:8">
      <c r="G16538" s="87"/>
      <c r="H16538" s="90"/>
    </row>
    <row r="16539" spans="7:8">
      <c r="G16539" s="87"/>
      <c r="H16539" s="90"/>
    </row>
    <row r="16540" spans="7:8">
      <c r="G16540" s="87"/>
      <c r="H16540" s="90"/>
    </row>
    <row r="16541" spans="7:8">
      <c r="G16541" s="87"/>
      <c r="H16541" s="90"/>
    </row>
    <row r="16542" spans="7:8">
      <c r="G16542" s="87"/>
      <c r="H16542" s="90"/>
    </row>
    <row r="16543" spans="7:8">
      <c r="G16543" s="87"/>
      <c r="H16543" s="90"/>
    </row>
    <row r="16544" spans="7:8">
      <c r="G16544" s="87"/>
      <c r="H16544" s="90"/>
    </row>
    <row r="16545" spans="7:8">
      <c r="G16545" s="87"/>
      <c r="H16545" s="90"/>
    </row>
    <row r="16546" spans="7:8">
      <c r="G16546" s="87"/>
      <c r="H16546" s="90"/>
    </row>
    <row r="16547" spans="7:8">
      <c r="G16547" s="87"/>
      <c r="H16547" s="90"/>
    </row>
    <row r="16548" spans="7:8">
      <c r="G16548" s="87"/>
      <c r="H16548" s="90"/>
    </row>
    <row r="16549" spans="7:8">
      <c r="G16549" s="87"/>
      <c r="H16549" s="90"/>
    </row>
    <row r="16550" spans="7:8">
      <c r="G16550" s="87"/>
      <c r="H16550" s="90"/>
    </row>
    <row r="16551" spans="7:8">
      <c r="G16551" s="87"/>
      <c r="H16551" s="90"/>
    </row>
    <row r="16552" spans="7:8">
      <c r="G16552" s="87"/>
      <c r="H16552" s="90"/>
    </row>
    <row r="16553" spans="7:8">
      <c r="G16553" s="87"/>
      <c r="H16553" s="90"/>
    </row>
    <row r="16554" spans="7:8">
      <c r="G16554" s="87"/>
      <c r="H16554" s="90"/>
    </row>
    <row r="16555" spans="7:8">
      <c r="G16555" s="87"/>
      <c r="H16555" s="90"/>
    </row>
    <row r="16556" spans="7:8">
      <c r="G16556" s="87"/>
      <c r="H16556" s="90"/>
    </row>
    <row r="16557" spans="7:8">
      <c r="G16557" s="87"/>
      <c r="H16557" s="90"/>
    </row>
    <row r="16558" spans="7:8">
      <c r="G16558" s="87"/>
      <c r="H16558" s="90"/>
    </row>
    <row r="16559" spans="7:8">
      <c r="G16559" s="87"/>
      <c r="H16559" s="90"/>
    </row>
    <row r="16560" spans="7:8">
      <c r="G16560" s="87"/>
      <c r="H16560" s="90"/>
    </row>
    <row r="16561" spans="7:8">
      <c r="G16561" s="87"/>
      <c r="H16561" s="90"/>
    </row>
    <row r="16562" spans="7:8">
      <c r="G16562" s="87"/>
      <c r="H16562" s="90"/>
    </row>
    <row r="16563" spans="7:8">
      <c r="G16563" s="87"/>
      <c r="H16563" s="90"/>
    </row>
    <row r="16564" spans="7:8">
      <c r="G16564" s="87"/>
      <c r="H16564" s="90"/>
    </row>
    <row r="16565" spans="7:8">
      <c r="G16565" s="87"/>
      <c r="H16565" s="90"/>
    </row>
    <row r="16566" spans="7:8">
      <c r="G16566" s="87"/>
      <c r="H16566" s="90"/>
    </row>
    <row r="16567" spans="7:8">
      <c r="G16567" s="87"/>
      <c r="H16567" s="90"/>
    </row>
    <row r="16568" spans="7:8">
      <c r="G16568" s="87"/>
      <c r="H16568" s="90"/>
    </row>
    <row r="16569" spans="7:8">
      <c r="G16569" s="87"/>
      <c r="H16569" s="90"/>
    </row>
    <row r="16570" spans="7:8">
      <c r="G16570" s="87"/>
      <c r="H16570" s="90"/>
    </row>
    <row r="16571" spans="7:8">
      <c r="G16571" s="87"/>
      <c r="H16571" s="90"/>
    </row>
    <row r="16572" spans="7:8">
      <c r="G16572" s="87"/>
      <c r="H16572" s="90"/>
    </row>
    <row r="16573" spans="7:8">
      <c r="G16573" s="87"/>
      <c r="H16573" s="90"/>
    </row>
    <row r="16574" spans="7:8">
      <c r="G16574" s="87"/>
      <c r="H16574" s="90"/>
    </row>
    <row r="16575" spans="7:8">
      <c r="G16575" s="87"/>
      <c r="H16575" s="90"/>
    </row>
    <row r="16576" spans="7:8">
      <c r="G16576" s="87"/>
      <c r="H16576" s="90"/>
    </row>
    <row r="16577" spans="7:8">
      <c r="G16577" s="87"/>
      <c r="H16577" s="90"/>
    </row>
    <row r="16578" spans="7:8">
      <c r="G16578" s="87"/>
      <c r="H16578" s="90"/>
    </row>
    <row r="16579" spans="7:8">
      <c r="G16579" s="87"/>
      <c r="H16579" s="90"/>
    </row>
    <row r="16580" spans="7:8">
      <c r="G16580" s="87"/>
      <c r="H16580" s="90"/>
    </row>
    <row r="16581" spans="7:8">
      <c r="G16581" s="87"/>
      <c r="H16581" s="90"/>
    </row>
    <row r="16582" spans="7:8">
      <c r="G16582" s="87"/>
      <c r="H16582" s="90"/>
    </row>
    <row r="16583" spans="7:8">
      <c r="G16583" s="87"/>
      <c r="H16583" s="90"/>
    </row>
    <row r="16584" spans="7:8">
      <c r="G16584" s="87"/>
      <c r="H16584" s="90"/>
    </row>
    <row r="16585" spans="7:8">
      <c r="G16585" s="87"/>
      <c r="H16585" s="90"/>
    </row>
    <row r="16586" spans="7:8">
      <c r="G16586" s="87"/>
      <c r="H16586" s="90"/>
    </row>
    <row r="16587" spans="7:8">
      <c r="G16587" s="87"/>
      <c r="H16587" s="90"/>
    </row>
    <row r="16588" spans="7:8">
      <c r="G16588" s="87"/>
      <c r="H16588" s="90"/>
    </row>
    <row r="16589" spans="7:8">
      <c r="G16589" s="87"/>
      <c r="H16589" s="90"/>
    </row>
    <row r="16590" spans="7:8">
      <c r="G16590" s="87"/>
      <c r="H16590" s="90"/>
    </row>
    <row r="16591" spans="7:8">
      <c r="G16591" s="87"/>
      <c r="H16591" s="90"/>
    </row>
    <row r="16592" spans="7:8">
      <c r="G16592" s="87"/>
      <c r="H16592" s="90"/>
    </row>
    <row r="16593" spans="7:8">
      <c r="G16593" s="87"/>
      <c r="H16593" s="90"/>
    </row>
    <row r="16594" spans="7:8">
      <c r="G16594" s="87"/>
      <c r="H16594" s="90"/>
    </row>
    <row r="16595" spans="7:8">
      <c r="G16595" s="87"/>
      <c r="H16595" s="90"/>
    </row>
    <row r="16596" spans="7:8">
      <c r="G16596" s="87"/>
      <c r="H16596" s="90"/>
    </row>
    <row r="16597" spans="7:8">
      <c r="G16597" s="87"/>
      <c r="H16597" s="90"/>
    </row>
    <row r="16598" spans="7:8">
      <c r="G16598" s="87"/>
      <c r="H16598" s="90"/>
    </row>
    <row r="16599" spans="7:8">
      <c r="G16599" s="87"/>
      <c r="H16599" s="90"/>
    </row>
    <row r="16600" spans="7:8">
      <c r="G16600" s="87"/>
      <c r="H16600" s="90"/>
    </row>
    <row r="16601" spans="7:8">
      <c r="G16601" s="87"/>
      <c r="H16601" s="90"/>
    </row>
    <row r="16602" spans="7:8">
      <c r="G16602" s="87"/>
      <c r="H16602" s="90"/>
    </row>
    <row r="16603" spans="7:8">
      <c r="G16603" s="87"/>
      <c r="H16603" s="90"/>
    </row>
    <row r="16604" spans="7:8">
      <c r="G16604" s="87"/>
      <c r="H16604" s="90"/>
    </row>
    <row r="16605" spans="7:8">
      <c r="G16605" s="87"/>
      <c r="H16605" s="90"/>
    </row>
    <row r="16606" spans="7:8">
      <c r="G16606" s="87"/>
      <c r="H16606" s="90"/>
    </row>
    <row r="16607" spans="7:8">
      <c r="G16607" s="87"/>
      <c r="H16607" s="90"/>
    </row>
    <row r="16608" spans="7:8">
      <c r="G16608" s="87"/>
      <c r="H16608" s="90"/>
    </row>
    <row r="16609" spans="7:8">
      <c r="G16609" s="87"/>
      <c r="H16609" s="90"/>
    </row>
    <row r="16610" spans="7:8">
      <c r="G16610" s="87"/>
      <c r="H16610" s="90"/>
    </row>
    <row r="16611" spans="7:8">
      <c r="G16611" s="87"/>
      <c r="H16611" s="90"/>
    </row>
    <row r="16612" spans="7:8">
      <c r="G16612" s="87"/>
      <c r="H16612" s="90"/>
    </row>
    <row r="16613" spans="7:8">
      <c r="G16613" s="87"/>
      <c r="H16613" s="90"/>
    </row>
    <row r="16614" spans="7:8">
      <c r="G16614" s="87"/>
      <c r="H16614" s="90"/>
    </row>
    <row r="16615" spans="7:8">
      <c r="G16615" s="87"/>
      <c r="H16615" s="90"/>
    </row>
    <row r="16616" spans="7:8">
      <c r="G16616" s="87"/>
      <c r="H16616" s="90"/>
    </row>
    <row r="16617" spans="7:8">
      <c r="G16617" s="87"/>
      <c r="H16617" s="90"/>
    </row>
    <row r="16618" spans="7:8">
      <c r="G16618" s="87"/>
      <c r="H16618" s="90"/>
    </row>
    <row r="16619" spans="7:8">
      <c r="G16619" s="87"/>
      <c r="H16619" s="90"/>
    </row>
    <row r="16620" spans="7:8">
      <c r="G16620" s="87"/>
      <c r="H16620" s="90"/>
    </row>
    <row r="16621" spans="7:8">
      <c r="G16621" s="87"/>
      <c r="H16621" s="90"/>
    </row>
    <row r="16622" spans="7:8">
      <c r="G16622" s="87"/>
      <c r="H16622" s="90"/>
    </row>
    <row r="16623" spans="7:8">
      <c r="G16623" s="87"/>
      <c r="H16623" s="90"/>
    </row>
    <row r="16624" spans="7:8">
      <c r="G16624" s="87"/>
      <c r="H16624" s="90"/>
    </row>
    <row r="16625" spans="7:8">
      <c r="G16625" s="87"/>
      <c r="H16625" s="90"/>
    </row>
    <row r="16626" spans="7:8">
      <c r="G16626" s="87"/>
      <c r="H16626" s="90"/>
    </row>
    <row r="16627" spans="7:8">
      <c r="G16627" s="87"/>
      <c r="H16627" s="90"/>
    </row>
    <row r="16628" spans="7:8">
      <c r="G16628" s="87"/>
      <c r="H16628" s="90"/>
    </row>
    <row r="16629" spans="7:8">
      <c r="G16629" s="87"/>
      <c r="H16629" s="90"/>
    </row>
    <row r="16630" spans="7:8">
      <c r="G16630" s="87"/>
      <c r="H16630" s="90"/>
    </row>
    <row r="16631" spans="7:8">
      <c r="G16631" s="87"/>
      <c r="H16631" s="90"/>
    </row>
    <row r="16632" spans="7:8">
      <c r="G16632" s="87"/>
      <c r="H16632" s="90"/>
    </row>
    <row r="16633" spans="7:8">
      <c r="G16633" s="87"/>
      <c r="H16633" s="90"/>
    </row>
    <row r="16634" spans="7:8">
      <c r="G16634" s="87"/>
      <c r="H16634" s="90"/>
    </row>
    <row r="16635" spans="7:8">
      <c r="G16635" s="87"/>
      <c r="H16635" s="90"/>
    </row>
    <row r="16636" spans="7:8">
      <c r="G16636" s="87"/>
      <c r="H16636" s="90"/>
    </row>
    <row r="16637" spans="7:8">
      <c r="G16637" s="87"/>
      <c r="H16637" s="90"/>
    </row>
    <row r="16638" spans="7:8">
      <c r="G16638" s="87"/>
      <c r="H16638" s="90"/>
    </row>
    <row r="16639" spans="7:8">
      <c r="G16639" s="87"/>
      <c r="H16639" s="90"/>
    </row>
    <row r="16640" spans="7:8">
      <c r="G16640" s="87"/>
      <c r="H16640" s="90"/>
    </row>
    <row r="16641" spans="7:8">
      <c r="G16641" s="87"/>
      <c r="H16641" s="90"/>
    </row>
    <row r="16642" spans="7:8">
      <c r="G16642" s="87"/>
      <c r="H16642" s="90"/>
    </row>
    <row r="16643" spans="7:8">
      <c r="G16643" s="87"/>
      <c r="H16643" s="90"/>
    </row>
    <row r="16644" spans="7:8">
      <c r="G16644" s="87"/>
      <c r="H16644" s="90"/>
    </row>
    <row r="16645" spans="7:8">
      <c r="G16645" s="87"/>
      <c r="H16645" s="90"/>
    </row>
    <row r="16646" spans="7:8">
      <c r="G16646" s="87"/>
      <c r="H16646" s="90"/>
    </row>
    <row r="16647" spans="7:8">
      <c r="G16647" s="87"/>
      <c r="H16647" s="90"/>
    </row>
    <row r="16648" spans="7:8">
      <c r="G16648" s="87"/>
      <c r="H16648" s="90"/>
    </row>
    <row r="16649" spans="7:8">
      <c r="G16649" s="87"/>
      <c r="H16649" s="90"/>
    </row>
    <row r="16650" spans="7:8">
      <c r="G16650" s="87"/>
      <c r="H16650" s="90"/>
    </row>
    <row r="16651" spans="7:8">
      <c r="G16651" s="87"/>
      <c r="H16651" s="90"/>
    </row>
    <row r="16652" spans="7:8">
      <c r="G16652" s="87"/>
      <c r="H16652" s="90"/>
    </row>
    <row r="16653" spans="7:8">
      <c r="G16653" s="87"/>
      <c r="H16653" s="90"/>
    </row>
    <row r="16654" spans="7:8">
      <c r="G16654" s="87"/>
      <c r="H16654" s="90"/>
    </row>
    <row r="16655" spans="7:8">
      <c r="G16655" s="87"/>
      <c r="H16655" s="90"/>
    </row>
    <row r="16656" spans="7:8">
      <c r="G16656" s="87"/>
      <c r="H16656" s="90"/>
    </row>
    <row r="16657" spans="7:8">
      <c r="G16657" s="87"/>
      <c r="H16657" s="90"/>
    </row>
    <row r="16658" spans="7:8">
      <c r="G16658" s="87"/>
      <c r="H16658" s="90"/>
    </row>
    <row r="16659" spans="7:8">
      <c r="G16659" s="87"/>
      <c r="H16659" s="90"/>
    </row>
    <row r="16660" spans="7:8">
      <c r="G16660" s="87"/>
      <c r="H16660" s="90"/>
    </row>
    <row r="16661" spans="7:8">
      <c r="G16661" s="87"/>
      <c r="H16661" s="90"/>
    </row>
    <row r="16662" spans="7:8">
      <c r="G16662" s="87"/>
      <c r="H16662" s="90"/>
    </row>
    <row r="16663" spans="7:8">
      <c r="G16663" s="87"/>
      <c r="H16663" s="90"/>
    </row>
    <row r="16664" spans="7:8">
      <c r="G16664" s="87"/>
      <c r="H16664" s="90"/>
    </row>
    <row r="16665" spans="7:8">
      <c r="G16665" s="87"/>
      <c r="H16665" s="90"/>
    </row>
    <row r="16666" spans="7:8">
      <c r="G16666" s="87"/>
      <c r="H16666" s="90"/>
    </row>
    <row r="16667" spans="7:8">
      <c r="G16667" s="87"/>
      <c r="H16667" s="90"/>
    </row>
    <row r="16668" spans="7:8">
      <c r="G16668" s="87"/>
      <c r="H16668" s="90"/>
    </row>
    <row r="16669" spans="7:8">
      <c r="G16669" s="87"/>
      <c r="H16669" s="90"/>
    </row>
    <row r="16670" spans="7:8">
      <c r="G16670" s="87"/>
      <c r="H16670" s="90"/>
    </row>
    <row r="16671" spans="7:8">
      <c r="G16671" s="87"/>
      <c r="H16671" s="90"/>
    </row>
    <row r="16672" spans="7:8">
      <c r="G16672" s="87"/>
      <c r="H16672" s="90"/>
    </row>
    <row r="16673" spans="7:8">
      <c r="G16673" s="87"/>
      <c r="H16673" s="90"/>
    </row>
    <row r="16674" spans="7:8">
      <c r="G16674" s="87"/>
      <c r="H16674" s="90"/>
    </row>
    <row r="16675" spans="7:8">
      <c r="G16675" s="87"/>
      <c r="H16675" s="90"/>
    </row>
    <row r="16676" spans="7:8">
      <c r="G16676" s="87"/>
      <c r="H16676" s="90"/>
    </row>
    <row r="16677" spans="7:8">
      <c r="G16677" s="87"/>
      <c r="H16677" s="90"/>
    </row>
    <row r="16678" spans="7:8">
      <c r="G16678" s="87"/>
      <c r="H16678" s="90"/>
    </row>
    <row r="16679" spans="7:8">
      <c r="G16679" s="87"/>
      <c r="H16679" s="90"/>
    </row>
    <row r="16680" spans="7:8">
      <c r="G16680" s="87"/>
      <c r="H16680" s="90"/>
    </row>
    <row r="16681" spans="7:8">
      <c r="G16681" s="87"/>
      <c r="H16681" s="90"/>
    </row>
    <row r="16682" spans="7:8">
      <c r="G16682" s="87"/>
      <c r="H16682" s="90"/>
    </row>
    <row r="16683" spans="7:8">
      <c r="G16683" s="87"/>
      <c r="H16683" s="90"/>
    </row>
    <row r="16684" spans="7:8">
      <c r="G16684" s="87"/>
      <c r="H16684" s="90"/>
    </row>
    <row r="16685" spans="7:8">
      <c r="G16685" s="87"/>
      <c r="H16685" s="90"/>
    </row>
    <row r="16686" spans="7:8">
      <c r="G16686" s="87"/>
      <c r="H16686" s="90"/>
    </row>
    <row r="16687" spans="7:8">
      <c r="G16687" s="87"/>
      <c r="H16687" s="90"/>
    </row>
    <row r="16688" spans="7:8">
      <c r="G16688" s="87"/>
      <c r="H16688" s="90"/>
    </row>
    <row r="16689" spans="7:8">
      <c r="G16689" s="87"/>
      <c r="H16689" s="90"/>
    </row>
    <row r="16690" spans="7:8">
      <c r="G16690" s="87"/>
      <c r="H16690" s="90"/>
    </row>
    <row r="16691" spans="7:8">
      <c r="G16691" s="87"/>
      <c r="H16691" s="90"/>
    </row>
    <row r="16692" spans="7:8">
      <c r="G16692" s="87"/>
      <c r="H16692" s="90"/>
    </row>
    <row r="16693" spans="7:8">
      <c r="G16693" s="87"/>
      <c r="H16693" s="90"/>
    </row>
    <row r="16694" spans="7:8">
      <c r="G16694" s="87"/>
      <c r="H16694" s="90"/>
    </row>
    <row r="16695" spans="7:8">
      <c r="G16695" s="87"/>
      <c r="H16695" s="90"/>
    </row>
    <row r="16696" spans="7:8">
      <c r="G16696" s="87"/>
      <c r="H16696" s="90"/>
    </row>
    <row r="16697" spans="7:8">
      <c r="G16697" s="87"/>
      <c r="H16697" s="90"/>
    </row>
    <row r="16698" spans="7:8">
      <c r="G16698" s="87"/>
      <c r="H16698" s="90"/>
    </row>
    <row r="16699" spans="7:8">
      <c r="G16699" s="87"/>
      <c r="H16699" s="90"/>
    </row>
    <row r="16700" spans="7:8">
      <c r="G16700" s="87"/>
      <c r="H16700" s="90"/>
    </row>
    <row r="16701" spans="7:8">
      <c r="G16701" s="87"/>
      <c r="H16701" s="90"/>
    </row>
    <row r="16702" spans="7:8">
      <c r="G16702" s="87"/>
      <c r="H16702" s="90"/>
    </row>
    <row r="16703" spans="7:8">
      <c r="G16703" s="87"/>
      <c r="H16703" s="90"/>
    </row>
    <row r="16704" spans="7:8">
      <c r="G16704" s="87"/>
      <c r="H16704" s="90"/>
    </row>
    <row r="16705" spans="7:8">
      <c r="G16705" s="87"/>
      <c r="H16705" s="90"/>
    </row>
    <row r="16706" spans="7:8">
      <c r="G16706" s="87"/>
      <c r="H16706" s="90"/>
    </row>
    <row r="16707" spans="7:8">
      <c r="G16707" s="87"/>
      <c r="H16707" s="90"/>
    </row>
    <row r="16708" spans="7:8">
      <c r="G16708" s="87"/>
      <c r="H16708" s="90"/>
    </row>
    <row r="16709" spans="7:8">
      <c r="G16709" s="87"/>
      <c r="H16709" s="90"/>
    </row>
    <row r="16710" spans="7:8">
      <c r="G16710" s="87"/>
      <c r="H16710" s="90"/>
    </row>
    <row r="16711" spans="7:8">
      <c r="G16711" s="87"/>
      <c r="H16711" s="90"/>
    </row>
    <row r="16712" spans="7:8">
      <c r="G16712" s="87"/>
      <c r="H16712" s="90"/>
    </row>
    <row r="16713" spans="7:8">
      <c r="G16713" s="87"/>
      <c r="H16713" s="90"/>
    </row>
    <row r="16714" spans="7:8">
      <c r="G16714" s="87"/>
      <c r="H16714" s="90"/>
    </row>
    <row r="16715" spans="7:8">
      <c r="G16715" s="87"/>
      <c r="H16715" s="90"/>
    </row>
    <row r="16716" spans="7:8">
      <c r="G16716" s="87"/>
      <c r="H16716" s="90"/>
    </row>
    <row r="16717" spans="7:8">
      <c r="G16717" s="87"/>
      <c r="H16717" s="90"/>
    </row>
    <row r="16718" spans="7:8">
      <c r="G16718" s="87"/>
      <c r="H16718" s="90"/>
    </row>
    <row r="16719" spans="7:8">
      <c r="G16719" s="87"/>
      <c r="H16719" s="90"/>
    </row>
    <row r="16720" spans="7:8">
      <c r="G16720" s="87"/>
      <c r="H16720" s="90"/>
    </row>
    <row r="16721" spans="7:8">
      <c r="G16721" s="87"/>
      <c r="H16721" s="90"/>
    </row>
    <row r="16722" spans="7:8">
      <c r="G16722" s="87"/>
      <c r="H16722" s="90"/>
    </row>
    <row r="16723" spans="7:8">
      <c r="G16723" s="87"/>
      <c r="H16723" s="90"/>
    </row>
    <row r="16724" spans="7:8">
      <c r="G16724" s="87"/>
      <c r="H16724" s="90"/>
    </row>
    <row r="16725" spans="7:8">
      <c r="G16725" s="87"/>
      <c r="H16725" s="90"/>
    </row>
    <row r="16726" spans="7:8">
      <c r="G16726" s="87"/>
      <c r="H16726" s="90"/>
    </row>
    <row r="16727" spans="7:8">
      <c r="G16727" s="87"/>
      <c r="H16727" s="90"/>
    </row>
    <row r="16728" spans="7:8">
      <c r="G16728" s="87"/>
      <c r="H16728" s="90"/>
    </row>
    <row r="16729" spans="7:8">
      <c r="G16729" s="87"/>
      <c r="H16729" s="90"/>
    </row>
    <row r="16730" spans="7:8">
      <c r="G16730" s="87"/>
      <c r="H16730" s="90"/>
    </row>
    <row r="16731" spans="7:8">
      <c r="G16731" s="87"/>
      <c r="H16731" s="90"/>
    </row>
    <row r="16732" spans="7:8">
      <c r="G16732" s="87"/>
      <c r="H16732" s="90"/>
    </row>
    <row r="16733" spans="7:8">
      <c r="G16733" s="87"/>
      <c r="H16733" s="90"/>
    </row>
    <row r="16734" spans="7:8">
      <c r="G16734" s="87"/>
      <c r="H16734" s="90"/>
    </row>
    <row r="16735" spans="7:8">
      <c r="G16735" s="87"/>
      <c r="H16735" s="90"/>
    </row>
    <row r="16736" spans="7:8">
      <c r="G16736" s="87"/>
      <c r="H16736" s="90"/>
    </row>
    <row r="16737" spans="7:8">
      <c r="G16737" s="87"/>
      <c r="H16737" s="90"/>
    </row>
    <row r="16738" spans="7:8">
      <c r="G16738" s="87"/>
      <c r="H16738" s="90"/>
    </row>
    <row r="16739" spans="7:8">
      <c r="G16739" s="87"/>
      <c r="H16739" s="90"/>
    </row>
    <row r="16740" spans="7:8">
      <c r="G16740" s="87"/>
      <c r="H16740" s="90"/>
    </row>
    <row r="16741" spans="7:8">
      <c r="G16741" s="87"/>
      <c r="H16741" s="90"/>
    </row>
    <row r="16742" spans="7:8">
      <c r="G16742" s="87"/>
      <c r="H16742" s="90"/>
    </row>
    <row r="16743" spans="7:8">
      <c r="G16743" s="87"/>
      <c r="H16743" s="90"/>
    </row>
    <row r="16744" spans="7:8">
      <c r="G16744" s="87"/>
      <c r="H16744" s="90"/>
    </row>
    <row r="16745" spans="7:8">
      <c r="G16745" s="87"/>
      <c r="H16745" s="90"/>
    </row>
    <row r="16746" spans="7:8">
      <c r="G16746" s="87"/>
      <c r="H16746" s="90"/>
    </row>
    <row r="16747" spans="7:8">
      <c r="G16747" s="87"/>
      <c r="H16747" s="90"/>
    </row>
    <row r="16748" spans="7:8">
      <c r="G16748" s="87"/>
      <c r="H16748" s="90"/>
    </row>
    <row r="16749" spans="7:8">
      <c r="G16749" s="87"/>
      <c r="H16749" s="90"/>
    </row>
    <row r="16750" spans="7:8">
      <c r="G16750" s="87"/>
      <c r="H16750" s="90"/>
    </row>
    <row r="16751" spans="7:8">
      <c r="G16751" s="87"/>
      <c r="H16751" s="90"/>
    </row>
    <row r="16752" spans="7:8">
      <c r="G16752" s="87"/>
      <c r="H16752" s="90"/>
    </row>
    <row r="16753" spans="7:8">
      <c r="G16753" s="87"/>
      <c r="H16753" s="90"/>
    </row>
    <row r="16754" spans="7:8">
      <c r="G16754" s="87"/>
      <c r="H16754" s="90"/>
    </row>
    <row r="16755" spans="7:8">
      <c r="G16755" s="87"/>
      <c r="H16755" s="90"/>
    </row>
    <row r="16756" spans="7:8">
      <c r="G16756" s="87"/>
      <c r="H16756" s="90"/>
    </row>
    <row r="16757" spans="7:8">
      <c r="G16757" s="87"/>
      <c r="H16757" s="90"/>
    </row>
    <row r="16758" spans="7:8">
      <c r="G16758" s="87"/>
      <c r="H16758" s="90"/>
    </row>
    <row r="16759" spans="7:8">
      <c r="G16759" s="87"/>
      <c r="H16759" s="90"/>
    </row>
    <row r="16760" spans="7:8">
      <c r="G16760" s="87"/>
      <c r="H16760" s="90"/>
    </row>
    <row r="16761" spans="7:8">
      <c r="G16761" s="87"/>
      <c r="H16761" s="90"/>
    </row>
    <row r="16762" spans="7:8">
      <c r="G16762" s="87"/>
      <c r="H16762" s="90"/>
    </row>
    <row r="16763" spans="7:8">
      <c r="G16763" s="87"/>
      <c r="H16763" s="90"/>
    </row>
    <row r="16764" spans="7:8">
      <c r="G16764" s="87"/>
      <c r="H16764" s="90"/>
    </row>
    <row r="16765" spans="7:8">
      <c r="G16765" s="87"/>
      <c r="H16765" s="90"/>
    </row>
    <row r="16766" spans="7:8">
      <c r="G16766" s="87"/>
      <c r="H16766" s="90"/>
    </row>
    <row r="16767" spans="7:8">
      <c r="G16767" s="87"/>
      <c r="H16767" s="90"/>
    </row>
    <row r="16768" spans="7:8">
      <c r="G16768" s="87"/>
      <c r="H16768" s="90"/>
    </row>
    <row r="16769" spans="7:8">
      <c r="G16769" s="87"/>
      <c r="H16769" s="90"/>
    </row>
    <row r="16770" spans="7:8">
      <c r="G16770" s="87"/>
      <c r="H16770" s="90"/>
    </row>
    <row r="16771" spans="7:8">
      <c r="G16771" s="87"/>
      <c r="H16771" s="90"/>
    </row>
    <row r="16772" spans="7:8">
      <c r="G16772" s="87"/>
      <c r="H16772" s="90"/>
    </row>
    <row r="16773" spans="7:8">
      <c r="G16773" s="87"/>
      <c r="H16773" s="90"/>
    </row>
    <row r="16774" spans="7:8">
      <c r="G16774" s="87"/>
      <c r="H16774" s="90"/>
    </row>
    <row r="16775" spans="7:8">
      <c r="G16775" s="87"/>
      <c r="H16775" s="90"/>
    </row>
    <row r="16776" spans="7:8">
      <c r="G16776" s="87"/>
      <c r="H16776" s="90"/>
    </row>
    <row r="16777" spans="7:8">
      <c r="G16777" s="87"/>
      <c r="H16777" s="90"/>
    </row>
    <row r="16778" spans="7:8">
      <c r="G16778" s="87"/>
      <c r="H16778" s="90"/>
    </row>
    <row r="16779" spans="7:8">
      <c r="G16779" s="87"/>
      <c r="H16779" s="90"/>
    </row>
    <row r="16780" spans="7:8">
      <c r="G16780" s="87"/>
      <c r="H16780" s="90"/>
    </row>
    <row r="16781" spans="7:8">
      <c r="G16781" s="87"/>
      <c r="H16781" s="90"/>
    </row>
    <row r="16782" spans="7:8">
      <c r="G16782" s="87"/>
      <c r="H16782" s="90"/>
    </row>
    <row r="16783" spans="7:8">
      <c r="G16783" s="87"/>
      <c r="H16783" s="90"/>
    </row>
    <row r="16784" spans="7:8">
      <c r="G16784" s="87"/>
      <c r="H16784" s="90"/>
    </row>
    <row r="16785" spans="7:8">
      <c r="G16785" s="87"/>
      <c r="H16785" s="90"/>
    </row>
    <row r="16786" spans="7:8">
      <c r="G16786" s="87"/>
      <c r="H16786" s="90"/>
    </row>
    <row r="16787" spans="7:8">
      <c r="G16787" s="87"/>
      <c r="H16787" s="90"/>
    </row>
    <row r="16788" spans="7:8">
      <c r="G16788" s="87"/>
      <c r="H16788" s="90"/>
    </row>
    <row r="16789" spans="7:8">
      <c r="G16789" s="87"/>
      <c r="H16789" s="90"/>
    </row>
    <row r="16790" spans="7:8">
      <c r="G16790" s="87"/>
      <c r="H16790" s="90"/>
    </row>
    <row r="16791" spans="7:8">
      <c r="G16791" s="87"/>
      <c r="H16791" s="90"/>
    </row>
    <row r="16792" spans="7:8">
      <c r="G16792" s="87"/>
      <c r="H16792" s="90"/>
    </row>
    <row r="16793" spans="7:8">
      <c r="G16793" s="87"/>
      <c r="H16793" s="90"/>
    </row>
    <row r="16794" spans="7:8">
      <c r="G16794" s="87"/>
      <c r="H16794" s="90"/>
    </row>
    <row r="16795" spans="7:8">
      <c r="G16795" s="87"/>
      <c r="H16795" s="90"/>
    </row>
    <row r="16796" spans="7:8">
      <c r="G16796" s="87"/>
      <c r="H16796" s="90"/>
    </row>
    <row r="16797" spans="7:8">
      <c r="G16797" s="87"/>
      <c r="H16797" s="90"/>
    </row>
    <row r="16798" spans="7:8">
      <c r="G16798" s="87"/>
      <c r="H16798" s="90"/>
    </row>
    <row r="16799" spans="7:8">
      <c r="G16799" s="87"/>
      <c r="H16799" s="90"/>
    </row>
    <row r="16800" spans="7:8">
      <c r="G16800" s="87"/>
      <c r="H16800" s="90"/>
    </row>
    <row r="16801" spans="7:8">
      <c r="G16801" s="87"/>
      <c r="H16801" s="90"/>
    </row>
    <row r="16802" spans="7:8">
      <c r="G16802" s="87"/>
      <c r="H16802" s="90"/>
    </row>
    <row r="16803" spans="7:8">
      <c r="G16803" s="87"/>
      <c r="H16803" s="90"/>
    </row>
    <row r="16804" spans="7:8">
      <c r="G16804" s="87"/>
      <c r="H16804" s="90"/>
    </row>
    <row r="16805" spans="7:8">
      <c r="G16805" s="87"/>
      <c r="H16805" s="90"/>
    </row>
    <row r="16806" spans="7:8">
      <c r="G16806" s="87"/>
      <c r="H16806" s="90"/>
    </row>
    <row r="16807" spans="7:8">
      <c r="G16807" s="87"/>
      <c r="H16807" s="90"/>
    </row>
    <row r="16808" spans="7:8">
      <c r="G16808" s="87"/>
      <c r="H16808" s="90"/>
    </row>
    <row r="16809" spans="7:8">
      <c r="G16809" s="87"/>
      <c r="H16809" s="90"/>
    </row>
    <row r="16810" spans="7:8">
      <c r="G16810" s="87"/>
      <c r="H16810" s="90"/>
    </row>
    <row r="16811" spans="7:8">
      <c r="G16811" s="87"/>
      <c r="H16811" s="90"/>
    </row>
    <row r="16812" spans="7:8">
      <c r="G16812" s="87"/>
      <c r="H16812" s="90"/>
    </row>
    <row r="16813" spans="7:8">
      <c r="G16813" s="87"/>
      <c r="H16813" s="90"/>
    </row>
    <row r="16814" spans="7:8">
      <c r="G16814" s="87"/>
      <c r="H16814" s="90"/>
    </row>
    <row r="16815" spans="7:8">
      <c r="G16815" s="87"/>
      <c r="H16815" s="90"/>
    </row>
    <row r="16816" spans="7:8">
      <c r="G16816" s="87"/>
      <c r="H16816" s="90"/>
    </row>
    <row r="16817" spans="7:8">
      <c r="G16817" s="87"/>
      <c r="H16817" s="90"/>
    </row>
    <row r="16818" spans="7:8">
      <c r="G16818" s="87"/>
      <c r="H16818" s="90"/>
    </row>
    <row r="16819" spans="7:8">
      <c r="G16819" s="87"/>
      <c r="H16819" s="90"/>
    </row>
    <row r="16820" spans="7:8">
      <c r="G16820" s="87"/>
      <c r="H16820" s="90"/>
    </row>
    <row r="16821" spans="7:8">
      <c r="G16821" s="87"/>
      <c r="H16821" s="90"/>
    </row>
    <row r="16822" spans="7:8">
      <c r="G16822" s="87"/>
      <c r="H16822" s="90"/>
    </row>
    <row r="16823" spans="7:8">
      <c r="G16823" s="87"/>
      <c r="H16823" s="90"/>
    </row>
    <row r="16824" spans="7:8">
      <c r="G16824" s="87"/>
      <c r="H16824" s="90"/>
    </row>
    <row r="16825" spans="7:8">
      <c r="G16825" s="87"/>
      <c r="H16825" s="90"/>
    </row>
    <row r="16826" spans="7:8">
      <c r="G16826" s="87"/>
      <c r="H16826" s="90"/>
    </row>
    <row r="16827" spans="7:8">
      <c r="G16827" s="87"/>
      <c r="H16827" s="90"/>
    </row>
    <row r="16828" spans="7:8">
      <c r="G16828" s="87"/>
      <c r="H16828" s="90"/>
    </row>
    <row r="16829" spans="7:8">
      <c r="G16829" s="87"/>
      <c r="H16829" s="90"/>
    </row>
    <row r="16830" spans="7:8">
      <c r="G16830" s="87"/>
      <c r="H16830" s="90"/>
    </row>
    <row r="16831" spans="7:8">
      <c r="G16831" s="87"/>
      <c r="H16831" s="90"/>
    </row>
    <row r="16832" spans="7:8">
      <c r="G16832" s="87"/>
      <c r="H16832" s="90"/>
    </row>
    <row r="16833" spans="7:8">
      <c r="G16833" s="87"/>
      <c r="H16833" s="90"/>
    </row>
    <row r="16834" spans="7:8">
      <c r="G16834" s="87"/>
      <c r="H16834" s="90"/>
    </row>
    <row r="16835" spans="7:8">
      <c r="G16835" s="87"/>
      <c r="H16835" s="90"/>
    </row>
    <row r="16836" spans="7:8">
      <c r="G16836" s="87"/>
      <c r="H16836" s="90"/>
    </row>
    <row r="16837" spans="7:8">
      <c r="G16837" s="87"/>
      <c r="H16837" s="90"/>
    </row>
    <row r="16838" spans="7:8">
      <c r="G16838" s="87"/>
      <c r="H16838" s="90"/>
    </row>
    <row r="16839" spans="7:8">
      <c r="G16839" s="87"/>
      <c r="H16839" s="90"/>
    </row>
    <row r="16840" spans="7:8">
      <c r="G16840" s="87"/>
      <c r="H16840" s="90"/>
    </row>
    <row r="16841" spans="7:8">
      <c r="G16841" s="87"/>
      <c r="H16841" s="90"/>
    </row>
    <row r="16842" spans="7:8">
      <c r="G16842" s="87"/>
      <c r="H16842" s="90"/>
    </row>
    <row r="16843" spans="7:8">
      <c r="G16843" s="87"/>
      <c r="H16843" s="90"/>
    </row>
    <row r="16844" spans="7:8">
      <c r="G16844" s="87"/>
      <c r="H16844" s="90"/>
    </row>
    <row r="16845" spans="7:8">
      <c r="G16845" s="87"/>
      <c r="H16845" s="90"/>
    </row>
    <row r="16846" spans="7:8">
      <c r="G16846" s="87"/>
      <c r="H16846" s="90"/>
    </row>
    <row r="16847" spans="7:8">
      <c r="G16847" s="87"/>
      <c r="H16847" s="90"/>
    </row>
    <row r="16848" spans="7:8">
      <c r="G16848" s="87"/>
      <c r="H16848" s="90"/>
    </row>
    <row r="16849" spans="7:8">
      <c r="G16849" s="87"/>
      <c r="H16849" s="90"/>
    </row>
    <row r="16850" spans="7:8">
      <c r="G16850" s="87"/>
      <c r="H16850" s="90"/>
    </row>
    <row r="16851" spans="7:8">
      <c r="G16851" s="87"/>
      <c r="H16851" s="90"/>
    </row>
    <row r="16852" spans="7:8">
      <c r="G16852" s="87"/>
      <c r="H16852" s="90"/>
    </row>
    <row r="16853" spans="7:8">
      <c r="G16853" s="87"/>
      <c r="H16853" s="90"/>
    </row>
    <row r="16854" spans="7:8">
      <c r="G16854" s="87"/>
      <c r="H16854" s="90"/>
    </row>
    <row r="16855" spans="7:8">
      <c r="G16855" s="87"/>
      <c r="H16855" s="90"/>
    </row>
    <row r="16856" spans="7:8">
      <c r="G16856" s="87"/>
      <c r="H16856" s="90"/>
    </row>
    <row r="16857" spans="7:8">
      <c r="G16857" s="87"/>
      <c r="H16857" s="90"/>
    </row>
    <row r="16858" spans="7:8">
      <c r="G16858" s="87"/>
      <c r="H16858" s="90"/>
    </row>
    <row r="16859" spans="7:8">
      <c r="G16859" s="87"/>
      <c r="H16859" s="90"/>
    </row>
    <row r="16860" spans="7:8">
      <c r="G16860" s="87"/>
      <c r="H16860" s="90"/>
    </row>
    <row r="16861" spans="7:8">
      <c r="G16861" s="87"/>
      <c r="H16861" s="90"/>
    </row>
    <row r="16862" spans="7:8">
      <c r="G16862" s="87"/>
      <c r="H16862" s="90"/>
    </row>
    <row r="16863" spans="7:8">
      <c r="G16863" s="87"/>
      <c r="H16863" s="90"/>
    </row>
    <row r="16864" spans="7:8">
      <c r="G16864" s="87"/>
      <c r="H16864" s="90"/>
    </row>
    <row r="16865" spans="7:8">
      <c r="G16865" s="87"/>
      <c r="H16865" s="90"/>
    </row>
    <row r="16866" spans="7:8">
      <c r="G16866" s="87"/>
      <c r="H16866" s="90"/>
    </row>
    <row r="16867" spans="7:8">
      <c r="G16867" s="87"/>
      <c r="H16867" s="90"/>
    </row>
    <row r="16868" spans="7:8">
      <c r="G16868" s="87"/>
      <c r="H16868" s="90"/>
    </row>
    <row r="16869" spans="7:8">
      <c r="G16869" s="87"/>
      <c r="H16869" s="90"/>
    </row>
    <row r="16870" spans="7:8">
      <c r="G16870" s="87"/>
      <c r="H16870" s="90"/>
    </row>
    <row r="16871" spans="7:8">
      <c r="G16871" s="87"/>
      <c r="H16871" s="90"/>
    </row>
    <row r="16872" spans="7:8">
      <c r="G16872" s="87"/>
      <c r="H16872" s="90"/>
    </row>
    <row r="16873" spans="7:8">
      <c r="G16873" s="87"/>
      <c r="H16873" s="90"/>
    </row>
    <row r="16874" spans="7:8">
      <c r="G16874" s="87"/>
      <c r="H16874" s="90"/>
    </row>
    <row r="16875" spans="7:8">
      <c r="G16875" s="87"/>
      <c r="H16875" s="90"/>
    </row>
    <row r="16876" spans="7:8">
      <c r="G16876" s="87"/>
      <c r="H16876" s="90"/>
    </row>
    <row r="16877" spans="7:8">
      <c r="G16877" s="87"/>
      <c r="H16877" s="90"/>
    </row>
    <row r="16878" spans="7:8">
      <c r="G16878" s="87"/>
      <c r="H16878" s="90"/>
    </row>
    <row r="16879" spans="7:8">
      <c r="G16879" s="87"/>
      <c r="H16879" s="90"/>
    </row>
    <row r="16880" spans="7:8">
      <c r="G16880" s="87"/>
      <c r="H16880" s="90"/>
    </row>
    <row r="16881" spans="7:8">
      <c r="G16881" s="87"/>
      <c r="H16881" s="90"/>
    </row>
    <row r="16882" spans="7:8">
      <c r="G16882" s="87"/>
      <c r="H16882" s="90"/>
    </row>
    <row r="16883" spans="7:8">
      <c r="G16883" s="87"/>
      <c r="H16883" s="90"/>
    </row>
    <row r="16884" spans="7:8">
      <c r="G16884" s="87"/>
      <c r="H16884" s="90"/>
    </row>
    <row r="16885" spans="7:8">
      <c r="G16885" s="87"/>
      <c r="H16885" s="90"/>
    </row>
    <row r="16886" spans="7:8">
      <c r="G16886" s="87"/>
      <c r="H16886" s="90"/>
    </row>
    <row r="16887" spans="7:8">
      <c r="G16887" s="87"/>
      <c r="H16887" s="90"/>
    </row>
    <row r="16888" spans="7:8">
      <c r="G16888" s="87"/>
      <c r="H16888" s="90"/>
    </row>
    <row r="16889" spans="7:8">
      <c r="G16889" s="87"/>
      <c r="H16889" s="90"/>
    </row>
    <row r="16890" spans="7:8">
      <c r="G16890" s="87"/>
      <c r="H16890" s="90"/>
    </row>
    <row r="16891" spans="7:8">
      <c r="G16891" s="87"/>
      <c r="H16891" s="90"/>
    </row>
    <row r="16892" spans="7:8">
      <c r="G16892" s="87"/>
      <c r="H16892" s="90"/>
    </row>
    <row r="16893" spans="7:8">
      <c r="G16893" s="87"/>
      <c r="H16893" s="90"/>
    </row>
    <row r="16894" spans="7:8">
      <c r="G16894" s="87"/>
      <c r="H16894" s="90"/>
    </row>
    <row r="16895" spans="7:8">
      <c r="G16895" s="87"/>
      <c r="H16895" s="90"/>
    </row>
    <row r="16896" spans="7:8">
      <c r="G16896" s="87"/>
      <c r="H16896" s="90"/>
    </row>
    <row r="16897" spans="7:8">
      <c r="G16897" s="87"/>
      <c r="H16897" s="90"/>
    </row>
    <row r="16898" spans="7:8">
      <c r="G16898" s="87"/>
      <c r="H16898" s="90"/>
    </row>
    <row r="16899" spans="7:8">
      <c r="G16899" s="87"/>
      <c r="H16899" s="90"/>
    </row>
    <row r="16900" spans="7:8">
      <c r="G16900" s="87"/>
      <c r="H16900" s="90"/>
    </row>
    <row r="16901" spans="7:8">
      <c r="G16901" s="87"/>
      <c r="H16901" s="90"/>
    </row>
    <row r="16902" spans="7:8">
      <c r="G16902" s="87"/>
      <c r="H16902" s="90"/>
    </row>
    <row r="16903" spans="7:8">
      <c r="G16903" s="87"/>
      <c r="H16903" s="90"/>
    </row>
    <row r="16904" spans="7:8">
      <c r="G16904" s="87"/>
      <c r="H16904" s="90"/>
    </row>
    <row r="16905" spans="7:8">
      <c r="G16905" s="87"/>
      <c r="H16905" s="90"/>
    </row>
    <row r="16906" spans="7:8">
      <c r="G16906" s="87"/>
      <c r="H16906" s="90"/>
    </row>
    <row r="16907" spans="7:8">
      <c r="G16907" s="87"/>
      <c r="H16907" s="90"/>
    </row>
    <row r="16908" spans="7:8">
      <c r="G16908" s="87"/>
      <c r="H16908" s="90"/>
    </row>
    <row r="16909" spans="7:8">
      <c r="G16909" s="87"/>
      <c r="H16909" s="90"/>
    </row>
    <row r="16910" spans="7:8">
      <c r="G16910" s="87"/>
      <c r="H16910" s="90"/>
    </row>
    <row r="16911" spans="7:8">
      <c r="G16911" s="87"/>
      <c r="H16911" s="90"/>
    </row>
    <row r="16912" spans="7:8">
      <c r="G16912" s="87"/>
      <c r="H16912" s="90"/>
    </row>
    <row r="16913" spans="7:8">
      <c r="G16913" s="87"/>
      <c r="H16913" s="90"/>
    </row>
    <row r="16914" spans="7:8">
      <c r="G16914" s="87"/>
      <c r="H16914" s="90"/>
    </row>
    <row r="16915" spans="7:8">
      <c r="G16915" s="87"/>
      <c r="H16915" s="90"/>
    </row>
    <row r="16916" spans="7:8">
      <c r="G16916" s="87"/>
      <c r="H16916" s="90"/>
    </row>
    <row r="16917" spans="7:8">
      <c r="G16917" s="87"/>
      <c r="H16917" s="90"/>
    </row>
    <row r="16918" spans="7:8">
      <c r="G16918" s="87"/>
      <c r="H16918" s="90"/>
    </row>
    <row r="16919" spans="7:8">
      <c r="G16919" s="87"/>
      <c r="H16919" s="90"/>
    </row>
    <row r="16920" spans="7:8">
      <c r="G16920" s="87"/>
      <c r="H16920" s="90"/>
    </row>
    <row r="16921" spans="7:8">
      <c r="G16921" s="87"/>
      <c r="H16921" s="90"/>
    </row>
    <row r="16922" spans="7:8">
      <c r="G16922" s="87"/>
      <c r="H16922" s="90"/>
    </row>
    <row r="16923" spans="7:8">
      <c r="G16923" s="87"/>
      <c r="H16923" s="90"/>
    </row>
    <row r="16924" spans="7:8">
      <c r="G16924" s="87"/>
      <c r="H16924" s="90"/>
    </row>
    <row r="16925" spans="7:8">
      <c r="G16925" s="87"/>
      <c r="H16925" s="90"/>
    </row>
    <row r="16926" spans="7:8">
      <c r="G16926" s="87"/>
      <c r="H16926" s="90"/>
    </row>
    <row r="16927" spans="7:8">
      <c r="G16927" s="87"/>
      <c r="H16927" s="90"/>
    </row>
    <row r="16928" spans="7:8">
      <c r="G16928" s="87"/>
      <c r="H16928" s="90"/>
    </row>
    <row r="16929" spans="7:8">
      <c r="G16929" s="87"/>
      <c r="H16929" s="90"/>
    </row>
    <row r="16930" spans="7:8">
      <c r="G16930" s="87"/>
      <c r="H16930" s="90"/>
    </row>
    <row r="16931" spans="7:8">
      <c r="G16931" s="87"/>
      <c r="H16931" s="90"/>
    </row>
    <row r="16932" spans="7:8">
      <c r="G16932" s="87"/>
      <c r="H16932" s="90"/>
    </row>
    <row r="16933" spans="7:8">
      <c r="G16933" s="87"/>
      <c r="H16933" s="90"/>
    </row>
    <row r="16934" spans="7:8">
      <c r="G16934" s="87"/>
      <c r="H16934" s="90"/>
    </row>
    <row r="16935" spans="7:8">
      <c r="G16935" s="87"/>
      <c r="H16935" s="90"/>
    </row>
    <row r="16936" spans="7:8">
      <c r="G16936" s="87"/>
      <c r="H16936" s="90"/>
    </row>
    <row r="16937" spans="7:8">
      <c r="G16937" s="87"/>
      <c r="H16937" s="90"/>
    </row>
    <row r="16938" spans="7:8">
      <c r="G16938" s="87"/>
      <c r="H16938" s="90"/>
    </row>
    <row r="16939" spans="7:8">
      <c r="G16939" s="87"/>
      <c r="H16939" s="90"/>
    </row>
    <row r="16940" spans="7:8">
      <c r="G16940" s="87"/>
      <c r="H16940" s="90"/>
    </row>
    <row r="16941" spans="7:8">
      <c r="G16941" s="87"/>
      <c r="H16941" s="90"/>
    </row>
    <row r="16942" spans="7:8">
      <c r="G16942" s="87"/>
      <c r="H16942" s="90"/>
    </row>
    <row r="16943" spans="7:8">
      <c r="G16943" s="87"/>
      <c r="H16943" s="90"/>
    </row>
    <row r="16944" spans="7:8">
      <c r="G16944" s="87"/>
      <c r="H16944" s="90"/>
    </row>
    <row r="16945" spans="7:8">
      <c r="G16945" s="87"/>
      <c r="H16945" s="90"/>
    </row>
    <row r="16946" spans="7:8">
      <c r="G16946" s="87"/>
      <c r="H16946" s="90"/>
    </row>
    <row r="16947" spans="7:8">
      <c r="G16947" s="87"/>
      <c r="H16947" s="90"/>
    </row>
    <row r="16948" spans="7:8">
      <c r="G16948" s="87"/>
      <c r="H16948" s="90"/>
    </row>
    <row r="16949" spans="7:8">
      <c r="G16949" s="87"/>
      <c r="H16949" s="90"/>
    </row>
    <row r="16950" spans="7:8">
      <c r="G16950" s="87"/>
      <c r="H16950" s="90"/>
    </row>
    <row r="16951" spans="7:8">
      <c r="G16951" s="87"/>
      <c r="H16951" s="90"/>
    </row>
    <row r="16952" spans="7:8">
      <c r="G16952" s="87"/>
      <c r="H16952" s="90"/>
    </row>
    <row r="16953" spans="7:8">
      <c r="G16953" s="87"/>
      <c r="H16953" s="90"/>
    </row>
    <row r="16954" spans="7:8">
      <c r="G16954" s="87"/>
      <c r="H16954" s="90"/>
    </row>
    <row r="16955" spans="7:8">
      <c r="G16955" s="87"/>
      <c r="H16955" s="90"/>
    </row>
    <row r="16956" spans="7:8">
      <c r="G16956" s="87"/>
      <c r="H16956" s="90"/>
    </row>
    <row r="16957" spans="7:8">
      <c r="G16957" s="87"/>
      <c r="H16957" s="90"/>
    </row>
    <row r="16958" spans="7:8">
      <c r="G16958" s="87"/>
      <c r="H16958" s="90"/>
    </row>
    <row r="16959" spans="7:8">
      <c r="G16959" s="87"/>
      <c r="H16959" s="90"/>
    </row>
    <row r="16960" spans="7:8">
      <c r="G16960" s="87"/>
      <c r="H16960" s="90"/>
    </row>
    <row r="16961" spans="7:8">
      <c r="G16961" s="87"/>
      <c r="H16961" s="90"/>
    </row>
    <row r="16962" spans="7:8">
      <c r="G16962" s="87"/>
      <c r="H16962" s="90"/>
    </row>
    <row r="16963" spans="7:8">
      <c r="G16963" s="87"/>
      <c r="H16963" s="90"/>
    </row>
    <row r="16964" spans="7:8">
      <c r="G16964" s="87"/>
      <c r="H16964" s="90"/>
    </row>
    <row r="16965" spans="7:8">
      <c r="G16965" s="87"/>
      <c r="H16965" s="90"/>
    </row>
    <row r="16966" spans="7:8">
      <c r="G16966" s="87"/>
      <c r="H16966" s="90"/>
    </row>
    <row r="16967" spans="7:8">
      <c r="G16967" s="87"/>
      <c r="H16967" s="90"/>
    </row>
    <row r="16968" spans="7:8">
      <c r="G16968" s="87"/>
      <c r="H16968" s="90"/>
    </row>
    <row r="16969" spans="7:8">
      <c r="G16969" s="87"/>
      <c r="H16969" s="90"/>
    </row>
    <row r="16970" spans="7:8">
      <c r="G16970" s="87"/>
      <c r="H16970" s="90"/>
    </row>
    <row r="16971" spans="7:8">
      <c r="G16971" s="87"/>
      <c r="H16971" s="90"/>
    </row>
    <row r="16972" spans="7:8">
      <c r="G16972" s="87"/>
      <c r="H16972" s="90"/>
    </row>
    <row r="16973" spans="7:8">
      <c r="G16973" s="87"/>
      <c r="H16973" s="90"/>
    </row>
    <row r="16974" spans="7:8">
      <c r="G16974" s="87"/>
      <c r="H16974" s="90"/>
    </row>
    <row r="16975" spans="7:8">
      <c r="G16975" s="87"/>
      <c r="H16975" s="90"/>
    </row>
    <row r="16976" spans="7:8">
      <c r="G16976" s="87"/>
      <c r="H16976" s="90"/>
    </row>
    <row r="16977" spans="7:8">
      <c r="G16977" s="87"/>
      <c r="H16977" s="90"/>
    </row>
    <row r="16978" spans="7:8">
      <c r="G16978" s="87"/>
      <c r="H16978" s="90"/>
    </row>
    <row r="16979" spans="7:8">
      <c r="G16979" s="87"/>
      <c r="H16979" s="90"/>
    </row>
    <row r="16980" spans="7:8">
      <c r="G16980" s="87"/>
      <c r="H16980" s="90"/>
    </row>
    <row r="16981" spans="7:8">
      <c r="G16981" s="87"/>
      <c r="H16981" s="90"/>
    </row>
    <row r="16982" spans="7:8">
      <c r="G16982" s="87"/>
      <c r="H16982" s="90"/>
    </row>
    <row r="16983" spans="7:8">
      <c r="G16983" s="87"/>
      <c r="H16983" s="90"/>
    </row>
    <row r="16984" spans="7:8">
      <c r="G16984" s="87"/>
      <c r="H16984" s="90"/>
    </row>
    <row r="16985" spans="7:8">
      <c r="G16985" s="87"/>
      <c r="H16985" s="90"/>
    </row>
    <row r="16986" spans="7:8">
      <c r="G16986" s="87"/>
      <c r="H16986" s="90"/>
    </row>
    <row r="16987" spans="7:8">
      <c r="G16987" s="87"/>
      <c r="H16987" s="90"/>
    </row>
    <row r="16988" spans="7:8">
      <c r="G16988" s="87"/>
      <c r="H16988" s="90"/>
    </row>
    <row r="16989" spans="7:8">
      <c r="G16989" s="87"/>
      <c r="H16989" s="90"/>
    </row>
    <row r="16990" spans="7:8">
      <c r="G16990" s="87"/>
      <c r="H16990" s="90"/>
    </row>
    <row r="16991" spans="7:8">
      <c r="G16991" s="87"/>
      <c r="H16991" s="90"/>
    </row>
    <row r="16992" spans="7:8">
      <c r="G16992" s="87"/>
      <c r="H16992" s="90"/>
    </row>
    <row r="16993" spans="7:8">
      <c r="G16993" s="87"/>
      <c r="H16993" s="90"/>
    </row>
    <row r="16994" spans="7:8">
      <c r="G16994" s="87"/>
      <c r="H16994" s="90"/>
    </row>
    <row r="16995" spans="7:8">
      <c r="G16995" s="87"/>
      <c r="H16995" s="90"/>
    </row>
    <row r="16996" spans="7:8">
      <c r="G16996" s="87"/>
      <c r="H16996" s="90"/>
    </row>
    <row r="16997" spans="7:8">
      <c r="G16997" s="87"/>
      <c r="H16997" s="90"/>
    </row>
    <row r="16998" spans="7:8">
      <c r="G16998" s="87"/>
      <c r="H16998" s="90"/>
    </row>
    <row r="16999" spans="7:8">
      <c r="G16999" s="87"/>
      <c r="H16999" s="90"/>
    </row>
    <row r="17000" spans="7:8">
      <c r="G17000" s="87"/>
      <c r="H17000" s="90"/>
    </row>
    <row r="17001" spans="7:8">
      <c r="G17001" s="87"/>
      <c r="H17001" s="90"/>
    </row>
    <row r="17002" spans="7:8">
      <c r="G17002" s="87"/>
      <c r="H17002" s="90"/>
    </row>
    <row r="17003" spans="7:8">
      <c r="G17003" s="87"/>
      <c r="H17003" s="90"/>
    </row>
    <row r="17004" spans="7:8">
      <c r="G17004" s="87"/>
      <c r="H17004" s="90"/>
    </row>
    <row r="17005" spans="7:8">
      <c r="G17005" s="87"/>
      <c r="H17005" s="90"/>
    </row>
    <row r="17006" spans="7:8">
      <c r="G17006" s="87"/>
      <c r="H17006" s="90"/>
    </row>
    <row r="17007" spans="7:8">
      <c r="G17007" s="87"/>
      <c r="H17007" s="90"/>
    </row>
    <row r="17008" spans="7:8">
      <c r="G17008" s="87"/>
      <c r="H17008" s="90"/>
    </row>
    <row r="17009" spans="7:8">
      <c r="G17009" s="87"/>
      <c r="H17009" s="90"/>
    </row>
    <row r="17010" spans="7:8">
      <c r="G17010" s="87"/>
      <c r="H17010" s="90"/>
    </row>
    <row r="17011" spans="7:8">
      <c r="G17011" s="87"/>
      <c r="H17011" s="90"/>
    </row>
    <row r="17012" spans="7:8">
      <c r="G17012" s="87"/>
      <c r="H17012" s="90"/>
    </row>
    <row r="17013" spans="7:8">
      <c r="G17013" s="87"/>
      <c r="H17013" s="90"/>
    </row>
    <row r="17014" spans="7:8">
      <c r="G17014" s="87"/>
      <c r="H17014" s="90"/>
    </row>
    <row r="17015" spans="7:8">
      <c r="G17015" s="87"/>
      <c r="H17015" s="90"/>
    </row>
    <row r="17016" spans="7:8">
      <c r="G17016" s="87"/>
      <c r="H17016" s="90"/>
    </row>
    <row r="17017" spans="7:8">
      <c r="G17017" s="87"/>
      <c r="H17017" s="90"/>
    </row>
    <row r="17018" spans="7:8">
      <c r="G17018" s="87"/>
      <c r="H17018" s="90"/>
    </row>
    <row r="17019" spans="7:8">
      <c r="G17019" s="87"/>
      <c r="H17019" s="90"/>
    </row>
    <row r="17020" spans="7:8">
      <c r="G17020" s="87"/>
      <c r="H17020" s="90"/>
    </row>
    <row r="17021" spans="7:8">
      <c r="G17021" s="87"/>
      <c r="H17021" s="90"/>
    </row>
    <row r="17022" spans="7:8">
      <c r="G17022" s="87"/>
      <c r="H17022" s="90"/>
    </row>
    <row r="17023" spans="7:8">
      <c r="G17023" s="87"/>
      <c r="H17023" s="90"/>
    </row>
    <row r="17024" spans="7:8">
      <c r="G17024" s="87"/>
      <c r="H17024" s="90"/>
    </row>
    <row r="17025" spans="7:8">
      <c r="G17025" s="87"/>
      <c r="H17025" s="90"/>
    </row>
    <row r="17026" spans="7:8">
      <c r="G17026" s="87"/>
      <c r="H17026" s="90"/>
    </row>
    <row r="17027" spans="7:8">
      <c r="G17027" s="87"/>
      <c r="H17027" s="90"/>
    </row>
    <row r="17028" spans="7:8">
      <c r="G17028" s="87"/>
      <c r="H17028" s="90"/>
    </row>
    <row r="17029" spans="7:8">
      <c r="G17029" s="87"/>
      <c r="H17029" s="90"/>
    </row>
    <row r="17030" spans="7:8">
      <c r="G17030" s="87"/>
      <c r="H17030" s="90"/>
    </row>
    <row r="17031" spans="7:8">
      <c r="G17031" s="87"/>
      <c r="H17031" s="90"/>
    </row>
    <row r="17032" spans="7:8">
      <c r="G17032" s="87"/>
      <c r="H17032" s="90"/>
    </row>
    <row r="17033" spans="7:8">
      <c r="G17033" s="87"/>
      <c r="H17033" s="90"/>
    </row>
    <row r="17034" spans="7:8">
      <c r="G17034" s="87"/>
      <c r="H17034" s="90"/>
    </row>
    <row r="17035" spans="7:8">
      <c r="G17035" s="87"/>
      <c r="H17035" s="90"/>
    </row>
    <row r="17036" spans="7:8">
      <c r="G17036" s="87"/>
      <c r="H17036" s="90"/>
    </row>
    <row r="17037" spans="7:8">
      <c r="G17037" s="87"/>
      <c r="H17037" s="90"/>
    </row>
    <row r="17038" spans="7:8">
      <c r="G17038" s="87"/>
      <c r="H17038" s="90"/>
    </row>
    <row r="17039" spans="7:8">
      <c r="G17039" s="87"/>
      <c r="H17039" s="90"/>
    </row>
    <row r="17040" spans="7:8">
      <c r="G17040" s="87"/>
      <c r="H17040" s="90"/>
    </row>
    <row r="17041" spans="7:8">
      <c r="G17041" s="87"/>
      <c r="H17041" s="90"/>
    </row>
    <row r="17042" spans="7:8">
      <c r="G17042" s="87"/>
      <c r="H17042" s="90"/>
    </row>
    <row r="17043" spans="7:8">
      <c r="G17043" s="87"/>
      <c r="H17043" s="90"/>
    </row>
    <row r="17044" spans="7:8">
      <c r="G17044" s="87"/>
      <c r="H17044" s="90"/>
    </row>
    <row r="17045" spans="7:8">
      <c r="G17045" s="87"/>
      <c r="H17045" s="90"/>
    </row>
    <row r="17046" spans="7:8">
      <c r="G17046" s="87"/>
      <c r="H17046" s="90"/>
    </row>
    <row r="17047" spans="7:8">
      <c r="G17047" s="87"/>
      <c r="H17047" s="90"/>
    </row>
    <row r="17048" spans="7:8">
      <c r="G17048" s="87"/>
      <c r="H17048" s="90"/>
    </row>
    <row r="17049" spans="7:8">
      <c r="G17049" s="87"/>
      <c r="H17049" s="90"/>
    </row>
    <row r="17050" spans="7:8">
      <c r="G17050" s="87"/>
      <c r="H17050" s="90"/>
    </row>
    <row r="17051" spans="7:8">
      <c r="G17051" s="87"/>
      <c r="H17051" s="90"/>
    </row>
    <row r="17052" spans="7:8">
      <c r="G17052" s="87"/>
      <c r="H17052" s="90"/>
    </row>
    <row r="17053" spans="7:8">
      <c r="G17053" s="87"/>
      <c r="H17053" s="90"/>
    </row>
    <row r="17054" spans="7:8">
      <c r="G17054" s="87"/>
      <c r="H17054" s="90"/>
    </row>
    <row r="17055" spans="7:8">
      <c r="G17055" s="87"/>
      <c r="H17055" s="90"/>
    </row>
    <row r="17056" spans="7:8">
      <c r="G17056" s="87"/>
      <c r="H17056" s="90"/>
    </row>
    <row r="17057" spans="7:8">
      <c r="G17057" s="87"/>
      <c r="H17057" s="90"/>
    </row>
    <row r="17058" spans="7:8">
      <c r="G17058" s="87"/>
      <c r="H17058" s="90"/>
    </row>
    <row r="17059" spans="7:8">
      <c r="G17059" s="87"/>
      <c r="H17059" s="90"/>
    </row>
    <row r="17060" spans="7:8">
      <c r="G17060" s="87"/>
      <c r="H17060" s="90"/>
    </row>
    <row r="17061" spans="7:8">
      <c r="G17061" s="87"/>
      <c r="H17061" s="90"/>
    </row>
    <row r="17062" spans="7:8">
      <c r="G17062" s="87"/>
      <c r="H17062" s="90"/>
    </row>
    <row r="17063" spans="7:8">
      <c r="G17063" s="87"/>
      <c r="H17063" s="90"/>
    </row>
    <row r="17064" spans="7:8">
      <c r="G17064" s="87"/>
      <c r="H17064" s="90"/>
    </row>
    <row r="17065" spans="7:8">
      <c r="G17065" s="87"/>
      <c r="H17065" s="90"/>
    </row>
    <row r="17066" spans="7:8">
      <c r="G17066" s="87"/>
      <c r="H17066" s="90"/>
    </row>
    <row r="17067" spans="7:8">
      <c r="G17067" s="87"/>
      <c r="H17067" s="90"/>
    </row>
    <row r="17068" spans="7:8">
      <c r="G17068" s="87"/>
      <c r="H17068" s="90"/>
    </row>
    <row r="17069" spans="7:8">
      <c r="G17069" s="87"/>
      <c r="H17069" s="90"/>
    </row>
    <row r="17070" spans="7:8">
      <c r="G17070" s="87"/>
      <c r="H17070" s="90"/>
    </row>
    <row r="17071" spans="7:8">
      <c r="G17071" s="87"/>
      <c r="H17071" s="90"/>
    </row>
    <row r="17072" spans="7:8">
      <c r="G17072" s="87"/>
      <c r="H17072" s="90"/>
    </row>
    <row r="17073" spans="7:8">
      <c r="G17073" s="87"/>
      <c r="H17073" s="90"/>
    </row>
    <row r="17074" spans="7:8">
      <c r="G17074" s="87"/>
      <c r="H17074" s="90"/>
    </row>
    <row r="17075" spans="7:8">
      <c r="G17075" s="87"/>
      <c r="H17075" s="90"/>
    </row>
    <row r="17076" spans="7:8">
      <c r="G17076" s="87"/>
      <c r="H17076" s="90"/>
    </row>
    <row r="17077" spans="7:8">
      <c r="G17077" s="87"/>
      <c r="H17077" s="90"/>
    </row>
    <row r="17078" spans="7:8">
      <c r="G17078" s="87"/>
      <c r="H17078" s="90"/>
    </row>
    <row r="17079" spans="7:8">
      <c r="G17079" s="87"/>
      <c r="H17079" s="90"/>
    </row>
    <row r="17080" spans="7:8">
      <c r="G17080" s="87"/>
      <c r="H17080" s="90"/>
    </row>
    <row r="17081" spans="7:8">
      <c r="G17081" s="87"/>
      <c r="H17081" s="90"/>
    </row>
    <row r="17082" spans="7:8">
      <c r="G17082" s="87"/>
      <c r="H17082" s="90"/>
    </row>
    <row r="17083" spans="7:8">
      <c r="G17083" s="87"/>
      <c r="H17083" s="90"/>
    </row>
    <row r="17084" spans="7:8">
      <c r="G17084" s="87"/>
      <c r="H17084" s="90"/>
    </row>
    <row r="17085" spans="7:8">
      <c r="G17085" s="87"/>
      <c r="H17085" s="90"/>
    </row>
    <row r="17086" spans="7:8">
      <c r="G17086" s="87"/>
      <c r="H17086" s="90"/>
    </row>
    <row r="17087" spans="7:8">
      <c r="G17087" s="87"/>
      <c r="H17087" s="90"/>
    </row>
    <row r="17088" spans="7:8">
      <c r="G17088" s="87"/>
      <c r="H17088" s="90"/>
    </row>
    <row r="17089" spans="7:8">
      <c r="G17089" s="87"/>
      <c r="H17089" s="90"/>
    </row>
    <row r="17090" spans="7:8">
      <c r="G17090" s="87"/>
      <c r="H17090" s="90"/>
    </row>
    <row r="17091" spans="7:8">
      <c r="G17091" s="87"/>
      <c r="H17091" s="90"/>
    </row>
    <row r="17092" spans="7:8">
      <c r="G17092" s="87"/>
      <c r="H17092" s="90"/>
    </row>
    <row r="17093" spans="7:8">
      <c r="G17093" s="87"/>
      <c r="H17093" s="90"/>
    </row>
    <row r="17094" spans="7:8">
      <c r="G17094" s="87"/>
      <c r="H17094" s="90"/>
    </row>
    <row r="17095" spans="7:8">
      <c r="G17095" s="87"/>
      <c r="H17095" s="90"/>
    </row>
    <row r="17096" spans="7:8">
      <c r="G17096" s="87"/>
      <c r="H17096" s="90"/>
    </row>
    <row r="17097" spans="7:8">
      <c r="G17097" s="87"/>
      <c r="H17097" s="90"/>
    </row>
    <row r="17098" spans="7:8">
      <c r="G17098" s="87"/>
      <c r="H17098" s="90"/>
    </row>
    <row r="17099" spans="7:8">
      <c r="G17099" s="87"/>
      <c r="H17099" s="90"/>
    </row>
    <row r="17100" spans="7:8">
      <c r="G17100" s="87"/>
      <c r="H17100" s="90"/>
    </row>
    <row r="17101" spans="7:8">
      <c r="G17101" s="87"/>
      <c r="H17101" s="90"/>
    </row>
    <row r="17102" spans="7:8">
      <c r="G17102" s="87"/>
      <c r="H17102" s="90"/>
    </row>
    <row r="17103" spans="7:8">
      <c r="G17103" s="87"/>
      <c r="H17103" s="90"/>
    </row>
    <row r="17104" spans="7:8">
      <c r="G17104" s="87"/>
      <c r="H17104" s="90"/>
    </row>
    <row r="17105" spans="7:8">
      <c r="G17105" s="87"/>
      <c r="H17105" s="90"/>
    </row>
    <row r="17106" spans="7:8">
      <c r="G17106" s="87"/>
      <c r="H17106" s="90"/>
    </row>
    <row r="17107" spans="7:8">
      <c r="G17107" s="87"/>
      <c r="H17107" s="90"/>
    </row>
    <row r="17108" spans="7:8">
      <c r="G17108" s="87"/>
      <c r="H17108" s="90"/>
    </row>
    <row r="17109" spans="7:8">
      <c r="G17109" s="87"/>
      <c r="H17109" s="90"/>
    </row>
    <row r="17110" spans="7:8">
      <c r="G17110" s="87"/>
      <c r="H17110" s="90"/>
    </row>
    <row r="17111" spans="7:8">
      <c r="G17111" s="87"/>
      <c r="H17111" s="90"/>
    </row>
    <row r="17112" spans="7:8">
      <c r="G17112" s="87"/>
      <c r="H17112" s="90"/>
    </row>
    <row r="17113" spans="7:8">
      <c r="G17113" s="87"/>
      <c r="H17113" s="90"/>
    </row>
    <row r="17114" spans="7:8">
      <c r="G17114" s="87"/>
      <c r="H17114" s="90"/>
    </row>
    <row r="17115" spans="7:8">
      <c r="G17115" s="87"/>
      <c r="H17115" s="90"/>
    </row>
    <row r="17116" spans="7:8">
      <c r="G17116" s="87"/>
      <c r="H17116" s="90"/>
    </row>
    <row r="17117" spans="7:8">
      <c r="G17117" s="87"/>
      <c r="H17117" s="90"/>
    </row>
    <row r="17118" spans="7:8">
      <c r="G17118" s="87"/>
      <c r="H17118" s="90"/>
    </row>
    <row r="17119" spans="7:8">
      <c r="G17119" s="87"/>
      <c r="H17119" s="90"/>
    </row>
    <row r="17120" spans="7:8">
      <c r="G17120" s="87"/>
      <c r="H17120" s="90"/>
    </row>
    <row r="17121" spans="7:8">
      <c r="G17121" s="87"/>
      <c r="H17121" s="90"/>
    </row>
    <row r="17122" spans="7:8">
      <c r="G17122" s="87"/>
      <c r="H17122" s="90"/>
    </row>
    <row r="17123" spans="7:8">
      <c r="G17123" s="87"/>
      <c r="H17123" s="90"/>
    </row>
    <row r="17124" spans="7:8">
      <c r="G17124" s="87"/>
      <c r="H17124" s="90"/>
    </row>
    <row r="17125" spans="7:8">
      <c r="G17125" s="87"/>
      <c r="H17125" s="90"/>
    </row>
    <row r="17126" spans="7:8">
      <c r="G17126" s="87"/>
      <c r="H17126" s="90"/>
    </row>
    <row r="17127" spans="7:8">
      <c r="G17127" s="87"/>
      <c r="H17127" s="90"/>
    </row>
    <row r="17128" spans="7:8">
      <c r="G17128" s="87"/>
      <c r="H17128" s="90"/>
    </row>
    <row r="17129" spans="7:8">
      <c r="G17129" s="87"/>
      <c r="H17129" s="90"/>
    </row>
    <row r="17130" spans="7:8">
      <c r="G17130" s="87"/>
      <c r="H17130" s="90"/>
    </row>
    <row r="17131" spans="7:8">
      <c r="G17131" s="87"/>
      <c r="H17131" s="90"/>
    </row>
    <row r="17132" spans="7:8">
      <c r="G17132" s="87"/>
      <c r="H17132" s="90"/>
    </row>
    <row r="17133" spans="7:8">
      <c r="G17133" s="87"/>
      <c r="H17133" s="90"/>
    </row>
    <row r="17134" spans="7:8">
      <c r="G17134" s="87"/>
      <c r="H17134" s="90"/>
    </row>
    <row r="17135" spans="7:8">
      <c r="G17135" s="87"/>
      <c r="H17135" s="90"/>
    </row>
    <row r="17136" spans="7:8">
      <c r="G17136" s="87"/>
      <c r="H17136" s="90"/>
    </row>
    <row r="17137" spans="7:8">
      <c r="G17137" s="87"/>
      <c r="H17137" s="90"/>
    </row>
    <row r="17138" spans="7:8">
      <c r="G17138" s="87"/>
      <c r="H17138" s="90"/>
    </row>
    <row r="17139" spans="7:8">
      <c r="G17139" s="87"/>
      <c r="H17139" s="90"/>
    </row>
    <row r="17140" spans="7:8">
      <c r="G17140" s="87"/>
      <c r="H17140" s="90"/>
    </row>
    <row r="17141" spans="7:8">
      <c r="G17141" s="87"/>
      <c r="H17141" s="90"/>
    </row>
    <row r="17142" spans="7:8">
      <c r="G17142" s="87"/>
      <c r="H17142" s="90"/>
    </row>
    <row r="17143" spans="7:8">
      <c r="G17143" s="87"/>
      <c r="H17143" s="90"/>
    </row>
    <row r="17144" spans="7:8">
      <c r="G17144" s="87"/>
      <c r="H17144" s="90"/>
    </row>
    <row r="17145" spans="7:8">
      <c r="G17145" s="87"/>
      <c r="H17145" s="90"/>
    </row>
    <row r="17146" spans="7:8">
      <c r="G17146" s="87"/>
      <c r="H17146" s="90"/>
    </row>
    <row r="17147" spans="7:8">
      <c r="G17147" s="87"/>
      <c r="H17147" s="90"/>
    </row>
    <row r="17148" spans="7:8">
      <c r="G17148" s="87"/>
      <c r="H17148" s="90"/>
    </row>
    <row r="17149" spans="7:8">
      <c r="G17149" s="87"/>
      <c r="H17149" s="90"/>
    </row>
    <row r="17150" spans="7:8">
      <c r="G17150" s="87"/>
      <c r="H17150" s="90"/>
    </row>
    <row r="17151" spans="7:8">
      <c r="G17151" s="87"/>
      <c r="H17151" s="90"/>
    </row>
    <row r="17152" spans="7:8">
      <c r="G17152" s="87"/>
      <c r="H17152" s="90"/>
    </row>
    <row r="17153" spans="7:8">
      <c r="G17153" s="87"/>
      <c r="H17153" s="90"/>
    </row>
    <row r="17154" spans="7:8">
      <c r="G17154" s="87"/>
      <c r="H17154" s="90"/>
    </row>
    <row r="17155" spans="7:8">
      <c r="G17155" s="87"/>
      <c r="H17155" s="90"/>
    </row>
    <row r="17156" spans="7:8">
      <c r="G17156" s="87"/>
      <c r="H17156" s="90"/>
    </row>
    <row r="17157" spans="7:8">
      <c r="G17157" s="87"/>
      <c r="H17157" s="90"/>
    </row>
    <row r="17158" spans="7:8">
      <c r="G17158" s="87"/>
      <c r="H17158" s="90"/>
    </row>
    <row r="17159" spans="7:8">
      <c r="G17159" s="87"/>
      <c r="H17159" s="90"/>
    </row>
    <row r="17160" spans="7:8">
      <c r="G17160" s="87"/>
      <c r="H17160" s="90"/>
    </row>
    <row r="17161" spans="7:8">
      <c r="G17161" s="87"/>
      <c r="H17161" s="90"/>
    </row>
    <row r="17162" spans="7:8">
      <c r="G17162" s="87"/>
      <c r="H17162" s="90"/>
    </row>
    <row r="17163" spans="7:8">
      <c r="G17163" s="87"/>
      <c r="H17163" s="90"/>
    </row>
    <row r="17164" spans="7:8">
      <c r="G17164" s="87"/>
      <c r="H17164" s="90"/>
    </row>
    <row r="17165" spans="7:8">
      <c r="G17165" s="87"/>
      <c r="H17165" s="90"/>
    </row>
    <row r="17166" spans="7:8">
      <c r="G17166" s="87"/>
      <c r="H17166" s="90"/>
    </row>
    <row r="17167" spans="7:8">
      <c r="G17167" s="87"/>
      <c r="H17167" s="90"/>
    </row>
    <row r="17168" spans="7:8">
      <c r="G17168" s="87"/>
      <c r="H17168" s="90"/>
    </row>
    <row r="17169" spans="7:8">
      <c r="G17169" s="87"/>
      <c r="H17169" s="90"/>
    </row>
    <row r="17170" spans="7:8">
      <c r="G17170" s="87"/>
      <c r="H17170" s="90"/>
    </row>
    <row r="17171" spans="7:8">
      <c r="G17171" s="87"/>
      <c r="H17171" s="90"/>
    </row>
    <row r="17172" spans="7:8">
      <c r="G17172" s="87"/>
      <c r="H17172" s="90"/>
    </row>
    <row r="17173" spans="7:8">
      <c r="G17173" s="87"/>
      <c r="H17173" s="90"/>
    </row>
    <row r="17174" spans="7:8">
      <c r="G17174" s="87"/>
      <c r="H17174" s="90"/>
    </row>
    <row r="17175" spans="7:8">
      <c r="G17175" s="87"/>
      <c r="H17175" s="90"/>
    </row>
    <row r="17176" spans="7:8">
      <c r="G17176" s="87"/>
      <c r="H17176" s="90"/>
    </row>
    <row r="17177" spans="7:8">
      <c r="G17177" s="87"/>
      <c r="H17177" s="90"/>
    </row>
    <row r="17178" spans="7:8">
      <c r="G17178" s="87"/>
      <c r="H17178" s="90"/>
    </row>
    <row r="17179" spans="7:8">
      <c r="G17179" s="87"/>
      <c r="H17179" s="90"/>
    </row>
    <row r="17180" spans="7:8">
      <c r="G17180" s="87"/>
      <c r="H17180" s="90"/>
    </row>
    <row r="17181" spans="7:8">
      <c r="G17181" s="87"/>
      <c r="H17181" s="90"/>
    </row>
    <row r="17182" spans="7:8">
      <c r="G17182" s="87"/>
      <c r="H17182" s="90"/>
    </row>
    <row r="17183" spans="7:8">
      <c r="G17183" s="87"/>
      <c r="H17183" s="90"/>
    </row>
    <row r="17184" spans="7:8">
      <c r="G17184" s="87"/>
      <c r="H17184" s="90"/>
    </row>
    <row r="17185" spans="7:8">
      <c r="G17185" s="87"/>
      <c r="H17185" s="90"/>
    </row>
    <row r="17186" spans="7:8">
      <c r="G17186" s="87"/>
      <c r="H17186" s="90"/>
    </row>
    <row r="17187" spans="7:8">
      <c r="G17187" s="87"/>
      <c r="H17187" s="90"/>
    </row>
    <row r="17188" spans="7:8">
      <c r="G17188" s="87"/>
      <c r="H17188" s="90"/>
    </row>
    <row r="17189" spans="7:8">
      <c r="G17189" s="87"/>
      <c r="H17189" s="90"/>
    </row>
    <row r="17190" spans="7:8">
      <c r="G17190" s="87"/>
      <c r="H17190" s="90"/>
    </row>
    <row r="17191" spans="7:8">
      <c r="G17191" s="87"/>
      <c r="H17191" s="90"/>
    </row>
    <row r="17192" spans="7:8">
      <c r="G17192" s="87"/>
      <c r="H17192" s="90"/>
    </row>
    <row r="17193" spans="7:8">
      <c r="G17193" s="87"/>
      <c r="H17193" s="90"/>
    </row>
    <row r="17194" spans="7:8">
      <c r="G17194" s="87"/>
      <c r="H17194" s="90"/>
    </row>
    <row r="17195" spans="7:8">
      <c r="G17195" s="87"/>
      <c r="H17195" s="90"/>
    </row>
    <row r="17196" spans="7:8">
      <c r="G17196" s="87"/>
      <c r="H17196" s="90"/>
    </row>
    <row r="17197" spans="7:8">
      <c r="G17197" s="87"/>
      <c r="H17197" s="90"/>
    </row>
    <row r="17198" spans="7:8">
      <c r="G17198" s="87"/>
      <c r="H17198" s="90"/>
    </row>
    <row r="17199" spans="7:8">
      <c r="G17199" s="87"/>
      <c r="H17199" s="90"/>
    </row>
    <row r="17200" spans="7:8">
      <c r="G17200" s="87"/>
      <c r="H17200" s="90"/>
    </row>
    <row r="17201" spans="7:8">
      <c r="G17201" s="87"/>
      <c r="H17201" s="90"/>
    </row>
    <row r="17202" spans="7:8">
      <c r="G17202" s="87"/>
      <c r="H17202" s="90"/>
    </row>
    <row r="17203" spans="7:8">
      <c r="G17203" s="87"/>
      <c r="H17203" s="90"/>
    </row>
    <row r="17204" spans="7:8">
      <c r="G17204" s="87"/>
      <c r="H17204" s="90"/>
    </row>
    <row r="17205" spans="7:8">
      <c r="G17205" s="87"/>
      <c r="H17205" s="90"/>
    </row>
    <row r="17206" spans="7:8">
      <c r="G17206" s="87"/>
      <c r="H17206" s="90"/>
    </row>
    <row r="17207" spans="7:8">
      <c r="G17207" s="87"/>
      <c r="H17207" s="90"/>
    </row>
    <row r="17208" spans="7:8">
      <c r="G17208" s="87"/>
      <c r="H17208" s="90"/>
    </row>
    <row r="17209" spans="7:8">
      <c r="G17209" s="87"/>
      <c r="H17209" s="90"/>
    </row>
    <row r="17210" spans="7:8">
      <c r="G17210" s="87"/>
      <c r="H17210" s="90"/>
    </row>
    <row r="17211" spans="7:8">
      <c r="G17211" s="87"/>
      <c r="H17211" s="90"/>
    </row>
    <row r="17212" spans="7:8">
      <c r="G17212" s="87"/>
      <c r="H17212" s="90"/>
    </row>
    <row r="17213" spans="7:8">
      <c r="G17213" s="87"/>
      <c r="H17213" s="90"/>
    </row>
    <row r="17214" spans="7:8">
      <c r="G17214" s="87"/>
      <c r="H17214" s="90"/>
    </row>
    <row r="17215" spans="7:8">
      <c r="G17215" s="87"/>
      <c r="H17215" s="90"/>
    </row>
    <row r="17216" spans="7:8">
      <c r="G17216" s="87"/>
      <c r="H17216" s="90"/>
    </row>
    <row r="17217" spans="7:8">
      <c r="G17217" s="87"/>
      <c r="H17217" s="90"/>
    </row>
    <row r="17218" spans="7:8">
      <c r="G17218" s="87"/>
      <c r="H17218" s="90"/>
    </row>
    <row r="17219" spans="7:8">
      <c r="G17219" s="87"/>
      <c r="H17219" s="90"/>
    </row>
    <row r="17220" spans="7:8">
      <c r="G17220" s="87"/>
      <c r="H17220" s="90"/>
    </row>
    <row r="17221" spans="7:8">
      <c r="G17221" s="87"/>
      <c r="H17221" s="90"/>
    </row>
    <row r="17222" spans="7:8">
      <c r="G17222" s="87"/>
      <c r="H17222" s="90"/>
    </row>
    <row r="17223" spans="7:8">
      <c r="G17223" s="87"/>
      <c r="H17223" s="90"/>
    </row>
    <row r="17224" spans="7:8">
      <c r="G17224" s="87"/>
      <c r="H17224" s="90"/>
    </row>
    <row r="17225" spans="7:8">
      <c r="G17225" s="87"/>
      <c r="H17225" s="90"/>
    </row>
    <row r="17226" spans="7:8">
      <c r="G17226" s="87"/>
      <c r="H17226" s="90"/>
    </row>
    <row r="17227" spans="7:8">
      <c r="G17227" s="87"/>
      <c r="H17227" s="90"/>
    </row>
    <row r="17228" spans="7:8">
      <c r="G17228" s="87"/>
      <c r="H17228" s="90"/>
    </row>
    <row r="17229" spans="7:8">
      <c r="G17229" s="87"/>
      <c r="H17229" s="90"/>
    </row>
    <row r="17230" spans="7:8">
      <c r="G17230" s="87"/>
      <c r="H17230" s="90"/>
    </row>
    <row r="17231" spans="7:8">
      <c r="G17231" s="87"/>
      <c r="H17231" s="90"/>
    </row>
    <row r="17232" spans="7:8">
      <c r="G17232" s="87"/>
      <c r="H17232" s="90"/>
    </row>
    <row r="17233" spans="7:8">
      <c r="G17233" s="87"/>
      <c r="H17233" s="90"/>
    </row>
    <row r="17234" spans="7:8">
      <c r="G17234" s="87"/>
      <c r="H17234" s="90"/>
    </row>
    <row r="17235" spans="7:8">
      <c r="G17235" s="87"/>
      <c r="H17235" s="90"/>
    </row>
    <row r="17236" spans="7:8">
      <c r="G17236" s="87"/>
      <c r="H17236" s="90"/>
    </row>
    <row r="17237" spans="7:8">
      <c r="G17237" s="87"/>
      <c r="H17237" s="90"/>
    </row>
    <row r="17238" spans="7:8">
      <c r="G17238" s="87"/>
      <c r="H17238" s="90"/>
    </row>
    <row r="17239" spans="7:8">
      <c r="G17239" s="87"/>
      <c r="H17239" s="90"/>
    </row>
    <row r="17240" spans="7:8">
      <c r="G17240" s="87"/>
      <c r="H17240" s="90"/>
    </row>
    <row r="17241" spans="7:8">
      <c r="G17241" s="87"/>
      <c r="H17241" s="90"/>
    </row>
    <row r="17242" spans="7:8">
      <c r="G17242" s="87"/>
      <c r="H17242" s="90"/>
    </row>
    <row r="17243" spans="7:8">
      <c r="G17243" s="87"/>
      <c r="H17243" s="90"/>
    </row>
    <row r="17244" spans="7:8">
      <c r="G17244" s="87"/>
      <c r="H17244" s="90"/>
    </row>
    <row r="17245" spans="7:8">
      <c r="G17245" s="87"/>
      <c r="H17245" s="90"/>
    </row>
    <row r="17246" spans="7:8">
      <c r="G17246" s="87"/>
      <c r="H17246" s="90"/>
    </row>
    <row r="17247" spans="7:8">
      <c r="G17247" s="87"/>
      <c r="H17247" s="90"/>
    </row>
    <row r="17248" spans="7:8">
      <c r="G17248" s="87"/>
      <c r="H17248" s="90"/>
    </row>
    <row r="17249" spans="7:8">
      <c r="G17249" s="87"/>
      <c r="H17249" s="90"/>
    </row>
    <row r="17250" spans="7:8">
      <c r="G17250" s="87"/>
      <c r="H17250" s="90"/>
    </row>
    <row r="17251" spans="7:8">
      <c r="G17251" s="87"/>
      <c r="H17251" s="90"/>
    </row>
    <row r="17252" spans="7:8">
      <c r="G17252" s="87"/>
      <c r="H17252" s="90"/>
    </row>
    <row r="17253" spans="7:8">
      <c r="G17253" s="87"/>
      <c r="H17253" s="90"/>
    </row>
    <row r="17254" spans="7:8">
      <c r="G17254" s="87"/>
      <c r="H17254" s="90"/>
    </row>
    <row r="17255" spans="7:8">
      <c r="G17255" s="87"/>
      <c r="H17255" s="90"/>
    </row>
    <row r="17256" spans="7:8">
      <c r="G17256" s="87"/>
      <c r="H17256" s="90"/>
    </row>
    <row r="17257" spans="7:8">
      <c r="G17257" s="87"/>
      <c r="H17257" s="90"/>
    </row>
    <row r="17258" spans="7:8">
      <c r="G17258" s="87"/>
      <c r="H17258" s="90"/>
    </row>
    <row r="17259" spans="7:8">
      <c r="G17259" s="87"/>
      <c r="H17259" s="90"/>
    </row>
    <row r="17260" spans="7:8">
      <c r="G17260" s="87"/>
      <c r="H17260" s="90"/>
    </row>
    <row r="17261" spans="7:8">
      <c r="G17261" s="87"/>
      <c r="H17261" s="90"/>
    </row>
    <row r="17262" spans="7:8">
      <c r="G17262" s="87"/>
      <c r="H17262" s="90"/>
    </row>
    <row r="17263" spans="7:8">
      <c r="G17263" s="87"/>
      <c r="H17263" s="90"/>
    </row>
    <row r="17264" spans="7:8">
      <c r="G17264" s="87"/>
      <c r="H17264" s="90"/>
    </row>
    <row r="17265" spans="7:8">
      <c r="G17265" s="87"/>
      <c r="H17265" s="90"/>
    </row>
    <row r="17266" spans="7:8">
      <c r="G17266" s="87"/>
      <c r="H17266" s="90"/>
    </row>
    <row r="17267" spans="7:8">
      <c r="G17267" s="87"/>
      <c r="H17267" s="90"/>
    </row>
    <row r="17268" spans="7:8">
      <c r="G17268" s="87"/>
      <c r="H17268" s="90"/>
    </row>
    <row r="17269" spans="7:8">
      <c r="G17269" s="87"/>
      <c r="H17269" s="90"/>
    </row>
    <row r="17270" spans="7:8">
      <c r="G17270" s="87"/>
      <c r="H17270" s="90"/>
    </row>
    <row r="17271" spans="7:8">
      <c r="G17271" s="87"/>
      <c r="H17271" s="90"/>
    </row>
    <row r="17272" spans="7:8">
      <c r="G17272" s="87"/>
      <c r="H17272" s="90"/>
    </row>
    <row r="17273" spans="7:8">
      <c r="G17273" s="87"/>
      <c r="H17273" s="90"/>
    </row>
    <row r="17274" spans="7:8">
      <c r="G17274" s="87"/>
      <c r="H17274" s="90"/>
    </row>
    <row r="17275" spans="7:8">
      <c r="G17275" s="87"/>
      <c r="H17275" s="90"/>
    </row>
    <row r="17276" spans="7:8">
      <c r="G17276" s="87"/>
      <c r="H17276" s="90"/>
    </row>
    <row r="17277" spans="7:8">
      <c r="G17277" s="87"/>
      <c r="H17277" s="90"/>
    </row>
    <row r="17278" spans="7:8">
      <c r="G17278" s="87"/>
      <c r="H17278" s="90"/>
    </row>
    <row r="17279" spans="7:8">
      <c r="G17279" s="87"/>
      <c r="H17279" s="90"/>
    </row>
    <row r="17280" spans="7:8">
      <c r="G17280" s="87"/>
      <c r="H17280" s="90"/>
    </row>
    <row r="17281" spans="7:8">
      <c r="G17281" s="87"/>
      <c r="H17281" s="90"/>
    </row>
    <row r="17282" spans="7:8">
      <c r="G17282" s="87"/>
      <c r="H17282" s="90"/>
    </row>
    <row r="17283" spans="7:8">
      <c r="G17283" s="87"/>
      <c r="H17283" s="90"/>
    </row>
    <row r="17284" spans="7:8">
      <c r="G17284" s="87"/>
      <c r="H17284" s="90"/>
    </row>
    <row r="17285" spans="7:8">
      <c r="G17285" s="87"/>
      <c r="H17285" s="90"/>
    </row>
    <row r="17286" spans="7:8">
      <c r="G17286" s="87"/>
      <c r="H17286" s="90"/>
    </row>
    <row r="17287" spans="7:8">
      <c r="G17287" s="87"/>
      <c r="H17287" s="90"/>
    </row>
    <row r="17288" spans="7:8">
      <c r="G17288" s="87"/>
      <c r="H17288" s="90"/>
    </row>
    <row r="17289" spans="7:8">
      <c r="G17289" s="87"/>
      <c r="H17289" s="90"/>
    </row>
    <row r="17290" spans="7:8">
      <c r="G17290" s="87"/>
      <c r="H17290" s="90"/>
    </row>
    <row r="17291" spans="7:8">
      <c r="G17291" s="87"/>
      <c r="H17291" s="90"/>
    </row>
    <row r="17292" spans="7:8">
      <c r="G17292" s="87"/>
      <c r="H17292" s="90"/>
    </row>
    <row r="17293" spans="7:8">
      <c r="G17293" s="87"/>
      <c r="H17293" s="90"/>
    </row>
    <row r="17294" spans="7:8">
      <c r="G17294" s="87"/>
      <c r="H17294" s="90"/>
    </row>
    <row r="17295" spans="7:8">
      <c r="G17295" s="87"/>
      <c r="H17295" s="90"/>
    </row>
    <row r="17296" spans="7:8">
      <c r="G17296" s="87"/>
      <c r="H17296" s="90"/>
    </row>
    <row r="17297" spans="7:8">
      <c r="G17297" s="87"/>
      <c r="H17297" s="90"/>
    </row>
    <row r="17298" spans="7:8">
      <c r="G17298" s="87"/>
      <c r="H17298" s="90"/>
    </row>
    <row r="17299" spans="7:8">
      <c r="G17299" s="87"/>
      <c r="H17299" s="90"/>
    </row>
    <row r="17300" spans="7:8">
      <c r="G17300" s="87"/>
      <c r="H17300" s="90"/>
    </row>
    <row r="17301" spans="7:8">
      <c r="G17301" s="87"/>
      <c r="H17301" s="90"/>
    </row>
    <row r="17302" spans="7:8">
      <c r="G17302" s="87"/>
      <c r="H17302" s="90"/>
    </row>
    <row r="17303" spans="7:8">
      <c r="G17303" s="87"/>
      <c r="H17303" s="90"/>
    </row>
    <row r="17304" spans="7:8">
      <c r="G17304" s="87"/>
      <c r="H17304" s="90"/>
    </row>
    <row r="17305" spans="7:8">
      <c r="G17305" s="87"/>
      <c r="H17305" s="90"/>
    </row>
    <row r="17306" spans="7:8">
      <c r="G17306" s="87"/>
      <c r="H17306" s="90"/>
    </row>
    <row r="17307" spans="7:8">
      <c r="G17307" s="87"/>
      <c r="H17307" s="90"/>
    </row>
    <row r="17308" spans="7:8">
      <c r="G17308" s="87"/>
      <c r="H17308" s="90"/>
    </row>
    <row r="17309" spans="7:8">
      <c r="G17309" s="87"/>
      <c r="H17309" s="90"/>
    </row>
    <row r="17310" spans="7:8">
      <c r="G17310" s="87"/>
      <c r="H17310" s="90"/>
    </row>
    <row r="17311" spans="7:8">
      <c r="G17311" s="87"/>
      <c r="H17311" s="90"/>
    </row>
    <row r="17312" spans="7:8">
      <c r="G17312" s="87"/>
      <c r="H17312" s="90"/>
    </row>
    <row r="17313" spans="7:8">
      <c r="G17313" s="87"/>
      <c r="H17313" s="90"/>
    </row>
    <row r="17314" spans="7:8">
      <c r="G17314" s="87"/>
      <c r="H17314" s="90"/>
    </row>
    <row r="17315" spans="7:8">
      <c r="G17315" s="87"/>
      <c r="H17315" s="90"/>
    </row>
    <row r="17316" spans="7:8">
      <c r="G17316" s="87"/>
      <c r="H17316" s="90"/>
    </row>
    <row r="17317" spans="7:8">
      <c r="G17317" s="87"/>
      <c r="H17317" s="90"/>
    </row>
    <row r="17318" spans="7:8">
      <c r="G17318" s="87"/>
      <c r="H17318" s="90"/>
    </row>
    <row r="17319" spans="7:8">
      <c r="G17319" s="87"/>
      <c r="H17319" s="90"/>
    </row>
    <row r="17320" spans="7:8">
      <c r="G17320" s="87"/>
      <c r="H17320" s="90"/>
    </row>
    <row r="17321" spans="7:8">
      <c r="G17321" s="87"/>
      <c r="H17321" s="90"/>
    </row>
    <row r="17322" spans="7:8">
      <c r="G17322" s="87"/>
      <c r="H17322" s="90"/>
    </row>
    <row r="17323" spans="7:8">
      <c r="G17323" s="87"/>
      <c r="H17323" s="90"/>
    </row>
    <row r="17324" spans="7:8">
      <c r="G17324" s="87"/>
      <c r="H17324" s="90"/>
    </row>
    <row r="17325" spans="7:8">
      <c r="G17325" s="87"/>
      <c r="H17325" s="90"/>
    </row>
    <row r="17326" spans="7:8">
      <c r="G17326" s="87"/>
      <c r="H17326" s="90"/>
    </row>
    <row r="17327" spans="7:8">
      <c r="G17327" s="87"/>
      <c r="H17327" s="90"/>
    </row>
    <row r="17328" spans="7:8">
      <c r="G17328" s="87"/>
      <c r="H17328" s="90"/>
    </row>
    <row r="17329" spans="7:8">
      <c r="G17329" s="87"/>
      <c r="H17329" s="90"/>
    </row>
    <row r="17330" spans="7:8">
      <c r="G17330" s="87"/>
      <c r="H17330" s="90"/>
    </row>
    <row r="17331" spans="7:8">
      <c r="G17331" s="87"/>
      <c r="H17331" s="90"/>
    </row>
    <row r="17332" spans="7:8">
      <c r="G17332" s="87"/>
      <c r="H17332" s="90"/>
    </row>
    <row r="17333" spans="7:8">
      <c r="G17333" s="87"/>
      <c r="H17333" s="90"/>
    </row>
    <row r="17334" spans="7:8">
      <c r="G17334" s="87"/>
      <c r="H17334" s="90"/>
    </row>
    <row r="17335" spans="7:8">
      <c r="G17335" s="87"/>
      <c r="H17335" s="90"/>
    </row>
    <row r="17336" spans="7:8">
      <c r="G17336" s="87"/>
      <c r="H17336" s="90"/>
    </row>
    <row r="17337" spans="7:8">
      <c r="G17337" s="87"/>
      <c r="H17337" s="90"/>
    </row>
    <row r="17338" spans="7:8">
      <c r="G17338" s="87"/>
      <c r="H17338" s="90"/>
    </row>
    <row r="17339" spans="7:8">
      <c r="G17339" s="87"/>
      <c r="H17339" s="90"/>
    </row>
    <row r="17340" spans="7:8">
      <c r="G17340" s="87"/>
      <c r="H17340" s="90"/>
    </row>
    <row r="17341" spans="7:8">
      <c r="G17341" s="87"/>
      <c r="H17341" s="90"/>
    </row>
    <row r="17342" spans="7:8">
      <c r="G17342" s="87"/>
      <c r="H17342" s="90"/>
    </row>
    <row r="17343" spans="7:8">
      <c r="G17343" s="87"/>
      <c r="H17343" s="90"/>
    </row>
    <row r="17344" spans="7:8">
      <c r="G17344" s="87"/>
      <c r="H17344" s="90"/>
    </row>
    <row r="17345" spans="7:8">
      <c r="G17345" s="87"/>
      <c r="H17345" s="90"/>
    </row>
    <row r="17346" spans="7:8">
      <c r="G17346" s="87"/>
      <c r="H17346" s="90"/>
    </row>
    <row r="17347" spans="7:8">
      <c r="G17347" s="87"/>
      <c r="H17347" s="90"/>
    </row>
    <row r="17348" spans="7:8">
      <c r="G17348" s="87"/>
      <c r="H17348" s="90"/>
    </row>
    <row r="17349" spans="7:8">
      <c r="G17349" s="87"/>
      <c r="H17349" s="90"/>
    </row>
    <row r="17350" spans="7:8">
      <c r="G17350" s="87"/>
      <c r="H17350" s="90"/>
    </row>
    <row r="17351" spans="7:8">
      <c r="G17351" s="87"/>
      <c r="H17351" s="90"/>
    </row>
    <row r="17352" spans="7:8">
      <c r="G17352" s="87"/>
      <c r="H17352" s="90"/>
    </row>
    <row r="17353" spans="7:8">
      <c r="G17353" s="87"/>
      <c r="H17353" s="90"/>
    </row>
    <row r="17354" spans="7:8">
      <c r="G17354" s="87"/>
      <c r="H17354" s="90"/>
    </row>
    <row r="17355" spans="7:8">
      <c r="G17355" s="87"/>
      <c r="H17355" s="90"/>
    </row>
    <row r="17356" spans="7:8">
      <c r="G17356" s="87"/>
      <c r="H17356" s="90"/>
    </row>
    <row r="17357" spans="7:8">
      <c r="G17357" s="87"/>
      <c r="H17357" s="90"/>
    </row>
    <row r="17358" spans="7:8">
      <c r="G17358" s="87"/>
      <c r="H17358" s="90"/>
    </row>
    <row r="17359" spans="7:8">
      <c r="G17359" s="87"/>
      <c r="H17359" s="90"/>
    </row>
    <row r="17360" spans="7:8">
      <c r="G17360" s="87"/>
      <c r="H17360" s="90"/>
    </row>
    <row r="17361" spans="7:8">
      <c r="G17361" s="87"/>
      <c r="H17361" s="90"/>
    </row>
    <row r="17362" spans="7:8">
      <c r="G17362" s="87"/>
      <c r="H17362" s="90"/>
    </row>
    <row r="17363" spans="7:8">
      <c r="G17363" s="87"/>
      <c r="H17363" s="90"/>
    </row>
    <row r="17364" spans="7:8">
      <c r="G17364" s="87"/>
      <c r="H17364" s="90"/>
    </row>
    <row r="17365" spans="7:8">
      <c r="G17365" s="87"/>
      <c r="H17365" s="90"/>
    </row>
    <row r="17366" spans="7:8">
      <c r="G17366" s="87"/>
      <c r="H17366" s="90"/>
    </row>
    <row r="17367" spans="7:8">
      <c r="G17367" s="87"/>
      <c r="H17367" s="90"/>
    </row>
    <row r="17368" spans="7:8">
      <c r="G17368" s="87"/>
      <c r="H17368" s="90"/>
    </row>
    <row r="17369" spans="7:8">
      <c r="G17369" s="87"/>
      <c r="H17369" s="90"/>
    </row>
    <row r="17370" spans="7:8">
      <c r="G17370" s="87"/>
      <c r="H17370" s="90"/>
    </row>
    <row r="17371" spans="7:8">
      <c r="G17371" s="87"/>
      <c r="H17371" s="90"/>
    </row>
    <row r="17372" spans="7:8">
      <c r="G17372" s="87"/>
      <c r="H17372" s="90"/>
    </row>
    <row r="17373" spans="7:8">
      <c r="G17373" s="87"/>
      <c r="H17373" s="90"/>
    </row>
    <row r="17374" spans="7:8">
      <c r="G17374" s="87"/>
      <c r="H17374" s="90"/>
    </row>
    <row r="17375" spans="7:8">
      <c r="G17375" s="87"/>
      <c r="H17375" s="90"/>
    </row>
    <row r="17376" spans="7:8">
      <c r="G17376" s="87"/>
      <c r="H17376" s="90"/>
    </row>
    <row r="17377" spans="7:8">
      <c r="G17377" s="87"/>
      <c r="H17377" s="90"/>
    </row>
    <row r="17378" spans="7:8">
      <c r="G17378" s="87"/>
      <c r="H17378" s="90"/>
    </row>
    <row r="17379" spans="7:8">
      <c r="G17379" s="87"/>
      <c r="H17379" s="90"/>
    </row>
    <row r="17380" spans="7:8">
      <c r="G17380" s="87"/>
      <c r="H17380" s="90"/>
    </row>
    <row r="17381" spans="7:8">
      <c r="G17381" s="87"/>
      <c r="H17381" s="90"/>
    </row>
    <row r="17382" spans="7:8">
      <c r="G17382" s="87"/>
      <c r="H17382" s="90"/>
    </row>
    <row r="17383" spans="7:8">
      <c r="G17383" s="87"/>
      <c r="H17383" s="90"/>
    </row>
    <row r="17384" spans="7:8">
      <c r="G17384" s="87"/>
      <c r="H17384" s="90"/>
    </row>
    <row r="17385" spans="7:8">
      <c r="G17385" s="87"/>
      <c r="H17385" s="90"/>
    </row>
    <row r="17386" spans="7:8">
      <c r="G17386" s="87"/>
      <c r="H17386" s="90"/>
    </row>
    <row r="17387" spans="7:8">
      <c r="G17387" s="87"/>
      <c r="H17387" s="90"/>
    </row>
    <row r="17388" spans="7:8">
      <c r="G17388" s="87"/>
      <c r="H17388" s="90"/>
    </row>
    <row r="17389" spans="7:8">
      <c r="G17389" s="87"/>
      <c r="H17389" s="90"/>
    </row>
    <row r="17390" spans="7:8">
      <c r="G17390" s="87"/>
      <c r="H17390" s="90"/>
    </row>
    <row r="17391" spans="7:8">
      <c r="G17391" s="87"/>
      <c r="H17391" s="90"/>
    </row>
    <row r="17392" spans="7:8">
      <c r="G17392" s="87"/>
      <c r="H17392" s="90"/>
    </row>
    <row r="17393" spans="7:8">
      <c r="G17393" s="87"/>
      <c r="H17393" s="90"/>
    </row>
    <row r="17394" spans="7:8">
      <c r="G17394" s="87"/>
      <c r="H17394" s="90"/>
    </row>
    <row r="17395" spans="7:8">
      <c r="G17395" s="87"/>
      <c r="H17395" s="90"/>
    </row>
    <row r="17396" spans="7:8">
      <c r="G17396" s="87"/>
      <c r="H17396" s="90"/>
    </row>
    <row r="17397" spans="7:8">
      <c r="G17397" s="87"/>
      <c r="H17397" s="90"/>
    </row>
    <row r="17398" spans="7:8">
      <c r="G17398" s="87"/>
      <c r="H17398" s="90"/>
    </row>
    <row r="17399" spans="7:8">
      <c r="G17399" s="87"/>
      <c r="H17399" s="90"/>
    </row>
    <row r="17400" spans="7:8">
      <c r="G17400" s="87"/>
      <c r="H17400" s="90"/>
    </row>
    <row r="17401" spans="7:8">
      <c r="G17401" s="87"/>
      <c r="H17401" s="90"/>
    </row>
    <row r="17402" spans="7:8">
      <c r="G17402" s="87"/>
      <c r="H17402" s="90"/>
    </row>
    <row r="17403" spans="7:8">
      <c r="G17403" s="87"/>
      <c r="H17403" s="90"/>
    </row>
    <row r="17404" spans="7:8">
      <c r="G17404" s="87"/>
      <c r="H17404" s="90"/>
    </row>
    <row r="17405" spans="7:8">
      <c r="G17405" s="87"/>
      <c r="H17405" s="90"/>
    </row>
    <row r="17406" spans="7:8">
      <c r="G17406" s="87"/>
      <c r="H17406" s="90"/>
    </row>
    <row r="17407" spans="7:8">
      <c r="G17407" s="87"/>
      <c r="H17407" s="90"/>
    </row>
    <row r="17408" spans="7:8">
      <c r="G17408" s="87"/>
      <c r="H17408" s="90"/>
    </row>
    <row r="17409" spans="7:8">
      <c r="G17409" s="87"/>
      <c r="H17409" s="90"/>
    </row>
    <row r="17410" spans="7:8">
      <c r="G17410" s="87"/>
      <c r="H17410" s="90"/>
    </row>
    <row r="17411" spans="7:8">
      <c r="G17411" s="87"/>
      <c r="H17411" s="90"/>
    </row>
    <row r="17412" spans="7:8">
      <c r="G17412" s="87"/>
      <c r="H17412" s="90"/>
    </row>
    <row r="17413" spans="7:8">
      <c r="G17413" s="87"/>
      <c r="H17413" s="90"/>
    </row>
    <row r="17414" spans="7:8">
      <c r="G17414" s="87"/>
      <c r="H17414" s="90"/>
    </row>
    <row r="17415" spans="7:8">
      <c r="G17415" s="87"/>
      <c r="H17415" s="90"/>
    </row>
    <row r="17416" spans="7:8">
      <c r="G17416" s="87"/>
      <c r="H17416" s="90"/>
    </row>
    <row r="17417" spans="7:8">
      <c r="G17417" s="87"/>
      <c r="H17417" s="90"/>
    </row>
    <row r="17418" spans="7:8">
      <c r="G17418" s="87"/>
      <c r="H17418" s="90"/>
    </row>
    <row r="17419" spans="7:8">
      <c r="G17419" s="87"/>
      <c r="H17419" s="90"/>
    </row>
    <row r="17420" spans="7:8">
      <c r="G17420" s="87"/>
      <c r="H17420" s="90"/>
    </row>
    <row r="17421" spans="7:8">
      <c r="G17421" s="87"/>
      <c r="H17421" s="90"/>
    </row>
    <row r="17422" spans="7:8">
      <c r="G17422" s="87"/>
      <c r="H17422" s="90"/>
    </row>
    <row r="17423" spans="7:8">
      <c r="G17423" s="87"/>
      <c r="H17423" s="90"/>
    </row>
    <row r="17424" spans="7:8">
      <c r="G17424" s="87"/>
      <c r="H17424" s="90"/>
    </row>
    <row r="17425" spans="7:8">
      <c r="G17425" s="87"/>
      <c r="H17425" s="90"/>
    </row>
    <row r="17426" spans="7:8">
      <c r="G17426" s="87"/>
      <c r="H17426" s="90"/>
    </row>
    <row r="17427" spans="7:8">
      <c r="G17427" s="87"/>
      <c r="H17427" s="90"/>
    </row>
    <row r="17428" spans="7:8">
      <c r="G17428" s="87"/>
      <c r="H17428" s="90"/>
    </row>
    <row r="17429" spans="7:8">
      <c r="G17429" s="87"/>
      <c r="H17429" s="90"/>
    </row>
    <row r="17430" spans="7:8">
      <c r="G17430" s="87"/>
      <c r="H17430" s="90"/>
    </row>
    <row r="17431" spans="7:8">
      <c r="G17431" s="87"/>
      <c r="H17431" s="90"/>
    </row>
    <row r="17432" spans="7:8">
      <c r="G17432" s="87"/>
      <c r="H17432" s="90"/>
    </row>
    <row r="17433" spans="7:8">
      <c r="G17433" s="87"/>
      <c r="H17433" s="90"/>
    </row>
    <row r="17434" spans="7:8">
      <c r="G17434" s="87"/>
      <c r="H17434" s="90"/>
    </row>
    <row r="17435" spans="7:8">
      <c r="G17435" s="87"/>
      <c r="H17435" s="90"/>
    </row>
    <row r="17436" spans="7:8">
      <c r="G17436" s="87"/>
      <c r="H17436" s="90"/>
    </row>
    <row r="17437" spans="7:8">
      <c r="G17437" s="87"/>
      <c r="H17437" s="90"/>
    </row>
    <row r="17438" spans="7:8">
      <c r="G17438" s="87"/>
      <c r="H17438" s="90"/>
    </row>
    <row r="17439" spans="7:8">
      <c r="G17439" s="87"/>
      <c r="H17439" s="90"/>
    </row>
    <row r="17440" spans="7:8">
      <c r="G17440" s="87"/>
      <c r="H17440" s="90"/>
    </row>
    <row r="17441" spans="7:8">
      <c r="G17441" s="87"/>
      <c r="H17441" s="90"/>
    </row>
    <row r="17442" spans="7:8">
      <c r="G17442" s="87"/>
      <c r="H17442" s="90"/>
    </row>
    <row r="17443" spans="7:8">
      <c r="G17443" s="87"/>
      <c r="H17443" s="90"/>
    </row>
    <row r="17444" spans="7:8">
      <c r="G17444" s="87"/>
      <c r="H17444" s="90"/>
    </row>
    <row r="17445" spans="7:8">
      <c r="G17445" s="87"/>
      <c r="H17445" s="90"/>
    </row>
    <row r="17446" spans="7:8">
      <c r="G17446" s="87"/>
      <c r="H17446" s="90"/>
    </row>
    <row r="17447" spans="7:8">
      <c r="G17447" s="87"/>
      <c r="H17447" s="90"/>
    </row>
    <row r="17448" spans="7:8">
      <c r="G17448" s="87"/>
      <c r="H17448" s="90"/>
    </row>
    <row r="17449" spans="7:8">
      <c r="G17449" s="87"/>
      <c r="H17449" s="90"/>
    </row>
    <row r="17450" spans="7:8">
      <c r="G17450" s="87"/>
      <c r="H17450" s="90"/>
    </row>
    <row r="17451" spans="7:8">
      <c r="G17451" s="87"/>
      <c r="H17451" s="90"/>
    </row>
    <row r="17452" spans="7:8">
      <c r="G17452" s="87"/>
      <c r="H17452" s="90"/>
    </row>
    <row r="17453" spans="7:8">
      <c r="G17453" s="87"/>
      <c r="H17453" s="90"/>
    </row>
    <row r="17454" spans="7:8">
      <c r="G17454" s="87"/>
      <c r="H17454" s="90"/>
    </row>
    <row r="17455" spans="7:8">
      <c r="G17455" s="87"/>
      <c r="H17455" s="90"/>
    </row>
    <row r="17456" spans="7:8">
      <c r="G17456" s="87"/>
      <c r="H17456" s="90"/>
    </row>
    <row r="17457" spans="7:8">
      <c r="G17457" s="87"/>
      <c r="H17457" s="90"/>
    </row>
    <row r="17458" spans="7:8">
      <c r="G17458" s="87"/>
      <c r="H17458" s="90"/>
    </row>
    <row r="17459" spans="7:8">
      <c r="G17459" s="87"/>
      <c r="H17459" s="90"/>
    </row>
    <row r="17460" spans="7:8">
      <c r="G17460" s="87"/>
      <c r="H17460" s="90"/>
    </row>
    <row r="17461" spans="7:8">
      <c r="G17461" s="87"/>
      <c r="H17461" s="90"/>
    </row>
    <row r="17462" spans="7:8">
      <c r="G17462" s="87"/>
      <c r="H17462" s="90"/>
    </row>
    <row r="17463" spans="7:8">
      <c r="G17463" s="87"/>
      <c r="H17463" s="90"/>
    </row>
    <row r="17464" spans="7:8">
      <c r="G17464" s="87"/>
      <c r="H17464" s="90"/>
    </row>
    <row r="17465" spans="7:8">
      <c r="G17465" s="87"/>
      <c r="H17465" s="90"/>
    </row>
    <row r="17466" spans="7:8">
      <c r="G17466" s="87"/>
      <c r="H17466" s="90"/>
    </row>
    <row r="17467" spans="7:8">
      <c r="G17467" s="87"/>
      <c r="H17467" s="90"/>
    </row>
    <row r="17468" spans="7:8">
      <c r="G17468" s="87"/>
      <c r="H17468" s="90"/>
    </row>
    <row r="17469" spans="7:8">
      <c r="G17469" s="87"/>
      <c r="H17469" s="90"/>
    </row>
    <row r="17470" spans="7:8">
      <c r="G17470" s="87"/>
      <c r="H17470" s="90"/>
    </row>
    <row r="17471" spans="7:8">
      <c r="G17471" s="87"/>
      <c r="H17471" s="90"/>
    </row>
    <row r="17472" spans="7:8">
      <c r="G17472" s="87"/>
      <c r="H17472" s="90"/>
    </row>
    <row r="17473" spans="7:8">
      <c r="G17473" s="87"/>
      <c r="H17473" s="90"/>
    </row>
    <row r="17474" spans="7:8">
      <c r="G17474" s="87"/>
      <c r="H17474" s="90"/>
    </row>
    <row r="17475" spans="7:8">
      <c r="G17475" s="87"/>
      <c r="H17475" s="90"/>
    </row>
    <row r="17476" spans="7:8">
      <c r="G17476" s="87"/>
      <c r="H17476" s="90"/>
    </row>
    <row r="17477" spans="7:8">
      <c r="G17477" s="87"/>
      <c r="H17477" s="90"/>
    </row>
    <row r="17478" spans="7:8">
      <c r="G17478" s="87"/>
      <c r="H17478" s="90"/>
    </row>
    <row r="17479" spans="7:8">
      <c r="G17479" s="87"/>
      <c r="H17479" s="90"/>
    </row>
    <row r="17480" spans="7:8">
      <c r="G17480" s="87"/>
      <c r="H17480" s="90"/>
    </row>
    <row r="17481" spans="7:8">
      <c r="G17481" s="87"/>
      <c r="H17481" s="90"/>
    </row>
    <row r="17482" spans="7:8">
      <c r="G17482" s="87"/>
      <c r="H17482" s="90"/>
    </row>
    <row r="17483" spans="7:8">
      <c r="G17483" s="87"/>
      <c r="H17483" s="90"/>
    </row>
    <row r="17484" spans="7:8">
      <c r="G17484" s="87"/>
      <c r="H17484" s="90"/>
    </row>
    <row r="17485" spans="7:8">
      <c r="G17485" s="87"/>
      <c r="H17485" s="90"/>
    </row>
    <row r="17486" spans="7:8">
      <c r="G17486" s="87"/>
      <c r="H17486" s="90"/>
    </row>
    <row r="17487" spans="7:8">
      <c r="G17487" s="87"/>
      <c r="H17487" s="90"/>
    </row>
    <row r="17488" spans="7:8">
      <c r="G17488" s="87"/>
      <c r="H17488" s="90"/>
    </row>
    <row r="17489" spans="7:8">
      <c r="G17489" s="87"/>
      <c r="H17489" s="90"/>
    </row>
    <row r="17490" spans="7:8">
      <c r="G17490" s="87"/>
      <c r="H17490" s="90"/>
    </row>
    <row r="17491" spans="7:8">
      <c r="G17491" s="87"/>
      <c r="H17491" s="90"/>
    </row>
    <row r="17492" spans="7:8">
      <c r="G17492" s="87"/>
      <c r="H17492" s="90"/>
    </row>
    <row r="17493" spans="7:8">
      <c r="G17493" s="87"/>
      <c r="H17493" s="90"/>
    </row>
    <row r="17494" spans="7:8">
      <c r="G17494" s="87"/>
      <c r="H17494" s="90"/>
    </row>
    <row r="17495" spans="7:8">
      <c r="G17495" s="87"/>
      <c r="H17495" s="90"/>
    </row>
    <row r="17496" spans="7:8">
      <c r="G17496" s="87"/>
      <c r="H17496" s="90"/>
    </row>
    <row r="17497" spans="7:8">
      <c r="G17497" s="87"/>
      <c r="H17497" s="90"/>
    </row>
    <row r="17498" spans="7:8">
      <c r="G17498" s="87"/>
      <c r="H17498" s="90"/>
    </row>
    <row r="17499" spans="7:8">
      <c r="G17499" s="87"/>
      <c r="H17499" s="90"/>
    </row>
    <row r="17500" spans="7:8">
      <c r="G17500" s="87"/>
      <c r="H17500" s="90"/>
    </row>
    <row r="17501" spans="7:8">
      <c r="G17501" s="87"/>
      <c r="H17501" s="90"/>
    </row>
    <row r="17502" spans="7:8">
      <c r="G17502" s="87"/>
      <c r="H17502" s="90"/>
    </row>
    <row r="17503" spans="7:8">
      <c r="G17503" s="87"/>
      <c r="H17503" s="90"/>
    </row>
    <row r="17504" spans="7:8">
      <c r="G17504" s="87"/>
      <c r="H17504" s="90"/>
    </row>
    <row r="17505" spans="7:8">
      <c r="G17505" s="87"/>
      <c r="H17505" s="90"/>
    </row>
    <row r="17506" spans="7:8">
      <c r="G17506" s="87"/>
      <c r="H17506" s="90"/>
    </row>
    <row r="17507" spans="7:8">
      <c r="G17507" s="87"/>
      <c r="H17507" s="90"/>
    </row>
    <row r="17508" spans="7:8">
      <c r="G17508" s="87"/>
      <c r="H17508" s="90"/>
    </row>
    <row r="17509" spans="7:8">
      <c r="G17509" s="87"/>
      <c r="H17509" s="90"/>
    </row>
    <row r="17510" spans="7:8">
      <c r="G17510" s="87"/>
      <c r="H17510" s="90"/>
    </row>
    <row r="17511" spans="7:8">
      <c r="G17511" s="87"/>
      <c r="H17511" s="90"/>
    </row>
    <row r="17512" spans="7:8">
      <c r="G17512" s="87"/>
      <c r="H17512" s="90"/>
    </row>
    <row r="17513" spans="7:8">
      <c r="G17513" s="87"/>
      <c r="H17513" s="90"/>
    </row>
    <row r="17514" spans="7:8">
      <c r="G17514" s="87"/>
      <c r="H17514" s="90"/>
    </row>
    <row r="17515" spans="7:8">
      <c r="G17515" s="87"/>
      <c r="H17515" s="90"/>
    </row>
    <row r="17516" spans="7:8">
      <c r="G17516" s="87"/>
      <c r="H17516" s="90"/>
    </row>
    <row r="17517" spans="7:8">
      <c r="G17517" s="87"/>
      <c r="H17517" s="90"/>
    </row>
    <row r="17518" spans="7:8">
      <c r="G17518" s="87"/>
      <c r="H17518" s="90"/>
    </row>
    <row r="17519" spans="7:8">
      <c r="G17519" s="87"/>
      <c r="H17519" s="90"/>
    </row>
    <row r="17520" spans="7:8">
      <c r="G17520" s="87"/>
      <c r="H17520" s="90"/>
    </row>
    <row r="17521" spans="7:8">
      <c r="G17521" s="87"/>
      <c r="H17521" s="90"/>
    </row>
    <row r="17522" spans="7:8">
      <c r="G17522" s="87"/>
      <c r="H17522" s="90"/>
    </row>
    <row r="17523" spans="7:8">
      <c r="G17523" s="87"/>
      <c r="H17523" s="90"/>
    </row>
    <row r="17524" spans="7:8">
      <c r="G17524" s="87"/>
      <c r="H17524" s="90"/>
    </row>
    <row r="17525" spans="7:8">
      <c r="G17525" s="87"/>
      <c r="H17525" s="90"/>
    </row>
    <row r="17526" spans="7:8">
      <c r="G17526" s="87"/>
      <c r="H17526" s="90"/>
    </row>
    <row r="17527" spans="7:8">
      <c r="G17527" s="87"/>
      <c r="H17527" s="90"/>
    </row>
    <row r="17528" spans="7:8">
      <c r="G17528" s="87"/>
      <c r="H17528" s="90"/>
    </row>
    <row r="17529" spans="7:8">
      <c r="G17529" s="87"/>
      <c r="H17529" s="90"/>
    </row>
    <row r="17530" spans="7:8">
      <c r="G17530" s="87"/>
      <c r="H17530" s="90"/>
    </row>
    <row r="17531" spans="7:8">
      <c r="G17531" s="87"/>
      <c r="H17531" s="90"/>
    </row>
    <row r="17532" spans="7:8">
      <c r="G17532" s="87"/>
      <c r="H17532" s="90"/>
    </row>
    <row r="17533" spans="7:8">
      <c r="G17533" s="87"/>
      <c r="H17533" s="90"/>
    </row>
    <row r="17534" spans="7:8">
      <c r="G17534" s="87"/>
      <c r="H17534" s="90"/>
    </row>
    <row r="17535" spans="7:8">
      <c r="G17535" s="87"/>
      <c r="H17535" s="90"/>
    </row>
    <row r="17536" spans="7:8">
      <c r="G17536" s="87"/>
      <c r="H17536" s="90"/>
    </row>
    <row r="17537" spans="7:8">
      <c r="G17537" s="87"/>
      <c r="H17537" s="90"/>
    </row>
    <row r="17538" spans="7:8">
      <c r="G17538" s="87"/>
      <c r="H17538" s="90"/>
    </row>
    <row r="17539" spans="7:8">
      <c r="G17539" s="87"/>
      <c r="H17539" s="90"/>
    </row>
    <row r="17540" spans="7:8">
      <c r="G17540" s="87"/>
      <c r="H17540" s="90"/>
    </row>
    <row r="17541" spans="7:8">
      <c r="G17541" s="87"/>
      <c r="H17541" s="90"/>
    </row>
    <row r="17542" spans="7:8">
      <c r="G17542" s="87"/>
      <c r="H17542" s="90"/>
    </row>
    <row r="17543" spans="7:8">
      <c r="G17543" s="87"/>
      <c r="H17543" s="90"/>
    </row>
    <row r="17544" spans="7:8">
      <c r="G17544" s="87"/>
      <c r="H17544" s="90"/>
    </row>
    <row r="17545" spans="7:8">
      <c r="G17545" s="87"/>
      <c r="H17545" s="90"/>
    </row>
    <row r="17546" spans="7:8">
      <c r="G17546" s="87"/>
      <c r="H17546" s="90"/>
    </row>
    <row r="17547" spans="7:8">
      <c r="G17547" s="87"/>
      <c r="H17547" s="90"/>
    </row>
    <row r="17548" spans="7:8">
      <c r="G17548" s="87"/>
      <c r="H17548" s="90"/>
    </row>
    <row r="17549" spans="7:8">
      <c r="G17549" s="87"/>
      <c r="H17549" s="90"/>
    </row>
    <row r="17550" spans="7:8">
      <c r="G17550" s="87"/>
      <c r="H17550" s="90"/>
    </row>
    <row r="17551" spans="7:8">
      <c r="G17551" s="87"/>
      <c r="H17551" s="90"/>
    </row>
    <row r="17552" spans="7:8">
      <c r="G17552" s="87"/>
      <c r="H17552" s="90"/>
    </row>
    <row r="17553" spans="7:8">
      <c r="G17553" s="87"/>
      <c r="H17553" s="90"/>
    </row>
    <row r="17554" spans="7:8">
      <c r="G17554" s="87"/>
      <c r="H17554" s="90"/>
    </row>
    <row r="17555" spans="7:8">
      <c r="G17555" s="87"/>
      <c r="H17555" s="90"/>
    </row>
    <row r="17556" spans="7:8">
      <c r="G17556" s="87"/>
      <c r="H17556" s="90"/>
    </row>
    <row r="17557" spans="7:8">
      <c r="G17557" s="87"/>
      <c r="H17557" s="90"/>
    </row>
    <row r="17558" spans="7:8">
      <c r="G17558" s="87"/>
      <c r="H17558" s="90"/>
    </row>
    <row r="17559" spans="7:8">
      <c r="G17559" s="87"/>
      <c r="H17559" s="90"/>
    </row>
    <row r="17560" spans="7:8">
      <c r="G17560" s="87"/>
      <c r="H17560" s="90"/>
    </row>
    <row r="17561" spans="7:8">
      <c r="G17561" s="87"/>
      <c r="H17561" s="90"/>
    </row>
    <row r="17562" spans="7:8">
      <c r="G17562" s="87"/>
      <c r="H17562" s="90"/>
    </row>
    <row r="17563" spans="7:8">
      <c r="G17563" s="87"/>
      <c r="H17563" s="90"/>
    </row>
    <row r="17564" spans="7:8">
      <c r="G17564" s="87"/>
      <c r="H17564" s="90"/>
    </row>
    <row r="17565" spans="7:8">
      <c r="G17565" s="87"/>
      <c r="H17565" s="90"/>
    </row>
    <row r="17566" spans="7:8">
      <c r="G17566" s="87"/>
      <c r="H17566" s="90"/>
    </row>
    <row r="17567" spans="7:8">
      <c r="G17567" s="87"/>
      <c r="H17567" s="90"/>
    </row>
    <row r="17568" spans="7:8">
      <c r="G17568" s="87"/>
      <c r="H17568" s="90"/>
    </row>
    <row r="17569" spans="7:8">
      <c r="G17569" s="87"/>
      <c r="H17569" s="90"/>
    </row>
    <row r="17570" spans="7:8">
      <c r="G17570" s="87"/>
      <c r="H17570" s="90"/>
    </row>
    <row r="17571" spans="7:8">
      <c r="G17571" s="87"/>
      <c r="H17571" s="90"/>
    </row>
    <row r="17572" spans="7:8">
      <c r="G17572" s="87"/>
      <c r="H17572" s="90"/>
    </row>
    <row r="17573" spans="7:8">
      <c r="G17573" s="87"/>
      <c r="H17573" s="90"/>
    </row>
    <row r="17574" spans="7:8">
      <c r="G17574" s="87"/>
      <c r="H17574" s="90"/>
    </row>
    <row r="17575" spans="7:8">
      <c r="G17575" s="87"/>
      <c r="H17575" s="90"/>
    </row>
    <row r="17576" spans="7:8">
      <c r="G17576" s="87"/>
      <c r="H17576" s="90"/>
    </row>
    <row r="17577" spans="7:8">
      <c r="G17577" s="87"/>
      <c r="H17577" s="90"/>
    </row>
    <row r="17578" spans="7:8">
      <c r="G17578" s="87"/>
      <c r="H17578" s="90"/>
    </row>
    <row r="17579" spans="7:8">
      <c r="G17579" s="87"/>
      <c r="H17579" s="90"/>
    </row>
    <row r="17580" spans="7:8">
      <c r="G17580" s="87"/>
      <c r="H17580" s="90"/>
    </row>
    <row r="17581" spans="7:8">
      <c r="G17581" s="87"/>
      <c r="H17581" s="90"/>
    </row>
    <row r="17582" spans="7:8">
      <c r="G17582" s="87"/>
      <c r="H17582" s="90"/>
    </row>
    <row r="17583" spans="7:8">
      <c r="G17583" s="87"/>
      <c r="H17583" s="90"/>
    </row>
    <row r="17584" spans="7:8">
      <c r="G17584" s="87"/>
      <c r="H17584" s="90"/>
    </row>
    <row r="17585" spans="7:8">
      <c r="G17585" s="87"/>
      <c r="H17585" s="90"/>
    </row>
    <row r="17586" spans="7:8">
      <c r="G17586" s="87"/>
      <c r="H17586" s="90"/>
    </row>
    <row r="17587" spans="7:8">
      <c r="G17587" s="87"/>
      <c r="H17587" s="90"/>
    </row>
    <row r="17588" spans="7:8">
      <c r="G17588" s="87"/>
      <c r="H17588" s="90"/>
    </row>
    <row r="17589" spans="7:8">
      <c r="G17589" s="87"/>
      <c r="H17589" s="90"/>
    </row>
    <row r="17590" spans="7:8">
      <c r="G17590" s="87"/>
      <c r="H17590" s="90"/>
    </row>
    <row r="17591" spans="7:8">
      <c r="G17591" s="87"/>
      <c r="H17591" s="90"/>
    </row>
    <row r="17592" spans="7:8">
      <c r="G17592" s="87"/>
      <c r="H17592" s="90"/>
    </row>
    <row r="17593" spans="7:8">
      <c r="G17593" s="87"/>
      <c r="H17593" s="90"/>
    </row>
    <row r="17594" spans="7:8">
      <c r="G17594" s="87"/>
      <c r="H17594" s="90"/>
    </row>
    <row r="17595" spans="7:8">
      <c r="G17595" s="87"/>
      <c r="H17595" s="90"/>
    </row>
    <row r="17596" spans="7:8">
      <c r="G17596" s="87"/>
      <c r="H17596" s="90"/>
    </row>
    <row r="17597" spans="7:8">
      <c r="G17597" s="87"/>
      <c r="H17597" s="90"/>
    </row>
    <row r="17598" spans="7:8">
      <c r="G17598" s="87"/>
      <c r="H17598" s="90"/>
    </row>
    <row r="17599" spans="7:8">
      <c r="G17599" s="87"/>
      <c r="H17599" s="90"/>
    </row>
    <row r="17600" spans="7:8">
      <c r="G17600" s="87"/>
      <c r="H17600" s="90"/>
    </row>
    <row r="17601" spans="7:8">
      <c r="G17601" s="87"/>
      <c r="H17601" s="90"/>
    </row>
    <row r="17602" spans="7:8">
      <c r="G17602" s="87"/>
      <c r="H17602" s="90"/>
    </row>
    <row r="17603" spans="7:8">
      <c r="G17603" s="87"/>
      <c r="H17603" s="90"/>
    </row>
    <row r="17604" spans="7:8">
      <c r="G17604" s="87"/>
      <c r="H17604" s="90"/>
    </row>
    <row r="17605" spans="7:8">
      <c r="G17605" s="87"/>
      <c r="H17605" s="90"/>
    </row>
    <row r="17606" spans="7:8">
      <c r="G17606" s="87"/>
      <c r="H17606" s="90"/>
    </row>
    <row r="17607" spans="7:8">
      <c r="G17607" s="87"/>
      <c r="H17607" s="90"/>
    </row>
    <row r="17608" spans="7:8">
      <c r="G17608" s="87"/>
      <c r="H17608" s="90"/>
    </row>
    <row r="17609" spans="7:8">
      <c r="G17609" s="87"/>
      <c r="H17609" s="90"/>
    </row>
    <row r="17610" spans="7:8">
      <c r="G17610" s="87"/>
      <c r="H17610" s="90"/>
    </row>
    <row r="17611" spans="7:8">
      <c r="G17611" s="87"/>
      <c r="H17611" s="90"/>
    </row>
    <row r="17612" spans="7:8">
      <c r="G17612" s="87"/>
      <c r="H17612" s="90"/>
    </row>
    <row r="17613" spans="7:8">
      <c r="G17613" s="87"/>
      <c r="H17613" s="90"/>
    </row>
    <row r="17614" spans="7:8">
      <c r="G17614" s="87"/>
      <c r="H17614" s="90"/>
    </row>
    <row r="17615" spans="7:8">
      <c r="G17615" s="87"/>
      <c r="H17615" s="90"/>
    </row>
    <row r="17616" spans="7:8">
      <c r="G17616" s="87"/>
      <c r="H17616" s="90"/>
    </row>
    <row r="17617" spans="7:8">
      <c r="G17617" s="87"/>
      <c r="H17617" s="90"/>
    </row>
    <row r="17618" spans="7:8">
      <c r="G17618" s="87"/>
      <c r="H17618" s="90"/>
    </row>
    <row r="17619" spans="7:8">
      <c r="G17619" s="87"/>
      <c r="H17619" s="90"/>
    </row>
    <row r="17620" spans="7:8">
      <c r="G17620" s="87"/>
      <c r="H17620" s="90"/>
    </row>
    <row r="17621" spans="7:8">
      <c r="G17621" s="87"/>
      <c r="H17621" s="90"/>
    </row>
    <row r="17622" spans="7:8">
      <c r="G17622" s="87"/>
      <c r="H17622" s="90"/>
    </row>
    <row r="17623" spans="7:8">
      <c r="G17623" s="87"/>
      <c r="H17623" s="90"/>
    </row>
    <row r="17624" spans="7:8">
      <c r="G17624" s="87"/>
      <c r="H17624" s="90"/>
    </row>
    <row r="17625" spans="7:8">
      <c r="G17625" s="87"/>
      <c r="H17625" s="90"/>
    </row>
    <row r="17626" spans="7:8">
      <c r="G17626" s="87"/>
      <c r="H17626" s="90"/>
    </row>
    <row r="17627" spans="7:8">
      <c r="G17627" s="87"/>
      <c r="H17627" s="90"/>
    </row>
    <row r="17628" spans="7:8">
      <c r="G17628" s="87"/>
      <c r="H17628" s="90"/>
    </row>
    <row r="17629" spans="7:8">
      <c r="G17629" s="87"/>
      <c r="H17629" s="90"/>
    </row>
    <row r="17630" spans="7:8">
      <c r="G17630" s="87"/>
      <c r="H17630" s="90"/>
    </row>
    <row r="17631" spans="7:8">
      <c r="G17631" s="87"/>
      <c r="H17631" s="90"/>
    </row>
    <row r="17632" spans="7:8">
      <c r="G17632" s="87"/>
      <c r="H17632" s="90"/>
    </row>
    <row r="17633" spans="7:8">
      <c r="G17633" s="87"/>
      <c r="H17633" s="90"/>
    </row>
    <row r="17634" spans="7:8">
      <c r="G17634" s="87"/>
      <c r="H17634" s="90"/>
    </row>
    <row r="17635" spans="7:8">
      <c r="G17635" s="87"/>
      <c r="H17635" s="90"/>
    </row>
    <row r="17636" spans="7:8">
      <c r="G17636" s="87"/>
      <c r="H17636" s="90"/>
    </row>
    <row r="17637" spans="7:8">
      <c r="G17637" s="87"/>
      <c r="H17637" s="90"/>
    </row>
    <row r="17638" spans="7:8">
      <c r="G17638" s="87"/>
      <c r="H17638" s="90"/>
    </row>
    <row r="17639" spans="7:8">
      <c r="G17639" s="87"/>
      <c r="H17639" s="90"/>
    </row>
    <row r="17640" spans="7:8">
      <c r="G17640" s="87"/>
      <c r="H17640" s="90"/>
    </row>
    <row r="17641" spans="7:8">
      <c r="G17641" s="87"/>
      <c r="H17641" s="90"/>
    </row>
    <row r="17642" spans="7:8">
      <c r="G17642" s="87"/>
      <c r="H17642" s="90"/>
    </row>
    <row r="17643" spans="7:8">
      <c r="G17643" s="87"/>
      <c r="H17643" s="90"/>
    </row>
    <row r="17644" spans="7:8">
      <c r="G17644" s="87"/>
      <c r="H17644" s="90"/>
    </row>
    <row r="17645" spans="7:8">
      <c r="G17645" s="87"/>
      <c r="H17645" s="90"/>
    </row>
    <row r="17646" spans="7:8">
      <c r="G17646" s="87"/>
      <c r="H17646" s="90"/>
    </row>
    <row r="17647" spans="7:8">
      <c r="G17647" s="87"/>
      <c r="H17647" s="90"/>
    </row>
    <row r="17648" spans="7:8">
      <c r="G17648" s="87"/>
      <c r="H17648" s="90"/>
    </row>
    <row r="17649" spans="7:8">
      <c r="G17649" s="87"/>
      <c r="H17649" s="90"/>
    </row>
    <row r="17650" spans="7:8">
      <c r="G17650" s="87"/>
      <c r="H17650" s="90"/>
    </row>
    <row r="17651" spans="7:8">
      <c r="G17651" s="87"/>
      <c r="H17651" s="90"/>
    </row>
    <row r="17652" spans="7:8">
      <c r="G17652" s="87"/>
      <c r="H17652" s="90"/>
    </row>
    <row r="17653" spans="7:8">
      <c r="G17653" s="87"/>
      <c r="H17653" s="90"/>
    </row>
    <row r="17654" spans="7:8">
      <c r="G17654" s="87"/>
      <c r="H17654" s="90"/>
    </row>
    <row r="17655" spans="7:8">
      <c r="G17655" s="87"/>
      <c r="H17655" s="90"/>
    </row>
    <row r="17656" spans="7:8">
      <c r="G17656" s="87"/>
      <c r="H17656" s="90"/>
    </row>
    <row r="17657" spans="7:8">
      <c r="G17657" s="87"/>
      <c r="H17657" s="90"/>
    </row>
    <row r="17658" spans="7:8">
      <c r="G17658" s="87"/>
      <c r="H17658" s="90"/>
    </row>
    <row r="17659" spans="7:8">
      <c r="G17659" s="87"/>
      <c r="H17659" s="90"/>
    </row>
    <row r="17660" spans="7:8">
      <c r="G17660" s="87"/>
      <c r="H17660" s="90"/>
    </row>
    <row r="17661" spans="7:8">
      <c r="G17661" s="87"/>
      <c r="H17661" s="90"/>
    </row>
    <row r="17662" spans="7:8">
      <c r="G17662" s="87"/>
      <c r="H17662" s="90"/>
    </row>
    <row r="17663" spans="7:8">
      <c r="G17663" s="87"/>
      <c r="H17663" s="90"/>
    </row>
    <row r="17664" spans="7:8">
      <c r="G17664" s="87"/>
      <c r="H17664" s="90"/>
    </row>
    <row r="17665" spans="7:8">
      <c r="G17665" s="87"/>
      <c r="H17665" s="90"/>
    </row>
    <row r="17666" spans="7:8">
      <c r="G17666" s="87"/>
      <c r="H17666" s="90"/>
    </row>
    <row r="17667" spans="7:8">
      <c r="G17667" s="87"/>
      <c r="H17667" s="90"/>
    </row>
    <row r="17668" spans="7:8">
      <c r="G17668" s="87"/>
      <c r="H17668" s="90"/>
    </row>
    <row r="17669" spans="7:8">
      <c r="G17669" s="87"/>
      <c r="H17669" s="90"/>
    </row>
    <row r="17670" spans="7:8">
      <c r="G17670" s="87"/>
      <c r="H17670" s="90"/>
    </row>
    <row r="17671" spans="7:8">
      <c r="G17671" s="87"/>
      <c r="H17671" s="90"/>
    </row>
    <row r="17672" spans="7:8">
      <c r="G17672" s="87"/>
      <c r="H17672" s="90"/>
    </row>
    <row r="17673" spans="7:8">
      <c r="G17673" s="87"/>
      <c r="H17673" s="90"/>
    </row>
    <row r="17674" spans="7:8">
      <c r="G17674" s="87"/>
      <c r="H17674" s="90"/>
    </row>
    <row r="17675" spans="7:8">
      <c r="G17675" s="87"/>
      <c r="H17675" s="90"/>
    </row>
    <row r="17676" spans="7:8">
      <c r="G17676" s="87"/>
      <c r="H17676" s="90"/>
    </row>
    <row r="17677" spans="7:8">
      <c r="G17677" s="87"/>
      <c r="H17677" s="90"/>
    </row>
    <row r="17678" spans="7:8">
      <c r="G17678" s="87"/>
      <c r="H17678" s="90"/>
    </row>
    <row r="17679" spans="7:8">
      <c r="G17679" s="87"/>
      <c r="H17679" s="90"/>
    </row>
    <row r="17680" spans="7:8">
      <c r="G17680" s="87"/>
      <c r="H17680" s="90"/>
    </row>
    <row r="17681" spans="7:8">
      <c r="G17681" s="87"/>
      <c r="H17681" s="90"/>
    </row>
    <row r="17682" spans="7:8">
      <c r="G17682" s="87"/>
      <c r="H17682" s="90"/>
    </row>
    <row r="17683" spans="7:8">
      <c r="G17683" s="87"/>
      <c r="H17683" s="90"/>
    </row>
    <row r="17684" spans="7:8">
      <c r="G17684" s="87"/>
      <c r="H17684" s="90"/>
    </row>
    <row r="17685" spans="7:8">
      <c r="G17685" s="87"/>
      <c r="H17685" s="90"/>
    </row>
    <row r="17686" spans="7:8">
      <c r="G17686" s="87"/>
      <c r="H17686" s="90"/>
    </row>
    <row r="17687" spans="7:8">
      <c r="G17687" s="87"/>
      <c r="H17687" s="90"/>
    </row>
    <row r="17688" spans="7:8">
      <c r="G17688" s="87"/>
      <c r="H17688" s="90"/>
    </row>
    <row r="17689" spans="7:8">
      <c r="G17689" s="87"/>
      <c r="H17689" s="90"/>
    </row>
    <row r="17690" spans="7:8">
      <c r="G17690" s="87"/>
      <c r="H17690" s="90"/>
    </row>
    <row r="17691" spans="7:8">
      <c r="G17691" s="87"/>
      <c r="H17691" s="90"/>
    </row>
    <row r="17692" spans="7:8">
      <c r="G17692" s="87"/>
      <c r="H17692" s="90"/>
    </row>
    <row r="17693" spans="7:8">
      <c r="G17693" s="87"/>
      <c r="H17693" s="90"/>
    </row>
    <row r="17694" spans="7:8">
      <c r="G17694" s="87"/>
      <c r="H17694" s="90"/>
    </row>
    <row r="17695" spans="7:8">
      <c r="G17695" s="87"/>
      <c r="H17695" s="90"/>
    </row>
    <row r="17696" spans="7:8">
      <c r="G17696" s="87"/>
      <c r="H17696" s="90"/>
    </row>
    <row r="17697" spans="7:8">
      <c r="G17697" s="87"/>
      <c r="H17697" s="90"/>
    </row>
    <row r="17698" spans="7:8">
      <c r="G17698" s="87"/>
      <c r="H17698" s="90"/>
    </row>
    <row r="17699" spans="7:8">
      <c r="G17699" s="87"/>
      <c r="H17699" s="90"/>
    </row>
    <row r="17700" spans="7:8">
      <c r="G17700" s="87"/>
      <c r="H17700" s="90"/>
    </row>
    <row r="17701" spans="7:8">
      <c r="G17701" s="87"/>
      <c r="H17701" s="90"/>
    </row>
    <row r="17702" spans="7:8">
      <c r="G17702" s="87"/>
      <c r="H17702" s="90"/>
    </row>
    <row r="17703" spans="7:8">
      <c r="G17703" s="87"/>
      <c r="H17703" s="90"/>
    </row>
    <row r="17704" spans="7:8">
      <c r="G17704" s="87"/>
      <c r="H17704" s="90"/>
    </row>
    <row r="17705" spans="7:8">
      <c r="G17705" s="87"/>
      <c r="H17705" s="90"/>
    </row>
    <row r="17706" spans="7:8">
      <c r="G17706" s="87"/>
      <c r="H17706" s="90"/>
    </row>
    <row r="17707" spans="7:8">
      <c r="G17707" s="87"/>
      <c r="H17707" s="90"/>
    </row>
    <row r="17708" spans="7:8">
      <c r="G17708" s="87"/>
      <c r="H17708" s="90"/>
    </row>
    <row r="17709" spans="7:8">
      <c r="G17709" s="87"/>
      <c r="H17709" s="90"/>
    </row>
    <row r="17710" spans="7:8">
      <c r="G17710" s="87"/>
      <c r="H17710" s="90"/>
    </row>
    <row r="17711" spans="7:8">
      <c r="G17711" s="87"/>
      <c r="H17711" s="90"/>
    </row>
    <row r="17712" spans="7:8">
      <c r="G17712" s="87"/>
      <c r="H17712" s="90"/>
    </row>
    <row r="17713" spans="7:8">
      <c r="G17713" s="87"/>
      <c r="H17713" s="90"/>
    </row>
    <row r="17714" spans="7:8">
      <c r="G17714" s="87"/>
      <c r="H17714" s="90"/>
    </row>
    <row r="17715" spans="7:8">
      <c r="G17715" s="87"/>
      <c r="H17715" s="90"/>
    </row>
    <row r="17716" spans="7:8">
      <c r="G17716" s="87"/>
      <c r="H17716" s="90"/>
    </row>
    <row r="17717" spans="7:8">
      <c r="G17717" s="87"/>
      <c r="H17717" s="90"/>
    </row>
    <row r="17718" spans="7:8">
      <c r="G17718" s="87"/>
      <c r="H17718" s="90"/>
    </row>
    <row r="17719" spans="7:8">
      <c r="G17719" s="87"/>
      <c r="H17719" s="90"/>
    </row>
    <row r="17720" spans="7:8">
      <c r="G17720" s="87"/>
      <c r="H17720" s="90"/>
    </row>
    <row r="17721" spans="7:8">
      <c r="G17721" s="87"/>
      <c r="H17721" s="90"/>
    </row>
    <row r="17722" spans="7:8">
      <c r="G17722" s="87"/>
      <c r="H17722" s="90"/>
    </row>
    <row r="17723" spans="7:8">
      <c r="G17723" s="87"/>
      <c r="H17723" s="90"/>
    </row>
    <row r="17724" spans="7:8">
      <c r="G17724" s="87"/>
      <c r="H17724" s="90"/>
    </row>
    <row r="17725" spans="7:8">
      <c r="G17725" s="87"/>
      <c r="H17725" s="90"/>
    </row>
    <row r="17726" spans="7:8">
      <c r="G17726" s="87"/>
      <c r="H17726" s="90"/>
    </row>
    <row r="17727" spans="7:8">
      <c r="G17727" s="87"/>
      <c r="H17727" s="90"/>
    </row>
    <row r="17728" spans="7:8">
      <c r="G17728" s="87"/>
      <c r="H17728" s="90"/>
    </row>
    <row r="17729" spans="7:8">
      <c r="G17729" s="87"/>
      <c r="H17729" s="90"/>
    </row>
    <row r="17730" spans="7:8">
      <c r="G17730" s="87"/>
      <c r="H17730" s="90"/>
    </row>
    <row r="17731" spans="7:8">
      <c r="G17731" s="87"/>
      <c r="H17731" s="90"/>
    </row>
    <row r="17732" spans="7:8">
      <c r="G17732" s="87"/>
      <c r="H17732" s="90"/>
    </row>
    <row r="17733" spans="7:8">
      <c r="G17733" s="87"/>
      <c r="H17733" s="90"/>
    </row>
    <row r="17734" spans="7:8">
      <c r="G17734" s="87"/>
      <c r="H17734" s="90"/>
    </row>
    <row r="17735" spans="7:8">
      <c r="G17735" s="87"/>
      <c r="H17735" s="90"/>
    </row>
    <row r="17736" spans="7:8">
      <c r="G17736" s="87"/>
      <c r="H17736" s="90"/>
    </row>
    <row r="17737" spans="7:8">
      <c r="G17737" s="87"/>
      <c r="H17737" s="90"/>
    </row>
    <row r="17738" spans="7:8">
      <c r="G17738" s="87"/>
      <c r="H17738" s="90"/>
    </row>
    <row r="17739" spans="7:8">
      <c r="G17739" s="87"/>
      <c r="H17739" s="90"/>
    </row>
    <row r="17740" spans="7:8">
      <c r="G17740" s="87"/>
      <c r="H17740" s="90"/>
    </row>
    <row r="17741" spans="7:8">
      <c r="G17741" s="87"/>
      <c r="H17741" s="90"/>
    </row>
    <row r="17742" spans="7:8">
      <c r="G17742" s="87"/>
      <c r="H17742" s="90"/>
    </row>
    <row r="17743" spans="7:8">
      <c r="G17743" s="87"/>
      <c r="H17743" s="90"/>
    </row>
    <row r="17744" spans="7:8">
      <c r="G17744" s="87"/>
      <c r="H17744" s="90"/>
    </row>
    <row r="17745" spans="7:8">
      <c r="G17745" s="87"/>
      <c r="H17745" s="90"/>
    </row>
    <row r="17746" spans="7:8">
      <c r="G17746" s="87"/>
      <c r="H17746" s="90"/>
    </row>
    <row r="17747" spans="7:8">
      <c r="G17747" s="87"/>
      <c r="H17747" s="90"/>
    </row>
    <row r="17748" spans="7:8">
      <c r="G17748" s="87"/>
      <c r="H17748" s="90"/>
    </row>
    <row r="17749" spans="7:8">
      <c r="G17749" s="87"/>
      <c r="H17749" s="90"/>
    </row>
    <row r="17750" spans="7:8">
      <c r="G17750" s="87"/>
      <c r="H17750" s="90"/>
    </row>
    <row r="17751" spans="7:8">
      <c r="G17751" s="87"/>
      <c r="H17751" s="90"/>
    </row>
    <row r="17752" spans="7:8">
      <c r="G17752" s="87"/>
      <c r="H17752" s="90"/>
    </row>
    <row r="17753" spans="7:8">
      <c r="G17753" s="87"/>
      <c r="H17753" s="90"/>
    </row>
    <row r="17754" spans="7:8">
      <c r="G17754" s="87"/>
      <c r="H17754" s="90"/>
    </row>
    <row r="17755" spans="7:8">
      <c r="G17755" s="87"/>
      <c r="H17755" s="90"/>
    </row>
    <row r="17756" spans="7:8">
      <c r="G17756" s="87"/>
      <c r="H17756" s="90"/>
    </row>
    <row r="17757" spans="7:8">
      <c r="G17757" s="87"/>
      <c r="H17757" s="90"/>
    </row>
    <row r="17758" spans="7:8">
      <c r="G17758" s="87"/>
      <c r="H17758" s="90"/>
    </row>
    <row r="17759" spans="7:8">
      <c r="G17759" s="87"/>
      <c r="H17759" s="90"/>
    </row>
    <row r="17760" spans="7:8">
      <c r="G17760" s="87"/>
      <c r="H17760" s="90"/>
    </row>
    <row r="17761" spans="7:8">
      <c r="G17761" s="87"/>
      <c r="H17761" s="90"/>
    </row>
    <row r="17762" spans="7:8">
      <c r="G17762" s="87"/>
      <c r="H17762" s="90"/>
    </row>
    <row r="17763" spans="7:8">
      <c r="G17763" s="87"/>
      <c r="H17763" s="90"/>
    </row>
    <row r="17764" spans="7:8">
      <c r="G17764" s="87"/>
      <c r="H17764" s="90"/>
    </row>
    <row r="17765" spans="7:8">
      <c r="G17765" s="87"/>
      <c r="H17765" s="90"/>
    </row>
    <row r="17766" spans="7:8">
      <c r="G17766" s="87"/>
      <c r="H17766" s="90"/>
    </row>
    <row r="17767" spans="7:8">
      <c r="G17767" s="87"/>
      <c r="H17767" s="90"/>
    </row>
    <row r="17768" spans="7:8">
      <c r="G17768" s="87"/>
      <c r="H17768" s="90"/>
    </row>
    <row r="17769" spans="7:8">
      <c r="G17769" s="87"/>
      <c r="H17769" s="90"/>
    </row>
    <row r="17770" spans="7:8">
      <c r="G17770" s="87"/>
      <c r="H17770" s="90"/>
    </row>
    <row r="17771" spans="7:8">
      <c r="G17771" s="87"/>
      <c r="H17771" s="90"/>
    </row>
    <row r="17772" spans="7:8">
      <c r="G17772" s="87"/>
      <c r="H17772" s="90"/>
    </row>
    <row r="17773" spans="7:8">
      <c r="G17773" s="87"/>
      <c r="H17773" s="90"/>
    </row>
    <row r="17774" spans="7:8">
      <c r="G17774" s="87"/>
      <c r="H17774" s="90"/>
    </row>
    <row r="17775" spans="7:8">
      <c r="G17775" s="87"/>
      <c r="H17775" s="90"/>
    </row>
    <row r="17776" spans="7:8">
      <c r="G17776" s="87"/>
      <c r="H17776" s="90"/>
    </row>
    <row r="17777" spans="7:8">
      <c r="G17777" s="87"/>
      <c r="H17777" s="90"/>
    </row>
    <row r="17778" spans="7:8">
      <c r="G17778" s="87"/>
      <c r="H17778" s="90"/>
    </row>
    <row r="17779" spans="7:8">
      <c r="G17779" s="87"/>
      <c r="H17779" s="90"/>
    </row>
    <row r="17780" spans="7:8">
      <c r="G17780" s="87"/>
      <c r="H17780" s="90"/>
    </row>
    <row r="17781" spans="7:8">
      <c r="G17781" s="87"/>
      <c r="H17781" s="90"/>
    </row>
    <row r="17782" spans="7:8">
      <c r="G17782" s="87"/>
      <c r="H17782" s="90"/>
    </row>
    <row r="17783" spans="7:8">
      <c r="G17783" s="87"/>
      <c r="H17783" s="90"/>
    </row>
    <row r="17784" spans="7:8">
      <c r="G17784" s="87"/>
      <c r="H17784" s="90"/>
    </row>
    <row r="17785" spans="7:8">
      <c r="G17785" s="87"/>
      <c r="H17785" s="90"/>
    </row>
    <row r="17786" spans="7:8">
      <c r="G17786" s="87"/>
      <c r="H17786" s="90"/>
    </row>
    <row r="17787" spans="7:8">
      <c r="G17787" s="87"/>
      <c r="H17787" s="90"/>
    </row>
    <row r="17788" spans="7:8">
      <c r="G17788" s="87"/>
      <c r="H17788" s="90"/>
    </row>
    <row r="17789" spans="7:8">
      <c r="G17789" s="87"/>
      <c r="H17789" s="90"/>
    </row>
    <row r="17790" spans="7:8">
      <c r="G17790" s="87"/>
      <c r="H17790" s="90"/>
    </row>
    <row r="17791" spans="7:8">
      <c r="G17791" s="87"/>
      <c r="H17791" s="90"/>
    </row>
    <row r="17792" spans="7:8">
      <c r="G17792" s="87"/>
      <c r="H17792" s="90"/>
    </row>
    <row r="17793" spans="7:8">
      <c r="G17793" s="87"/>
      <c r="H17793" s="90"/>
    </row>
    <row r="17794" spans="7:8">
      <c r="G17794" s="87"/>
      <c r="H17794" s="90"/>
    </row>
    <row r="17795" spans="7:8">
      <c r="G17795" s="87"/>
      <c r="H17795" s="90"/>
    </row>
    <row r="17796" spans="7:8">
      <c r="G17796" s="87"/>
      <c r="H17796" s="90"/>
    </row>
    <row r="17797" spans="7:8">
      <c r="G17797" s="87"/>
      <c r="H17797" s="90"/>
    </row>
    <row r="17798" spans="7:8">
      <c r="G17798" s="87"/>
      <c r="H17798" s="90"/>
    </row>
    <row r="17799" spans="7:8">
      <c r="G17799" s="87"/>
      <c r="H17799" s="90"/>
    </row>
    <row r="17800" spans="7:8">
      <c r="G17800" s="87"/>
      <c r="H17800" s="90"/>
    </row>
    <row r="17801" spans="7:8">
      <c r="G17801" s="87"/>
      <c r="H17801" s="90"/>
    </row>
    <row r="17802" spans="7:8">
      <c r="G17802" s="87"/>
      <c r="H17802" s="90"/>
    </row>
    <row r="17803" spans="7:8">
      <c r="G17803" s="87"/>
      <c r="H17803" s="90"/>
    </row>
    <row r="17804" spans="7:8">
      <c r="G17804" s="87"/>
      <c r="H17804" s="90"/>
    </row>
    <row r="17805" spans="7:8">
      <c r="G17805" s="87"/>
      <c r="H17805" s="90"/>
    </row>
    <row r="17806" spans="7:8">
      <c r="G17806" s="87"/>
      <c r="H17806" s="90"/>
    </row>
    <row r="17807" spans="7:8">
      <c r="G17807" s="87"/>
      <c r="H17807" s="90"/>
    </row>
    <row r="17808" spans="7:8">
      <c r="G17808" s="87"/>
      <c r="H17808" s="90"/>
    </row>
    <row r="17809" spans="7:8">
      <c r="G17809" s="87"/>
      <c r="H17809" s="90"/>
    </row>
    <row r="17810" spans="7:8">
      <c r="G17810" s="87"/>
      <c r="H17810" s="90"/>
    </row>
    <row r="17811" spans="7:8">
      <c r="G17811" s="87"/>
      <c r="H17811" s="90"/>
    </row>
    <row r="17812" spans="7:8">
      <c r="G17812" s="87"/>
      <c r="H17812" s="90"/>
    </row>
    <row r="17813" spans="7:8">
      <c r="G17813" s="87"/>
      <c r="H17813" s="90"/>
    </row>
    <row r="17814" spans="7:8">
      <c r="G17814" s="87"/>
      <c r="H17814" s="90"/>
    </row>
    <row r="17815" spans="7:8">
      <c r="G17815" s="87"/>
      <c r="H17815" s="90"/>
    </row>
    <row r="17816" spans="7:8">
      <c r="G17816" s="87"/>
      <c r="H17816" s="90"/>
    </row>
    <row r="17817" spans="7:8">
      <c r="G17817" s="87"/>
      <c r="H17817" s="90"/>
    </row>
    <row r="17818" spans="7:8">
      <c r="G17818" s="87"/>
      <c r="H17818" s="90"/>
    </row>
    <row r="17819" spans="7:8">
      <c r="G17819" s="87"/>
      <c r="H17819" s="90"/>
    </row>
    <row r="17820" spans="7:8">
      <c r="G17820" s="87"/>
      <c r="H17820" s="90"/>
    </row>
    <row r="17821" spans="7:8">
      <c r="G17821" s="87"/>
      <c r="H17821" s="90"/>
    </row>
    <row r="17822" spans="7:8">
      <c r="G17822" s="87"/>
      <c r="H17822" s="90"/>
    </row>
    <row r="17823" spans="7:8">
      <c r="G17823" s="87"/>
      <c r="H17823" s="90"/>
    </row>
    <row r="17824" spans="7:8">
      <c r="G17824" s="87"/>
      <c r="H17824" s="90"/>
    </row>
    <row r="17825" spans="7:8">
      <c r="G17825" s="87"/>
      <c r="H17825" s="90"/>
    </row>
    <row r="17826" spans="7:8">
      <c r="G17826" s="87"/>
      <c r="H17826" s="90"/>
    </row>
    <row r="17827" spans="7:8">
      <c r="G17827" s="87"/>
      <c r="H17827" s="90"/>
    </row>
    <row r="17828" spans="7:8">
      <c r="G17828" s="87"/>
      <c r="H17828" s="90"/>
    </row>
    <row r="17829" spans="7:8">
      <c r="G17829" s="87"/>
      <c r="H17829" s="90"/>
    </row>
    <row r="17830" spans="7:8">
      <c r="G17830" s="87"/>
      <c r="H17830" s="90"/>
    </row>
    <row r="17831" spans="7:8">
      <c r="G17831" s="87"/>
      <c r="H17831" s="90"/>
    </row>
    <row r="17832" spans="7:8">
      <c r="G17832" s="87"/>
      <c r="H17832" s="90"/>
    </row>
    <row r="17833" spans="7:8">
      <c r="G17833" s="87"/>
      <c r="H17833" s="90"/>
    </row>
    <row r="17834" spans="7:8">
      <c r="G17834" s="87"/>
      <c r="H17834" s="90"/>
    </row>
    <row r="17835" spans="7:8">
      <c r="G17835" s="87"/>
      <c r="H17835" s="90"/>
    </row>
    <row r="17836" spans="7:8">
      <c r="G17836" s="87"/>
      <c r="H17836" s="90"/>
    </row>
    <row r="17837" spans="7:8">
      <c r="G17837" s="87"/>
      <c r="H17837" s="90"/>
    </row>
    <row r="17838" spans="7:8">
      <c r="G17838" s="87"/>
      <c r="H17838" s="90"/>
    </row>
    <row r="17839" spans="7:8">
      <c r="G17839" s="87"/>
      <c r="H17839" s="90"/>
    </row>
    <row r="17840" spans="7:8">
      <c r="G17840" s="87"/>
      <c r="H17840" s="90"/>
    </row>
    <row r="17841" spans="7:8">
      <c r="G17841" s="87"/>
      <c r="H17841" s="90"/>
    </row>
    <row r="17842" spans="7:8">
      <c r="G17842" s="87"/>
      <c r="H17842" s="90"/>
    </row>
    <row r="17843" spans="7:8">
      <c r="G17843" s="87"/>
      <c r="H17843" s="90"/>
    </row>
    <row r="17844" spans="7:8">
      <c r="G17844" s="87"/>
      <c r="H17844" s="90"/>
    </row>
    <row r="17845" spans="7:8">
      <c r="G17845" s="87"/>
      <c r="H17845" s="90"/>
    </row>
    <row r="17846" spans="7:8">
      <c r="G17846" s="87"/>
      <c r="H17846" s="90"/>
    </row>
    <row r="17847" spans="7:8">
      <c r="G17847" s="87"/>
      <c r="H17847" s="90"/>
    </row>
    <row r="17848" spans="7:8">
      <c r="G17848" s="87"/>
      <c r="H17848" s="90"/>
    </row>
    <row r="17849" spans="7:8">
      <c r="G17849" s="87"/>
      <c r="H17849" s="90"/>
    </row>
    <row r="17850" spans="7:8">
      <c r="G17850" s="87"/>
      <c r="H17850" s="90"/>
    </row>
    <row r="17851" spans="7:8">
      <c r="G17851" s="87"/>
      <c r="H17851" s="90"/>
    </row>
    <row r="17852" spans="7:8">
      <c r="G17852" s="87"/>
      <c r="H17852" s="90"/>
    </row>
    <row r="17853" spans="7:8">
      <c r="G17853" s="87"/>
      <c r="H17853" s="90"/>
    </row>
    <row r="17854" spans="7:8">
      <c r="G17854" s="87"/>
      <c r="H17854" s="90"/>
    </row>
    <row r="17855" spans="7:8">
      <c r="G17855" s="87"/>
      <c r="H17855" s="90"/>
    </row>
    <row r="17856" spans="7:8">
      <c r="G17856" s="87"/>
      <c r="H17856" s="90"/>
    </row>
    <row r="17857" spans="7:8">
      <c r="G17857" s="87"/>
      <c r="H17857" s="90"/>
    </row>
    <row r="17858" spans="7:8">
      <c r="G17858" s="87"/>
      <c r="H17858" s="90"/>
    </row>
    <row r="17859" spans="7:8">
      <c r="G17859" s="87"/>
      <c r="H17859" s="90"/>
    </row>
    <row r="17860" spans="7:8">
      <c r="G17860" s="87"/>
      <c r="H17860" s="90"/>
    </row>
    <row r="17861" spans="7:8">
      <c r="G17861" s="87"/>
      <c r="H17861" s="90"/>
    </row>
    <row r="17862" spans="7:8">
      <c r="G17862" s="87"/>
      <c r="H17862" s="90"/>
    </row>
    <row r="17863" spans="7:8">
      <c r="G17863" s="87"/>
      <c r="H17863" s="90"/>
    </row>
    <row r="17864" spans="7:8">
      <c r="G17864" s="87"/>
      <c r="H17864" s="90"/>
    </row>
    <row r="17865" spans="7:8">
      <c r="G17865" s="87"/>
      <c r="H17865" s="90"/>
    </row>
    <row r="17866" spans="7:8">
      <c r="G17866" s="87"/>
      <c r="H17866" s="90"/>
    </row>
    <row r="17867" spans="7:8">
      <c r="G17867" s="87"/>
      <c r="H17867" s="90"/>
    </row>
    <row r="17868" spans="7:8">
      <c r="G17868" s="87"/>
      <c r="H17868" s="90"/>
    </row>
    <row r="17869" spans="7:8">
      <c r="G17869" s="87"/>
      <c r="H17869" s="90"/>
    </row>
    <row r="17870" spans="7:8">
      <c r="G17870" s="87"/>
      <c r="H17870" s="90"/>
    </row>
    <row r="17871" spans="7:8">
      <c r="G17871" s="87"/>
      <c r="H17871" s="90"/>
    </row>
    <row r="17872" spans="7:8">
      <c r="G17872" s="87"/>
      <c r="H17872" s="90"/>
    </row>
    <row r="17873" spans="7:8">
      <c r="G17873" s="87"/>
      <c r="H17873" s="90"/>
    </row>
    <row r="17874" spans="7:8">
      <c r="G17874" s="87"/>
      <c r="H17874" s="90"/>
    </row>
    <row r="17875" spans="7:8">
      <c r="G17875" s="87"/>
      <c r="H17875" s="90"/>
    </row>
    <row r="17876" spans="7:8">
      <c r="G17876" s="87"/>
      <c r="H17876" s="90"/>
    </row>
    <row r="17877" spans="7:8">
      <c r="G17877" s="87"/>
      <c r="H17877" s="90"/>
    </row>
    <row r="17878" spans="7:8">
      <c r="G17878" s="87"/>
      <c r="H17878" s="90"/>
    </row>
    <row r="17879" spans="7:8">
      <c r="G17879" s="87"/>
      <c r="H17879" s="90"/>
    </row>
    <row r="17880" spans="7:8">
      <c r="G17880" s="87"/>
      <c r="H17880" s="90"/>
    </row>
    <row r="17881" spans="7:8">
      <c r="G17881" s="87"/>
      <c r="H17881" s="90"/>
    </row>
    <row r="17882" spans="7:8">
      <c r="G17882" s="87"/>
      <c r="H17882" s="90"/>
    </row>
    <row r="17883" spans="7:8">
      <c r="G17883" s="87"/>
      <c r="H17883" s="90"/>
    </row>
    <row r="17884" spans="7:8">
      <c r="G17884" s="87"/>
      <c r="H17884" s="90"/>
    </row>
    <row r="17885" spans="7:8">
      <c r="G17885" s="87"/>
      <c r="H17885" s="90"/>
    </row>
    <row r="17886" spans="7:8">
      <c r="G17886" s="87"/>
      <c r="H17886" s="90"/>
    </row>
    <row r="17887" spans="7:8">
      <c r="G17887" s="87"/>
      <c r="H17887" s="90"/>
    </row>
    <row r="17888" spans="7:8">
      <c r="G17888" s="87"/>
      <c r="H17888" s="90"/>
    </row>
    <row r="17889" spans="7:8">
      <c r="G17889" s="87"/>
      <c r="H17889" s="90"/>
    </row>
    <row r="17890" spans="7:8">
      <c r="G17890" s="87"/>
      <c r="H17890" s="90"/>
    </row>
    <row r="17891" spans="7:8">
      <c r="G17891" s="87"/>
      <c r="H17891" s="90"/>
    </row>
    <row r="17892" spans="7:8">
      <c r="G17892" s="87"/>
      <c r="H17892" s="90"/>
    </row>
    <row r="17893" spans="7:8">
      <c r="G17893" s="87"/>
      <c r="H17893" s="90"/>
    </row>
    <row r="17894" spans="7:8">
      <c r="G17894" s="87"/>
      <c r="H17894" s="90"/>
    </row>
    <row r="17895" spans="7:8">
      <c r="G17895" s="87"/>
      <c r="H17895" s="90"/>
    </row>
    <row r="17896" spans="7:8">
      <c r="G17896" s="87"/>
      <c r="H17896" s="90"/>
    </row>
    <row r="17897" spans="7:8">
      <c r="G17897" s="87"/>
      <c r="H17897" s="90"/>
    </row>
    <row r="17898" spans="7:8">
      <c r="G17898" s="87"/>
      <c r="H17898" s="90"/>
    </row>
    <row r="17899" spans="7:8">
      <c r="G17899" s="87"/>
      <c r="H17899" s="90"/>
    </row>
    <row r="17900" spans="7:8">
      <c r="G17900" s="87"/>
      <c r="H17900" s="90"/>
    </row>
    <row r="17901" spans="7:8">
      <c r="G17901" s="87"/>
      <c r="H17901" s="90"/>
    </row>
    <row r="17902" spans="7:8">
      <c r="G17902" s="87"/>
      <c r="H17902" s="90"/>
    </row>
    <row r="17903" spans="7:8">
      <c r="G17903" s="87"/>
      <c r="H17903" s="90"/>
    </row>
    <row r="17904" spans="7:8">
      <c r="G17904" s="87"/>
      <c r="H17904" s="90"/>
    </row>
    <row r="17905" spans="7:8">
      <c r="G17905" s="87"/>
      <c r="H17905" s="90"/>
    </row>
    <row r="17906" spans="7:8">
      <c r="G17906" s="87"/>
      <c r="H17906" s="90"/>
    </row>
    <row r="17907" spans="7:8">
      <c r="G17907" s="87"/>
      <c r="H17907" s="90"/>
    </row>
    <row r="17908" spans="7:8">
      <c r="G17908" s="87"/>
      <c r="H17908" s="90"/>
    </row>
    <row r="17909" spans="7:8">
      <c r="G17909" s="87"/>
      <c r="H17909" s="90"/>
    </row>
    <row r="17910" spans="7:8">
      <c r="G17910" s="87"/>
      <c r="H17910" s="90"/>
    </row>
    <row r="17911" spans="7:8">
      <c r="G17911" s="87"/>
      <c r="H17911" s="90"/>
    </row>
    <row r="17912" spans="7:8">
      <c r="G17912" s="87"/>
      <c r="H17912" s="90"/>
    </row>
    <row r="17913" spans="7:8">
      <c r="G17913" s="87"/>
      <c r="H17913" s="90"/>
    </row>
    <row r="17914" spans="7:8">
      <c r="G17914" s="87"/>
      <c r="H17914" s="90"/>
    </row>
    <row r="17915" spans="7:8">
      <c r="G17915" s="87"/>
      <c r="H17915" s="90"/>
    </row>
    <row r="17916" spans="7:8">
      <c r="G17916" s="87"/>
      <c r="H17916" s="90"/>
    </row>
    <row r="17917" spans="7:8">
      <c r="G17917" s="87"/>
      <c r="H17917" s="90"/>
    </row>
    <row r="17918" spans="7:8">
      <c r="G17918" s="87"/>
      <c r="H17918" s="90"/>
    </row>
    <row r="17919" spans="7:8">
      <c r="G17919" s="87"/>
      <c r="H17919" s="90"/>
    </row>
    <row r="17920" spans="7:8">
      <c r="G17920" s="87"/>
      <c r="H17920" s="90"/>
    </row>
    <row r="17921" spans="7:8">
      <c r="G17921" s="87"/>
      <c r="H17921" s="90"/>
    </row>
    <row r="17922" spans="7:8">
      <c r="G17922" s="87"/>
      <c r="H17922" s="90"/>
    </row>
    <row r="17923" spans="7:8">
      <c r="G17923" s="87"/>
      <c r="H17923" s="90"/>
    </row>
    <row r="17924" spans="7:8">
      <c r="G17924" s="87"/>
      <c r="H17924" s="90"/>
    </row>
    <row r="17925" spans="7:8">
      <c r="G17925" s="87"/>
      <c r="H17925" s="90"/>
    </row>
    <row r="17926" spans="7:8">
      <c r="G17926" s="87"/>
      <c r="H17926" s="90"/>
    </row>
    <row r="17927" spans="7:8">
      <c r="G17927" s="87"/>
      <c r="H17927" s="90"/>
    </row>
    <row r="17928" spans="7:8">
      <c r="G17928" s="87"/>
      <c r="H17928" s="90"/>
    </row>
    <row r="17929" spans="7:8">
      <c r="G17929" s="87"/>
      <c r="H17929" s="90"/>
    </row>
    <row r="17930" spans="7:8">
      <c r="G17930" s="87"/>
      <c r="H17930" s="90"/>
    </row>
    <row r="17931" spans="7:8">
      <c r="G17931" s="87"/>
      <c r="H17931" s="90"/>
    </row>
    <row r="17932" spans="7:8">
      <c r="G17932" s="87"/>
      <c r="H17932" s="90"/>
    </row>
    <row r="17933" spans="7:8">
      <c r="G17933" s="87"/>
      <c r="H17933" s="90"/>
    </row>
    <row r="17934" spans="7:8">
      <c r="G17934" s="87"/>
      <c r="H17934" s="90"/>
    </row>
    <row r="17935" spans="7:8">
      <c r="G17935" s="87"/>
      <c r="H17935" s="90"/>
    </row>
    <row r="17936" spans="7:8">
      <c r="G17936" s="87"/>
      <c r="H17936" s="90"/>
    </row>
    <row r="17937" spans="7:8">
      <c r="G17937" s="87"/>
      <c r="H17937" s="90"/>
    </row>
    <row r="17938" spans="7:8">
      <c r="G17938" s="87"/>
      <c r="H17938" s="90"/>
    </row>
    <row r="17939" spans="7:8">
      <c r="G17939" s="87"/>
      <c r="H17939" s="90"/>
    </row>
    <row r="17940" spans="7:8">
      <c r="G17940" s="87"/>
      <c r="H17940" s="90"/>
    </row>
    <row r="17941" spans="7:8">
      <c r="G17941" s="87"/>
      <c r="H17941" s="90"/>
    </row>
    <row r="17942" spans="7:8">
      <c r="G17942" s="87"/>
      <c r="H17942" s="90"/>
    </row>
    <row r="17943" spans="7:8">
      <c r="G17943" s="87"/>
      <c r="H17943" s="90"/>
    </row>
    <row r="17944" spans="7:8">
      <c r="G17944" s="87"/>
      <c r="H17944" s="90"/>
    </row>
    <row r="17945" spans="7:8">
      <c r="G17945" s="87"/>
      <c r="H17945" s="90"/>
    </row>
    <row r="17946" spans="7:8">
      <c r="G17946" s="87"/>
      <c r="H17946" s="90"/>
    </row>
    <row r="17947" spans="7:8">
      <c r="G17947" s="87"/>
      <c r="H17947" s="90"/>
    </row>
    <row r="17948" spans="7:8">
      <c r="G17948" s="87"/>
      <c r="H17948" s="90"/>
    </row>
    <row r="17949" spans="7:8">
      <c r="G17949" s="87"/>
      <c r="H17949" s="90"/>
    </row>
    <row r="17950" spans="7:8">
      <c r="G17950" s="87"/>
      <c r="H17950" s="90"/>
    </row>
    <row r="17951" spans="7:8">
      <c r="G17951" s="87"/>
      <c r="H17951" s="90"/>
    </row>
    <row r="17952" spans="7:8">
      <c r="G17952" s="87"/>
      <c r="H17952" s="90"/>
    </row>
    <row r="17953" spans="7:8">
      <c r="G17953" s="87"/>
      <c r="H17953" s="90"/>
    </row>
    <row r="17954" spans="7:8">
      <c r="G17954" s="87"/>
      <c r="H17954" s="90"/>
    </row>
    <row r="17955" spans="7:8">
      <c r="G17955" s="87"/>
      <c r="H17955" s="90"/>
    </row>
    <row r="17956" spans="7:8">
      <c r="G17956" s="87"/>
      <c r="H17956" s="90"/>
    </row>
    <row r="17957" spans="7:8">
      <c r="G17957" s="87"/>
      <c r="H17957" s="90"/>
    </row>
    <row r="17958" spans="7:8">
      <c r="G17958" s="87"/>
      <c r="H17958" s="90"/>
    </row>
    <row r="17959" spans="7:8">
      <c r="G17959" s="87"/>
      <c r="H17959" s="90"/>
    </row>
    <row r="17960" spans="7:8">
      <c r="G17960" s="87"/>
      <c r="H17960" s="90"/>
    </row>
    <row r="17961" spans="7:8">
      <c r="G17961" s="87"/>
      <c r="H17961" s="90"/>
    </row>
    <row r="17962" spans="7:8">
      <c r="G17962" s="87"/>
      <c r="H17962" s="90"/>
    </row>
    <row r="17963" spans="7:8">
      <c r="G17963" s="87"/>
      <c r="H17963" s="90"/>
    </row>
    <row r="17964" spans="7:8">
      <c r="G17964" s="87"/>
      <c r="H17964" s="90"/>
    </row>
    <row r="17965" spans="7:8">
      <c r="G17965" s="87"/>
      <c r="H17965" s="90"/>
    </row>
    <row r="17966" spans="7:8">
      <c r="G17966" s="87"/>
      <c r="H17966" s="90"/>
    </row>
    <row r="17967" spans="7:8">
      <c r="G17967" s="87"/>
      <c r="H17967" s="90"/>
    </row>
    <row r="17968" spans="7:8">
      <c r="G17968" s="87"/>
      <c r="H17968" s="90"/>
    </row>
    <row r="17969" spans="7:8">
      <c r="G17969" s="87"/>
      <c r="H17969" s="90"/>
    </row>
    <row r="17970" spans="7:8">
      <c r="G17970" s="87"/>
      <c r="H17970" s="90"/>
    </row>
    <row r="17971" spans="7:8">
      <c r="G17971" s="87"/>
      <c r="H17971" s="90"/>
    </row>
    <row r="17972" spans="7:8">
      <c r="G17972" s="87"/>
      <c r="H17972" s="90"/>
    </row>
    <row r="17973" spans="7:8">
      <c r="G17973" s="87"/>
      <c r="H17973" s="90"/>
    </row>
    <row r="17974" spans="7:8">
      <c r="G17974" s="87"/>
      <c r="H17974" s="90"/>
    </row>
    <row r="17975" spans="7:8">
      <c r="G17975" s="87"/>
      <c r="H17975" s="90"/>
    </row>
    <row r="17976" spans="7:8">
      <c r="G17976" s="87"/>
      <c r="H17976" s="90"/>
    </row>
    <row r="17977" spans="7:8">
      <c r="G17977" s="87"/>
      <c r="H17977" s="90"/>
    </row>
    <row r="17978" spans="7:8">
      <c r="G17978" s="87"/>
      <c r="H17978" s="90"/>
    </row>
    <row r="17979" spans="7:8">
      <c r="G17979" s="87"/>
      <c r="H17979" s="90"/>
    </row>
    <row r="17980" spans="7:8">
      <c r="G17980" s="87"/>
      <c r="H17980" s="90"/>
    </row>
    <row r="17981" spans="7:8">
      <c r="G17981" s="87"/>
      <c r="H17981" s="90"/>
    </row>
    <row r="17982" spans="7:8">
      <c r="G17982" s="87"/>
      <c r="H17982" s="90"/>
    </row>
    <row r="17983" spans="7:8">
      <c r="G17983" s="87"/>
      <c r="H17983" s="90"/>
    </row>
    <row r="17984" spans="7:8">
      <c r="G17984" s="87"/>
      <c r="H17984" s="90"/>
    </row>
    <row r="17985" spans="7:8">
      <c r="G17985" s="87"/>
      <c r="H17985" s="90"/>
    </row>
    <row r="17986" spans="7:8">
      <c r="G17986" s="87"/>
      <c r="H17986" s="90"/>
    </row>
    <row r="17987" spans="7:8">
      <c r="G17987" s="87"/>
      <c r="H17987" s="90"/>
    </row>
    <row r="17988" spans="7:8">
      <c r="G17988" s="87"/>
      <c r="H17988" s="90"/>
    </row>
    <row r="17989" spans="7:8">
      <c r="G17989" s="87"/>
      <c r="H17989" s="90"/>
    </row>
    <row r="17990" spans="7:8">
      <c r="G17990" s="87"/>
      <c r="H17990" s="90"/>
    </row>
    <row r="17991" spans="7:8">
      <c r="G17991" s="87"/>
      <c r="H17991" s="90"/>
    </row>
    <row r="17992" spans="7:8">
      <c r="G17992" s="87"/>
      <c r="H17992" s="90"/>
    </row>
    <row r="17993" spans="7:8">
      <c r="G17993" s="87"/>
      <c r="H17993" s="90"/>
    </row>
    <row r="17994" spans="7:8">
      <c r="G17994" s="87"/>
      <c r="H17994" s="90"/>
    </row>
    <row r="17995" spans="7:8">
      <c r="G17995" s="87"/>
      <c r="H17995" s="90"/>
    </row>
    <row r="17996" spans="7:8">
      <c r="G17996" s="87"/>
      <c r="H17996" s="90"/>
    </row>
    <row r="17997" spans="7:8">
      <c r="G17997" s="87"/>
      <c r="H17997" s="90"/>
    </row>
    <row r="17998" spans="7:8">
      <c r="G17998" s="87"/>
      <c r="H17998" s="90"/>
    </row>
    <row r="17999" spans="7:8">
      <c r="G17999" s="87"/>
      <c r="H17999" s="90"/>
    </row>
    <row r="18000" spans="7:8">
      <c r="G18000" s="87"/>
      <c r="H18000" s="90"/>
    </row>
    <row r="18001" spans="7:8">
      <c r="G18001" s="87"/>
      <c r="H18001" s="90"/>
    </row>
    <row r="18002" spans="7:8">
      <c r="G18002" s="87"/>
      <c r="H18002" s="90"/>
    </row>
    <row r="18003" spans="7:8">
      <c r="G18003" s="87"/>
      <c r="H18003" s="90"/>
    </row>
    <row r="18004" spans="7:8">
      <c r="G18004" s="87"/>
      <c r="H18004" s="90"/>
    </row>
    <row r="18005" spans="7:8">
      <c r="G18005" s="87"/>
      <c r="H18005" s="90"/>
    </row>
    <row r="18006" spans="7:8">
      <c r="G18006" s="87"/>
      <c r="H18006" s="90"/>
    </row>
    <row r="18007" spans="7:8">
      <c r="G18007" s="87"/>
      <c r="H18007" s="90"/>
    </row>
    <row r="18008" spans="7:8">
      <c r="G18008" s="87"/>
      <c r="H18008" s="90"/>
    </row>
    <row r="18009" spans="7:8">
      <c r="G18009" s="87"/>
      <c r="H18009" s="90"/>
    </row>
    <row r="18010" spans="7:8">
      <c r="G18010" s="87"/>
      <c r="H18010" s="90"/>
    </row>
    <row r="18011" spans="7:8">
      <c r="G18011" s="87"/>
      <c r="H18011" s="90"/>
    </row>
    <row r="18012" spans="7:8">
      <c r="G18012" s="87"/>
      <c r="H18012" s="90"/>
    </row>
    <row r="18013" spans="7:8">
      <c r="G18013" s="87"/>
      <c r="H18013" s="90"/>
    </row>
    <row r="18014" spans="7:8">
      <c r="G18014" s="87"/>
      <c r="H18014" s="90"/>
    </row>
    <row r="18015" spans="7:8">
      <c r="G18015" s="87"/>
      <c r="H18015" s="90"/>
    </row>
    <row r="18016" spans="7:8">
      <c r="G18016" s="87"/>
      <c r="H18016" s="90"/>
    </row>
    <row r="18017" spans="7:8">
      <c r="G18017" s="87"/>
      <c r="H18017" s="90"/>
    </row>
    <row r="18018" spans="7:8">
      <c r="G18018" s="87"/>
      <c r="H18018" s="90"/>
    </row>
    <row r="18019" spans="7:8">
      <c r="G18019" s="87"/>
      <c r="H18019" s="90"/>
    </row>
    <row r="18020" spans="7:8">
      <c r="G18020" s="87"/>
      <c r="H18020" s="90"/>
    </row>
    <row r="18021" spans="7:8">
      <c r="G18021" s="87"/>
      <c r="H18021" s="90"/>
    </row>
    <row r="18022" spans="7:8">
      <c r="G18022" s="87"/>
      <c r="H18022" s="90"/>
    </row>
    <row r="18023" spans="7:8">
      <c r="G18023" s="87"/>
      <c r="H18023" s="90"/>
    </row>
    <row r="18024" spans="7:8">
      <c r="G18024" s="87"/>
      <c r="H18024" s="90"/>
    </row>
    <row r="18025" spans="7:8">
      <c r="G18025" s="87"/>
      <c r="H18025" s="90"/>
    </row>
    <row r="18026" spans="7:8">
      <c r="G18026" s="87"/>
      <c r="H18026" s="90"/>
    </row>
    <row r="18027" spans="7:8">
      <c r="G18027" s="87"/>
      <c r="H18027" s="90"/>
    </row>
    <row r="18028" spans="7:8">
      <c r="G18028" s="87"/>
      <c r="H18028" s="90"/>
    </row>
    <row r="18029" spans="7:8">
      <c r="G18029" s="87"/>
      <c r="H18029" s="90"/>
    </row>
    <row r="18030" spans="7:8">
      <c r="G18030" s="87"/>
      <c r="H18030" s="90"/>
    </row>
    <row r="18031" spans="7:8">
      <c r="G18031" s="87"/>
      <c r="H18031" s="90"/>
    </row>
    <row r="18032" spans="7:8">
      <c r="G18032" s="87"/>
      <c r="H18032" s="90"/>
    </row>
    <row r="18033" spans="7:8">
      <c r="G18033" s="87"/>
      <c r="H18033" s="90"/>
    </row>
    <row r="18034" spans="7:8">
      <c r="G18034" s="87"/>
      <c r="H18034" s="90"/>
    </row>
    <row r="18035" spans="7:8">
      <c r="G18035" s="87"/>
      <c r="H18035" s="90"/>
    </row>
    <row r="18036" spans="7:8">
      <c r="G18036" s="87"/>
      <c r="H18036" s="90"/>
    </row>
    <row r="18037" spans="7:8">
      <c r="G18037" s="87"/>
      <c r="H18037" s="90"/>
    </row>
    <row r="18038" spans="7:8">
      <c r="G18038" s="87"/>
      <c r="H18038" s="90"/>
    </row>
    <row r="18039" spans="7:8">
      <c r="G18039" s="87"/>
      <c r="H18039" s="90"/>
    </row>
    <row r="18040" spans="7:8">
      <c r="G18040" s="87"/>
      <c r="H18040" s="90"/>
    </row>
    <row r="18041" spans="7:8">
      <c r="G18041" s="87"/>
      <c r="H18041" s="90"/>
    </row>
    <row r="18042" spans="7:8">
      <c r="G18042" s="87"/>
      <c r="H18042" s="90"/>
    </row>
    <row r="18043" spans="7:8">
      <c r="G18043" s="87"/>
      <c r="H18043" s="90"/>
    </row>
    <row r="18044" spans="7:8">
      <c r="G18044" s="87"/>
      <c r="H18044" s="90"/>
    </row>
    <row r="18045" spans="7:8">
      <c r="G18045" s="87"/>
      <c r="H18045" s="90"/>
    </row>
    <row r="18046" spans="7:8">
      <c r="G18046" s="87"/>
      <c r="H18046" s="90"/>
    </row>
    <row r="18047" spans="7:8">
      <c r="G18047" s="87"/>
      <c r="H18047" s="90"/>
    </row>
    <row r="18048" spans="7:8">
      <c r="G18048" s="87"/>
      <c r="H18048" s="90"/>
    </row>
    <row r="18049" spans="7:8">
      <c r="G18049" s="87"/>
      <c r="H18049" s="90"/>
    </row>
    <row r="18050" spans="7:8">
      <c r="G18050" s="87"/>
      <c r="H18050" s="90"/>
    </row>
    <row r="18051" spans="7:8">
      <c r="G18051" s="87"/>
      <c r="H18051" s="90"/>
    </row>
    <row r="18052" spans="7:8">
      <c r="G18052" s="87"/>
      <c r="H18052" s="90"/>
    </row>
    <row r="18053" spans="7:8">
      <c r="G18053" s="87"/>
      <c r="H18053" s="90"/>
    </row>
    <row r="18054" spans="7:8">
      <c r="G18054" s="87"/>
      <c r="H18054" s="90"/>
    </row>
    <row r="18055" spans="7:8">
      <c r="G18055" s="87"/>
      <c r="H18055" s="90"/>
    </row>
    <row r="18056" spans="7:8">
      <c r="G18056" s="87"/>
      <c r="H18056" s="90"/>
    </row>
    <row r="18057" spans="7:8">
      <c r="G18057" s="87"/>
      <c r="H18057" s="90"/>
    </row>
    <row r="18058" spans="7:8">
      <c r="G18058" s="87"/>
      <c r="H18058" s="90"/>
    </row>
    <row r="18059" spans="7:8">
      <c r="G18059" s="87"/>
      <c r="H18059" s="90"/>
    </row>
    <row r="18060" spans="7:8">
      <c r="G18060" s="87"/>
      <c r="H18060" s="90"/>
    </row>
    <row r="18061" spans="7:8">
      <c r="G18061" s="87"/>
      <c r="H18061" s="90"/>
    </row>
    <row r="18062" spans="7:8">
      <c r="G18062" s="87"/>
      <c r="H18062" s="90"/>
    </row>
    <row r="18063" spans="7:8">
      <c r="G18063" s="87"/>
      <c r="H18063" s="90"/>
    </row>
    <row r="18064" spans="7:8">
      <c r="G18064" s="87"/>
      <c r="H18064" s="90"/>
    </row>
    <row r="18065" spans="7:8">
      <c r="G18065" s="87"/>
      <c r="H18065" s="90"/>
    </row>
    <row r="18066" spans="7:8">
      <c r="G18066" s="87"/>
      <c r="H18066" s="90"/>
    </row>
    <row r="18067" spans="7:8">
      <c r="G18067" s="87"/>
      <c r="H18067" s="90"/>
    </row>
    <row r="18068" spans="7:8">
      <c r="G18068" s="87"/>
      <c r="H18068" s="90"/>
    </row>
    <row r="18069" spans="7:8">
      <c r="G18069" s="87"/>
      <c r="H18069" s="90"/>
    </row>
    <row r="18070" spans="7:8">
      <c r="G18070" s="87"/>
      <c r="H18070" s="90"/>
    </row>
    <row r="18071" spans="7:8">
      <c r="G18071" s="87"/>
      <c r="H18071" s="90"/>
    </row>
    <row r="18072" spans="7:8">
      <c r="G18072" s="87"/>
      <c r="H18072" s="90"/>
    </row>
    <row r="18073" spans="7:8">
      <c r="G18073" s="87"/>
      <c r="H18073" s="90"/>
    </row>
    <row r="18074" spans="7:8">
      <c r="G18074" s="87"/>
      <c r="H18074" s="90"/>
    </row>
    <row r="18075" spans="7:8">
      <c r="G18075" s="87"/>
      <c r="H18075" s="90"/>
    </row>
    <row r="18076" spans="7:8">
      <c r="G18076" s="87"/>
      <c r="H18076" s="90"/>
    </row>
    <row r="18077" spans="7:8">
      <c r="G18077" s="87"/>
      <c r="H18077" s="90"/>
    </row>
    <row r="18078" spans="7:8">
      <c r="G18078" s="87"/>
      <c r="H18078" s="90"/>
    </row>
    <row r="18079" spans="7:8">
      <c r="G18079" s="87"/>
      <c r="H18079" s="90"/>
    </row>
    <row r="18080" spans="7:8">
      <c r="G18080" s="87"/>
      <c r="H18080" s="90"/>
    </row>
    <row r="18081" spans="7:8">
      <c r="G18081" s="87"/>
      <c r="H18081" s="90"/>
    </row>
    <row r="18082" spans="7:8">
      <c r="G18082" s="87"/>
      <c r="H18082" s="90"/>
    </row>
    <row r="18083" spans="7:8">
      <c r="G18083" s="87"/>
      <c r="H18083" s="90"/>
    </row>
    <row r="18084" spans="7:8">
      <c r="G18084" s="87"/>
      <c r="H18084" s="90"/>
    </row>
    <row r="18085" spans="7:8">
      <c r="G18085" s="87"/>
      <c r="H18085" s="90"/>
    </row>
    <row r="18086" spans="7:8">
      <c r="G18086" s="87"/>
      <c r="H18086" s="90"/>
    </row>
    <row r="18087" spans="7:8">
      <c r="G18087" s="87"/>
      <c r="H18087" s="90"/>
    </row>
    <row r="18088" spans="7:8">
      <c r="G18088" s="87"/>
      <c r="H18088" s="90"/>
    </row>
    <row r="18089" spans="7:8">
      <c r="G18089" s="87"/>
      <c r="H18089" s="90"/>
    </row>
    <row r="18090" spans="7:8">
      <c r="G18090" s="87"/>
      <c r="H18090" s="90"/>
    </row>
    <row r="18091" spans="7:8">
      <c r="G18091" s="87"/>
      <c r="H18091" s="90"/>
    </row>
    <row r="18092" spans="7:8">
      <c r="G18092" s="87"/>
      <c r="H18092" s="90"/>
    </row>
    <row r="18093" spans="7:8">
      <c r="G18093" s="87"/>
      <c r="H18093" s="90"/>
    </row>
    <row r="18094" spans="7:8">
      <c r="G18094" s="87"/>
      <c r="H18094" s="90"/>
    </row>
    <row r="18095" spans="7:8">
      <c r="G18095" s="87"/>
      <c r="H18095" s="90"/>
    </row>
    <row r="18096" spans="7:8">
      <c r="G18096" s="87"/>
      <c r="H18096" s="90"/>
    </row>
    <row r="18097" spans="7:8">
      <c r="G18097" s="87"/>
      <c r="H18097" s="90"/>
    </row>
    <row r="18098" spans="7:8">
      <c r="G18098" s="87"/>
      <c r="H18098" s="90"/>
    </row>
    <row r="18099" spans="7:8">
      <c r="G18099" s="87"/>
      <c r="H18099" s="90"/>
    </row>
    <row r="18100" spans="7:8" ht="14.4" thickBot="1">
      <c r="G18100" s="88"/>
      <c r="H18100" s="9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un_MC">
                <anchor moveWithCells="1" sizeWithCells="1">
                  <from>
                    <xdr:col>5</xdr:col>
                    <xdr:colOff>800100</xdr:colOff>
                    <xdr:row>5</xdr:row>
                    <xdr:rowOff>38100</xdr:rowOff>
                  </from>
                  <to>
                    <xdr:col>7</xdr:col>
                    <xdr:colOff>480060</xdr:colOff>
                    <xdr:row>8</xdr:row>
                    <xdr:rowOff>60960</xdr:rowOff>
                  </to>
                </anchor>
              </controlPr>
            </control>
          </mc:Choice>
        </mc:AlternateContent>
        <mc:AlternateContent xmlns:mc="http://schemas.openxmlformats.org/markup-compatibility/2006">
          <mc:Choice Requires="x14">
            <control shapeId="11266" r:id="rId4" name="Button 2">
              <controlPr defaultSize="0" print="0" autoFill="0" autoPict="0" macro="[0]!InputsSheet">
                <anchor moveWithCells="1" sizeWithCells="1">
                  <from>
                    <xdr:col>0</xdr:col>
                    <xdr:colOff>76200</xdr:colOff>
                    <xdr:row>0</xdr:row>
                    <xdr:rowOff>38100</xdr:rowOff>
                  </from>
                  <to>
                    <xdr:col>1</xdr:col>
                    <xdr:colOff>739140</xdr:colOff>
                    <xdr:row>2</xdr:row>
                    <xdr:rowOff>152400</xdr:rowOff>
                  </to>
                </anchor>
              </controlPr>
            </control>
          </mc:Choice>
        </mc:AlternateContent>
        <mc:AlternateContent xmlns:mc="http://schemas.openxmlformats.org/markup-compatibility/2006">
          <mc:Choice Requires="x14">
            <control shapeId="11268" r:id="rId5" name="Button 4">
              <controlPr defaultSize="0" print="0" autoFill="0" autoPict="0" macro="[0]!ReadMeSheet">
                <anchor moveWithCells="1" sizeWithCells="1">
                  <from>
                    <xdr:col>1</xdr:col>
                    <xdr:colOff>1028700</xdr:colOff>
                    <xdr:row>0</xdr:row>
                    <xdr:rowOff>38100</xdr:rowOff>
                  </from>
                  <to>
                    <xdr:col>2</xdr:col>
                    <xdr:colOff>1196340</xdr:colOff>
                    <xdr:row>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I24" sqref="I24"/>
    </sheetView>
  </sheetViews>
  <sheetFormatPr baseColWidth="10" defaultColWidth="12.69921875" defaultRowHeight="15" customHeight="1"/>
  <cols>
    <col min="1" max="2" width="7.69921875" customWidth="1"/>
    <col min="3" max="3" width="35.796875" customWidth="1"/>
    <col min="4" max="4" width="9.296875" customWidth="1"/>
    <col min="5" max="8" width="7.69921875" customWidth="1"/>
    <col min="9" max="9" width="83.19921875" customWidth="1"/>
    <col min="10" max="26" width="7.69921875" customWidth="1"/>
  </cols>
  <sheetData>
    <row r="1" spans="2:16" ht="60" customHeight="1">
      <c r="B1" s="15" t="s">
        <v>29</v>
      </c>
    </row>
    <row r="2" spans="2:16" ht="14.4">
      <c r="B2" s="164" t="s">
        <v>30</v>
      </c>
      <c r="C2" s="165"/>
      <c r="D2" s="165"/>
      <c r="E2" s="160"/>
      <c r="F2" s="5"/>
      <c r="G2" s="5"/>
      <c r="H2" s="11"/>
    </row>
    <row r="3" spans="2:16" ht="14.4">
      <c r="B3" s="18"/>
      <c r="C3" s="19"/>
      <c r="D3" s="19"/>
      <c r="E3" s="20"/>
      <c r="I3" s="21" t="s">
        <v>31</v>
      </c>
      <c r="J3" s="22"/>
      <c r="K3" s="22"/>
      <c r="L3" s="22"/>
      <c r="M3" s="22"/>
      <c r="N3" s="22"/>
      <c r="O3" s="22"/>
      <c r="P3" s="22"/>
    </row>
    <row r="4" spans="2:16" ht="14.4">
      <c r="B4" s="23"/>
      <c r="C4" s="16" t="s">
        <v>32</v>
      </c>
      <c r="D4" s="24">
        <f>(LN(Stock/Exercise)+(Rate-dividend_rate+(Sigma^2)/2)*Time)/(Sigma*SQRT(Time))</f>
        <v>1.3602994565925708</v>
      </c>
      <c r="E4" s="25"/>
      <c r="I4" s="26" t="str">
        <f>GetCF(d_1)</f>
        <v>D4:  =(LN(Stock/Exercise)+(Rate-dividend_rate+(Sigma^2)/2)*Time)/(Sigma*SQRT(Time))</v>
      </c>
      <c r="J4" s="22"/>
      <c r="K4" s="22"/>
      <c r="L4" s="22"/>
      <c r="M4" s="22"/>
      <c r="N4" s="22"/>
      <c r="O4" s="22"/>
      <c r="P4" s="22"/>
    </row>
    <row r="5" spans="2:16" ht="14.4">
      <c r="B5" s="23"/>
      <c r="C5" s="16" t="s">
        <v>33</v>
      </c>
      <c r="D5" s="24">
        <f>(LN(Stock/Exercise)+(Rate-dividend_rate-(Sigma^2)/2)*Time)/(Sigma*SQRT(Time))</f>
        <v>-1.3507888857526205</v>
      </c>
      <c r="E5" s="25"/>
      <c r="I5" s="26" t="str">
        <f>GetCF(d_2)</f>
        <v>D5:  =(LN(Stock/Exercise)+(Rate-dividend_rate-(Sigma^2)/2)*Time)/(Sigma*SQRT(Time))</v>
      </c>
      <c r="J5" s="22"/>
      <c r="K5" s="22"/>
      <c r="L5" s="22"/>
      <c r="M5" s="22"/>
      <c r="N5" s="22"/>
      <c r="O5" s="22"/>
      <c r="P5" s="22"/>
    </row>
    <row r="6" spans="2:16" ht="14.4">
      <c r="B6" s="23"/>
      <c r="C6" s="16" t="s">
        <v>34</v>
      </c>
      <c r="D6" s="24">
        <f>_xlfn.NORM.S.DIST(d_1,TRUE)</f>
        <v>0.91313240986179234</v>
      </c>
      <c r="E6" s="25"/>
      <c r="I6" s="26" t="str">
        <f>GetCF(Nd_1)</f>
        <v>D6:  =NORM.S.DIST(d_1,TRUE)</v>
      </c>
      <c r="J6" s="22"/>
      <c r="K6" s="22"/>
      <c r="L6" s="22"/>
      <c r="M6" s="22"/>
      <c r="N6" s="22"/>
      <c r="O6" s="22"/>
      <c r="P6" s="22"/>
    </row>
    <row r="7" spans="2:16" ht="14.4">
      <c r="B7" s="23"/>
      <c r="C7" s="16" t="s">
        <v>35</v>
      </c>
      <c r="D7" s="24">
        <f>_xlfn.NORM.S.DIST(d_2,TRUE)</f>
        <v>8.8381534678532964E-2</v>
      </c>
      <c r="E7" s="25"/>
      <c r="I7" s="26" t="str">
        <f>GetCF(Nd_2)</f>
        <v>D7:  =NORM.S.DIST(d_2,TRUE)</v>
      </c>
      <c r="J7" s="22"/>
      <c r="K7" s="22"/>
      <c r="L7" s="22"/>
      <c r="M7" s="22"/>
      <c r="N7" s="22"/>
      <c r="O7" s="22"/>
      <c r="P7" s="22"/>
    </row>
    <row r="8" spans="2:16" ht="14.4">
      <c r="B8" s="23"/>
      <c r="C8" s="16" t="s">
        <v>36</v>
      </c>
      <c r="D8" s="24">
        <f>_xlfn.NORM.S.DIST(-d_1,TRUE)</f>
        <v>8.6867590138207634E-2</v>
      </c>
      <c r="E8" s="25"/>
      <c r="I8" s="26" t="str">
        <f>GetCF(Nminusd_1)</f>
        <v>D8:  =NORM.S.DIST(-d_1,TRUE)</v>
      </c>
      <c r="J8" s="22"/>
      <c r="K8" s="22"/>
      <c r="L8" s="22"/>
      <c r="M8" s="22"/>
      <c r="N8" s="22"/>
      <c r="O8" s="22"/>
      <c r="P8" s="22"/>
    </row>
    <row r="9" spans="2:16" ht="14.4">
      <c r="B9" s="23"/>
      <c r="C9" s="16" t="s">
        <v>37</v>
      </c>
      <c r="D9" s="24">
        <f>_xlfn.NORM.S.DIST(-d_2,TRUE)</f>
        <v>0.91161846532146706</v>
      </c>
      <c r="E9" s="25"/>
      <c r="I9" s="26" t="str">
        <f>GetCF(Nminusd_2)</f>
        <v>D9:  =NORM.S.DIST(-d_2,TRUE)</v>
      </c>
      <c r="J9" s="22"/>
      <c r="K9" s="22"/>
      <c r="L9" s="22"/>
      <c r="M9" s="22"/>
      <c r="N9" s="22"/>
      <c r="O9" s="22"/>
      <c r="P9" s="22"/>
    </row>
    <row r="10" spans="2:16" ht="14.25" hidden="1" customHeight="1">
      <c r="B10" s="23"/>
      <c r="C10" s="27" t="s">
        <v>38</v>
      </c>
      <c r="D10" s="28">
        <f>Stock*Nd_1*EXP(-dividend_rate*Time)-Exercise*EXP(-Rate*Time)*Nd_2</f>
        <v>32.225562193905986</v>
      </c>
      <c r="E10" s="25"/>
      <c r="I10" s="26" t="str">
        <f t="shared" ref="I10:I11" si="0">GetCF(D10)</f>
        <v>D10:  =Stock*Nd_1*EXP(-dividend_rate*Time)-Exercise*EXP(-Rate*Time)*Nd_2</v>
      </c>
      <c r="J10" s="22"/>
      <c r="K10" s="22"/>
      <c r="L10" s="22"/>
      <c r="M10" s="22"/>
      <c r="N10" s="22"/>
      <c r="O10" s="22"/>
      <c r="P10" s="22"/>
    </row>
    <row r="11" spans="2:16" ht="14.4" hidden="1">
      <c r="B11" s="23"/>
      <c r="C11" s="27" t="s">
        <v>12</v>
      </c>
      <c r="D11" s="29">
        <f>Exercise*EXP(-Rate*Time)*Nminusd_2-Stock*Nminusd_1*EXP(-dividend_rate*Time)</f>
        <v>31.725751214077981</v>
      </c>
      <c r="E11" s="25"/>
      <c r="I11" s="26" t="str">
        <f t="shared" si="0"/>
        <v>D11:  =Exercise*EXP(-Rate*Time)*Nminusd_2-Stock*Nminusd_1*EXP(-dividend_rate*Time)</v>
      </c>
      <c r="J11" s="22"/>
      <c r="K11" s="22"/>
      <c r="L11" s="22"/>
      <c r="M11" s="22"/>
      <c r="N11" s="22"/>
      <c r="O11" s="22"/>
      <c r="P11" s="22"/>
    </row>
    <row r="12" spans="2:16" ht="28.8">
      <c r="B12" s="30"/>
      <c r="C12" s="31" t="s">
        <v>39</v>
      </c>
      <c r="D12" s="32">
        <f>IF(_xlfn.SINGLE(bs_option_type)="Call",Stock*Nd_1*EXP(-dividend_rate*Time)-Exercise*EXP(-Rate*Time)*Nd_2,IF(_xlfn.SINGLE(bs_option_type)="Put",Exercise*EXP(-Rate*Time)*Nminusd_2-Stock*Nminusd_1*EXP(-dividend_rate*Time),"Please choose an option type (Call or Put)"))</f>
        <v>32.225562193905986</v>
      </c>
      <c r="E12" s="33"/>
      <c r="I12" s="34" t="str">
        <f>"If it's a call then we calculate as the following: "&amp;RIGHT(GetCF(D10),LEN(GetCF(D10))-FIND("=",GetCF(D10)))</f>
        <v>If it's a call then we calculate as the following: Stock*Nd_1*EXP(-dividend_rate*Time)-Exercise*EXP(-Rate*Time)*Nd_2</v>
      </c>
      <c r="J12" s="22"/>
      <c r="K12" s="22"/>
      <c r="L12" s="22"/>
      <c r="M12" s="22"/>
      <c r="N12" s="22"/>
      <c r="O12" s="22"/>
      <c r="P12" s="22"/>
    </row>
    <row r="13" spans="2:16" ht="28.8">
      <c r="I13" s="34" t="str">
        <f>"when it's a put, we use the following expression: "&amp;RIGHT(GetCF(D11),LEN(GetCF(D11))-FIND("=",GetCF(D11)))</f>
        <v>when it's a put, we use the following expression: Exercise*EXP(-Rate*Time)*Nminusd_2-Stock*Nminusd_1*EXP(-dividend_rate*Time)</v>
      </c>
      <c r="J13" s="22"/>
      <c r="K13" s="22"/>
      <c r="L13" s="22"/>
      <c r="M13" s="22"/>
      <c r="N13" s="22"/>
      <c r="O13" s="22"/>
      <c r="P13" s="22"/>
    </row>
    <row r="14" spans="2:16" ht="14.4">
      <c r="C14" s="35" t="s">
        <v>40</v>
      </c>
      <c r="D14" s="32">
        <v>45.869441523521544</v>
      </c>
    </row>
    <row r="16" spans="2:16" ht="28.8">
      <c r="C16" s="36" t="s">
        <v>41</v>
      </c>
      <c r="D16" s="17" t="b">
        <f>vba_bs_result=D12</f>
        <v>0</v>
      </c>
      <c r="E16" s="3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2:E2"/>
  </mergeCells>
  <conditionalFormatting sqref="D16">
    <cfRule type="cellIs" dxfId="4" priority="1" operator="equal">
      <formula>"FALSE"</formula>
    </cfRule>
  </conditionalFormatting>
  <conditionalFormatting sqref="D16">
    <cfRule type="containsText" dxfId="3"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205740</xdr:colOff>
                    <xdr:row>2</xdr:row>
                    <xdr:rowOff>99060</xdr:rowOff>
                  </from>
                  <to>
                    <xdr:col>7</xdr:col>
                    <xdr:colOff>518160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137160</xdr:rowOff>
                  </from>
                  <to>
                    <xdr:col>7</xdr:col>
                    <xdr:colOff>495300</xdr:colOff>
                    <xdr:row>11</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M3105"/>
  <sheetViews>
    <sheetView zoomScale="85" zoomScaleNormal="85" workbookViewId="0">
      <selection activeCell="K31" sqref="K31"/>
    </sheetView>
  </sheetViews>
  <sheetFormatPr baseColWidth="10" defaultColWidth="10.69921875" defaultRowHeight="13.8"/>
  <cols>
    <col min="1" max="1" width="12.296875" bestFit="1" customWidth="1"/>
    <col min="2" max="2" width="8.69921875" bestFit="1" customWidth="1"/>
    <col min="3" max="3" width="8.19921875" bestFit="1" customWidth="1"/>
    <col min="4" max="4" width="11.296875" bestFit="1" customWidth="1"/>
    <col min="5" max="5" width="13.5" bestFit="1" customWidth="1"/>
    <col min="6" max="6" width="29.69921875" customWidth="1"/>
    <col min="8" max="8" width="12" bestFit="1" customWidth="1"/>
    <col min="9" max="9" width="8.69921875" bestFit="1" customWidth="1"/>
    <col min="10" max="10" width="14.296875" customWidth="1"/>
    <col min="11" max="11" width="18.19921875" customWidth="1"/>
    <col min="12" max="12" width="18.796875" customWidth="1"/>
    <col min="13" max="13" width="20" bestFit="1" customWidth="1"/>
  </cols>
  <sheetData>
    <row r="1" spans="1:13" s="41" customFormat="1"/>
    <row r="2" spans="1:13" s="41" customFormat="1" ht="37.799999999999997">
      <c r="E2" s="47"/>
      <c r="F2" s="47" t="s">
        <v>53</v>
      </c>
    </row>
    <row r="3" spans="1:13" s="41" customFormat="1" ht="38.4" thickBot="1">
      <c r="E3" s="47"/>
      <c r="F3" s="47"/>
    </row>
    <row r="4" spans="1:13" s="41" customFormat="1" ht="38.4" thickBot="1">
      <c r="A4" s="166" t="s">
        <v>47</v>
      </c>
      <c r="B4" s="167"/>
      <c r="C4" s="167"/>
      <c r="D4" s="167"/>
      <c r="E4" s="167"/>
      <c r="F4" s="168"/>
      <c r="H4" s="169" t="s">
        <v>54</v>
      </c>
      <c r="I4" s="170"/>
      <c r="J4" s="170"/>
      <c r="K4" s="170"/>
      <c r="L4" s="170"/>
      <c r="M4" s="171"/>
    </row>
    <row r="5" spans="1:13" s="41" customFormat="1"/>
    <row r="6" spans="1:13" ht="14.4">
      <c r="A6" s="172" t="s">
        <v>51</v>
      </c>
      <c r="B6" s="173"/>
      <c r="C6" s="173"/>
      <c r="D6" s="173"/>
      <c r="E6" s="173"/>
      <c r="F6" s="173"/>
      <c r="G6" s="42"/>
      <c r="H6" s="42"/>
      <c r="I6" s="42"/>
    </row>
    <row r="7" spans="1:13" ht="14.4">
      <c r="A7" s="131" t="s">
        <v>52</v>
      </c>
      <c r="B7" s="132" t="s">
        <v>42</v>
      </c>
      <c r="C7" s="131" t="s">
        <v>91</v>
      </c>
      <c r="D7" s="140" t="s">
        <v>56</v>
      </c>
      <c r="E7" s="140" t="s">
        <v>90</v>
      </c>
      <c r="F7" s="140" t="s">
        <v>92</v>
      </c>
      <c r="G7" s="42"/>
      <c r="H7" s="131" t="s">
        <v>52</v>
      </c>
      <c r="I7" s="132" t="s">
        <v>42</v>
      </c>
      <c r="J7" s="131" t="s">
        <v>48</v>
      </c>
      <c r="K7" s="142" t="s">
        <v>49</v>
      </c>
      <c r="L7" s="142" t="s">
        <v>50</v>
      </c>
      <c r="M7" s="142" t="s">
        <v>55</v>
      </c>
    </row>
    <row r="8" spans="1:13" ht="14.4">
      <c r="A8" s="136">
        <v>44487</v>
      </c>
      <c r="B8" s="137">
        <v>113.78</v>
      </c>
      <c r="C8" s="133"/>
      <c r="D8" s="50">
        <f t="shared" ref="D8:D71" si="0">(B8-C8)/B9-1</f>
        <v>-9.7476066144474016E-3</v>
      </c>
      <c r="E8" s="141">
        <f>STDEVA(D8:D3102)</f>
        <v>2.2030944686045772E-2</v>
      </c>
      <c r="F8" s="141">
        <f>E8*SQRT(252)</f>
        <v>0.34973040472258249</v>
      </c>
      <c r="G8" s="42"/>
      <c r="H8" s="52">
        <v>43830</v>
      </c>
      <c r="I8" s="48">
        <v>130.47999999999999</v>
      </c>
      <c r="J8" s="143">
        <v>1.8</v>
      </c>
      <c r="K8" s="51">
        <v>1.3795217657878604E-2</v>
      </c>
      <c r="L8" s="141">
        <f>AVERAGE(K8:K16)</f>
        <v>1.8820362880159498E-2</v>
      </c>
      <c r="M8" s="141">
        <f>LN(L8+1)</f>
        <v>1.8645451045686053E-2</v>
      </c>
    </row>
    <row r="9" spans="1:13" ht="14.4">
      <c r="A9" s="136">
        <v>44484</v>
      </c>
      <c r="B9" s="137">
        <v>114.9</v>
      </c>
      <c r="C9" s="133"/>
      <c r="D9" s="50">
        <f t="shared" si="0"/>
        <v>1.3585038814396766E-2</v>
      </c>
      <c r="E9" s="42"/>
      <c r="F9" s="42"/>
      <c r="G9" s="42"/>
      <c r="H9" s="52">
        <v>43465</v>
      </c>
      <c r="I9" s="48">
        <v>83.96</v>
      </c>
      <c r="J9" s="143">
        <v>1.65</v>
      </c>
      <c r="K9" s="51">
        <v>1.96522153406384E-2</v>
      </c>
      <c r="L9" s="129"/>
      <c r="M9" s="129"/>
    </row>
    <row r="10" spans="1:13" ht="14.4">
      <c r="A10" s="136">
        <v>44483</v>
      </c>
      <c r="B10" s="137">
        <v>113.36</v>
      </c>
      <c r="C10" s="133"/>
      <c r="D10" s="50">
        <f t="shared" si="0"/>
        <v>9.0795798468932265E-3</v>
      </c>
      <c r="E10" s="42"/>
      <c r="F10" s="42"/>
      <c r="G10" s="42"/>
      <c r="H10" s="52">
        <v>43098</v>
      </c>
      <c r="I10" s="48">
        <v>83</v>
      </c>
      <c r="J10" s="143">
        <v>1.5</v>
      </c>
      <c r="K10" s="51">
        <v>1.8072289156626505E-2</v>
      </c>
      <c r="L10" s="129"/>
      <c r="M10" s="129"/>
    </row>
    <row r="11" spans="1:13" ht="14.4">
      <c r="A11" s="136">
        <v>44482</v>
      </c>
      <c r="B11" s="137">
        <v>112.34</v>
      </c>
      <c r="C11" s="133"/>
      <c r="D11" s="50">
        <f t="shared" si="0"/>
        <v>-7.9477216531260719E-3</v>
      </c>
      <c r="E11" s="42"/>
      <c r="F11" s="42"/>
      <c r="G11" s="42"/>
      <c r="H11" s="52">
        <v>42734</v>
      </c>
      <c r="I11" s="48">
        <v>62.84</v>
      </c>
      <c r="J11" s="143">
        <v>1.35</v>
      </c>
      <c r="K11" s="51">
        <v>2.1483131763208149E-2</v>
      </c>
      <c r="L11" s="129"/>
      <c r="M11" s="129"/>
    </row>
    <row r="12" spans="1:13" ht="14.4">
      <c r="A12" s="136">
        <v>44481</v>
      </c>
      <c r="B12" s="137">
        <v>113.24</v>
      </c>
      <c r="C12" s="133"/>
      <c r="D12" s="50">
        <f t="shared" si="0"/>
        <v>-5.0957652433667455E-3</v>
      </c>
      <c r="E12" s="43"/>
      <c r="F12" s="42"/>
      <c r="G12" s="42"/>
      <c r="H12" s="52">
        <v>42369</v>
      </c>
      <c r="I12" s="48">
        <v>62</v>
      </c>
      <c r="J12" s="143">
        <v>1.3</v>
      </c>
      <c r="K12" s="51">
        <v>2.0967741935483872E-2</v>
      </c>
      <c r="L12" s="129"/>
      <c r="M12" s="129"/>
    </row>
    <row r="13" spans="1:13" ht="14.4">
      <c r="A13" s="136">
        <v>44480</v>
      </c>
      <c r="B13" s="137">
        <v>113.82</v>
      </c>
      <c r="C13" s="133"/>
      <c r="D13" s="50">
        <f t="shared" si="0"/>
        <v>5.2994170641229577E-3</v>
      </c>
      <c r="E13" s="42"/>
      <c r="F13" s="42"/>
      <c r="G13" s="42"/>
      <c r="H13" s="52">
        <v>42004</v>
      </c>
      <c r="I13" s="48">
        <v>41.35</v>
      </c>
      <c r="J13" s="143">
        <v>1.2</v>
      </c>
      <c r="K13" s="51">
        <v>2.9020556227327687E-2</v>
      </c>
      <c r="L13" s="129"/>
      <c r="M13" s="129"/>
    </row>
    <row r="14" spans="1:13" ht="14.4">
      <c r="A14" s="136">
        <v>44477</v>
      </c>
      <c r="B14" s="137">
        <v>113.22</v>
      </c>
      <c r="C14" s="133"/>
      <c r="D14" s="50">
        <f t="shared" si="0"/>
        <v>-8.5814360770578579E-3</v>
      </c>
      <c r="E14" s="42"/>
      <c r="F14" s="42"/>
      <c r="G14" s="42"/>
      <c r="H14" s="52">
        <v>41639</v>
      </c>
      <c r="I14" s="48">
        <v>55.81</v>
      </c>
      <c r="J14" s="143">
        <v>0.75</v>
      </c>
      <c r="K14" s="51">
        <v>1.3438451890342233E-2</v>
      </c>
      <c r="L14" s="129"/>
      <c r="M14" s="129"/>
    </row>
    <row r="15" spans="1:13" ht="14.4">
      <c r="A15" s="136">
        <v>44476</v>
      </c>
      <c r="B15" s="137">
        <v>114.2</v>
      </c>
      <c r="C15" s="133"/>
      <c r="D15" s="50">
        <f t="shared" si="0"/>
        <v>6.8770939869511327E-3</v>
      </c>
      <c r="E15" s="42"/>
      <c r="F15" s="42"/>
      <c r="G15" s="42"/>
      <c r="H15" s="52">
        <v>41274</v>
      </c>
      <c r="I15" s="48">
        <v>29.5</v>
      </c>
      <c r="J15" s="143">
        <v>0.6</v>
      </c>
      <c r="K15" s="51">
        <v>2.0338983050847456E-2</v>
      </c>
      <c r="L15" s="129"/>
      <c r="M15" s="129"/>
    </row>
    <row r="16" spans="1:13" ht="15" thickBot="1">
      <c r="A16" s="136">
        <v>44475</v>
      </c>
      <c r="B16" s="137">
        <v>113.42</v>
      </c>
      <c r="C16" s="133"/>
      <c r="D16" s="50">
        <f t="shared" si="0"/>
        <v>-1.4424748001390264E-2</v>
      </c>
      <c r="E16" s="42"/>
      <c r="F16" s="42"/>
      <c r="G16" s="42"/>
      <c r="H16" s="53">
        <v>40543</v>
      </c>
      <c r="I16" s="54">
        <v>17.440000000000001</v>
      </c>
      <c r="J16" s="144">
        <v>0.22</v>
      </c>
      <c r="K16" s="55">
        <v>1.2614678899082568E-2</v>
      </c>
      <c r="L16" s="129"/>
      <c r="M16" s="129"/>
    </row>
    <row r="17" spans="1:9" ht="14.4">
      <c r="A17" s="136">
        <v>44474</v>
      </c>
      <c r="B17" s="137">
        <v>115.08</v>
      </c>
      <c r="C17" s="133"/>
      <c r="D17" s="50">
        <f t="shared" si="0"/>
        <v>1.2493401372514423E-2</v>
      </c>
      <c r="E17" s="42"/>
      <c r="F17" s="42"/>
      <c r="G17" s="42"/>
      <c r="H17" s="42"/>
      <c r="I17" s="42"/>
    </row>
    <row r="18" spans="1:9" ht="14.4">
      <c r="A18" s="136">
        <v>44473</v>
      </c>
      <c r="B18" s="137">
        <v>113.66</v>
      </c>
      <c r="C18" s="133"/>
      <c r="D18" s="50">
        <f t="shared" si="0"/>
        <v>-2.5047177903585571E-2</v>
      </c>
      <c r="E18" s="42"/>
      <c r="F18" s="42"/>
      <c r="G18" s="42"/>
      <c r="H18" s="42"/>
      <c r="I18" s="42"/>
    </row>
    <row r="19" spans="1:9" ht="14.4">
      <c r="A19" s="136">
        <v>44470</v>
      </c>
      <c r="B19" s="137">
        <v>116.58</v>
      </c>
      <c r="C19" s="133"/>
      <c r="D19" s="50">
        <f t="shared" si="0"/>
        <v>1.2858384013900936E-2</v>
      </c>
      <c r="E19" s="42"/>
      <c r="F19" s="42"/>
      <c r="G19" s="42"/>
      <c r="H19" s="42"/>
      <c r="I19" s="42"/>
    </row>
    <row r="20" spans="1:9" ht="14.4">
      <c r="A20" s="136">
        <v>44469</v>
      </c>
      <c r="B20" s="137">
        <v>115.1</v>
      </c>
      <c r="C20" s="133"/>
      <c r="D20" s="50">
        <f t="shared" si="0"/>
        <v>-1.8755328218243883E-2</v>
      </c>
      <c r="E20" s="42"/>
      <c r="F20" s="42"/>
      <c r="G20" s="42"/>
      <c r="H20" s="42"/>
      <c r="I20" s="42"/>
    </row>
    <row r="21" spans="1:9" ht="14.4">
      <c r="A21" s="136">
        <v>44468</v>
      </c>
      <c r="B21" s="137">
        <v>117.3</v>
      </c>
      <c r="C21" s="133"/>
      <c r="D21" s="50">
        <f t="shared" si="0"/>
        <v>3.4756527875793974E-2</v>
      </c>
      <c r="E21" s="42"/>
      <c r="F21" s="42"/>
      <c r="G21" s="42"/>
      <c r="H21" s="42"/>
      <c r="I21" s="42"/>
    </row>
    <row r="22" spans="1:9" ht="14.4">
      <c r="A22" s="136">
        <v>44467</v>
      </c>
      <c r="B22" s="137">
        <v>113.36</v>
      </c>
      <c r="C22" s="133"/>
      <c r="D22" s="50">
        <f t="shared" si="0"/>
        <v>-3.3094506994199913E-2</v>
      </c>
      <c r="E22" s="49"/>
    </row>
    <row r="23" spans="1:9" ht="14.4">
      <c r="A23" s="136">
        <v>44466</v>
      </c>
      <c r="B23" s="137">
        <v>117.24</v>
      </c>
      <c r="C23" s="133"/>
      <c r="D23" s="50">
        <f t="shared" si="0"/>
        <v>1.5944540727902856E-2</v>
      </c>
      <c r="E23" s="49"/>
    </row>
    <row r="24" spans="1:9" ht="14.4">
      <c r="A24" s="136">
        <v>44463</v>
      </c>
      <c r="B24" s="137">
        <v>115.4</v>
      </c>
      <c r="C24" s="133"/>
      <c r="D24" s="50">
        <f t="shared" si="0"/>
        <v>-1.097017483716145E-2</v>
      </c>
      <c r="E24" s="49"/>
    </row>
    <row r="25" spans="1:9" ht="14.4">
      <c r="A25" s="136">
        <v>44462</v>
      </c>
      <c r="B25" s="137">
        <v>116.68</v>
      </c>
      <c r="C25" s="133"/>
      <c r="D25" s="50">
        <f t="shared" si="0"/>
        <v>7.2513812154695323E-3</v>
      </c>
      <c r="E25" s="49"/>
    </row>
    <row r="26" spans="1:9" ht="14.4">
      <c r="A26" s="136">
        <v>44461</v>
      </c>
      <c r="B26" s="137">
        <v>115.84</v>
      </c>
      <c r="C26" s="133"/>
      <c r="D26" s="50">
        <f t="shared" si="0"/>
        <v>2.2598870056497189E-2</v>
      </c>
      <c r="E26" s="49"/>
    </row>
    <row r="27" spans="1:9" ht="14.4">
      <c r="A27" s="136">
        <v>44460</v>
      </c>
      <c r="B27" s="137">
        <v>113.28</v>
      </c>
      <c r="C27" s="133"/>
      <c r="D27" s="50">
        <f t="shared" si="0"/>
        <v>1.1970698588529505E-2</v>
      </c>
      <c r="E27" s="49"/>
    </row>
    <row r="28" spans="1:9" ht="14.4">
      <c r="A28" s="136">
        <v>44459</v>
      </c>
      <c r="B28" s="137">
        <v>111.94</v>
      </c>
      <c r="C28" s="133"/>
      <c r="D28" s="50">
        <f t="shared" si="0"/>
        <v>-9.7310686482662279E-3</v>
      </c>
      <c r="E28" s="49"/>
    </row>
    <row r="29" spans="1:9" ht="14.4">
      <c r="A29" s="136">
        <v>44456</v>
      </c>
      <c r="B29" s="137">
        <v>113.04</v>
      </c>
      <c r="C29" s="133"/>
      <c r="D29" s="50">
        <f t="shared" si="0"/>
        <v>-1.6016713091921875E-2</v>
      </c>
      <c r="E29" s="49"/>
    </row>
    <row r="30" spans="1:9" ht="14.4">
      <c r="A30" s="136">
        <v>44455</v>
      </c>
      <c r="B30" s="137">
        <v>114.88</v>
      </c>
      <c r="C30" s="133"/>
      <c r="D30" s="50">
        <f t="shared" si="0"/>
        <v>2.2427910288358888E-2</v>
      </c>
      <c r="E30" s="49"/>
    </row>
    <row r="31" spans="1:9" ht="14.4">
      <c r="A31" s="136">
        <v>44454</v>
      </c>
      <c r="B31" s="137">
        <v>112.36</v>
      </c>
      <c r="C31" s="133"/>
      <c r="D31" s="50">
        <f t="shared" si="0"/>
        <v>-3.5473572188720048E-3</v>
      </c>
      <c r="E31" s="49"/>
    </row>
    <row r="32" spans="1:9" ht="14.4">
      <c r="A32" s="136">
        <v>44453</v>
      </c>
      <c r="B32" s="137">
        <v>112.76</v>
      </c>
      <c r="C32" s="133"/>
      <c r="D32" s="50">
        <f t="shared" si="0"/>
        <v>-2.0159888773027435E-2</v>
      </c>
      <c r="E32" s="49"/>
    </row>
    <row r="33" spans="1:5" ht="14.4">
      <c r="A33" s="136">
        <v>44452</v>
      </c>
      <c r="B33" s="137">
        <v>115.08</v>
      </c>
      <c r="C33" s="133"/>
      <c r="D33" s="50">
        <f t="shared" si="0"/>
        <v>6.2959076600210828E-3</v>
      </c>
      <c r="E33" s="49"/>
    </row>
    <row r="34" spans="1:5" ht="14.4">
      <c r="A34" s="136">
        <v>44449</v>
      </c>
      <c r="B34" s="137">
        <v>114.36</v>
      </c>
      <c r="C34" s="133"/>
      <c r="D34" s="50">
        <f t="shared" si="0"/>
        <v>-7.2916666666666963E-3</v>
      </c>
      <c r="E34" s="49"/>
    </row>
    <row r="35" spans="1:5" ht="14.4">
      <c r="A35" s="136">
        <v>44448</v>
      </c>
      <c r="B35" s="137">
        <v>115.2</v>
      </c>
      <c r="C35" s="133"/>
      <c r="D35" s="50">
        <f t="shared" si="0"/>
        <v>1.3014421385860064E-2</v>
      </c>
      <c r="E35" s="49"/>
    </row>
    <row r="36" spans="1:5" ht="14.4">
      <c r="A36" s="136">
        <v>44447</v>
      </c>
      <c r="B36" s="137">
        <v>113.72</v>
      </c>
      <c r="C36" s="133"/>
      <c r="D36" s="50">
        <f t="shared" si="0"/>
        <v>-3.3304119193688919E-3</v>
      </c>
      <c r="E36" s="49"/>
    </row>
    <row r="37" spans="1:5" ht="14.4">
      <c r="A37" s="136">
        <v>44446</v>
      </c>
      <c r="B37" s="137">
        <v>114.1</v>
      </c>
      <c r="C37" s="133"/>
      <c r="D37" s="50">
        <f t="shared" si="0"/>
        <v>-1.536071798412153E-2</v>
      </c>
      <c r="E37" s="49"/>
    </row>
    <row r="38" spans="1:5" ht="14.4">
      <c r="A38" s="136">
        <v>44445</v>
      </c>
      <c r="B38" s="137">
        <v>115.88</v>
      </c>
      <c r="C38" s="133"/>
      <c r="D38" s="50">
        <f t="shared" si="0"/>
        <v>1.2229210342417751E-2</v>
      </c>
      <c r="E38" s="49"/>
    </row>
    <row r="39" spans="1:5" ht="14.4">
      <c r="A39" s="136">
        <v>44442</v>
      </c>
      <c r="B39" s="137">
        <v>114.48</v>
      </c>
      <c r="C39" s="133"/>
      <c r="D39" s="50">
        <f t="shared" si="0"/>
        <v>-1.9695153279671196E-2</v>
      </c>
      <c r="E39" s="49"/>
    </row>
    <row r="40" spans="1:5" ht="14.4">
      <c r="A40" s="136">
        <v>44441</v>
      </c>
      <c r="B40" s="137">
        <v>116.78</v>
      </c>
      <c r="C40" s="133"/>
      <c r="D40" s="50">
        <f t="shared" si="0"/>
        <v>-1.0338983050847461E-2</v>
      </c>
      <c r="E40" s="49"/>
    </row>
    <row r="41" spans="1:5" ht="14.4">
      <c r="A41" s="136">
        <v>44440</v>
      </c>
      <c r="B41" s="137">
        <v>118</v>
      </c>
      <c r="C41" s="133"/>
      <c r="D41" s="50">
        <f t="shared" si="0"/>
        <v>1.9878997407087207E-2</v>
      </c>
      <c r="E41" s="49"/>
    </row>
    <row r="42" spans="1:5" ht="14.4">
      <c r="A42" s="136">
        <v>44439</v>
      </c>
      <c r="B42" s="137">
        <v>115.7</v>
      </c>
      <c r="C42" s="133"/>
      <c r="D42" s="50">
        <f t="shared" si="0"/>
        <v>7.3132509141564661E-3</v>
      </c>
      <c r="E42" s="49"/>
    </row>
    <row r="43" spans="1:5" ht="14.4">
      <c r="A43" s="136">
        <v>44438</v>
      </c>
      <c r="B43" s="137">
        <v>114.86</v>
      </c>
      <c r="C43" s="133"/>
      <c r="D43" s="50">
        <f t="shared" si="0"/>
        <v>-1.3910624239262814E-3</v>
      </c>
      <c r="E43" s="49"/>
    </row>
    <row r="44" spans="1:5" ht="14.4">
      <c r="A44" s="136">
        <v>44435</v>
      </c>
      <c r="B44" s="137">
        <v>115.02</v>
      </c>
      <c r="C44" s="133"/>
      <c r="D44" s="50">
        <f t="shared" si="0"/>
        <v>1.7391304347813552E-4</v>
      </c>
      <c r="E44" s="49"/>
    </row>
    <row r="45" spans="1:5" ht="14.4">
      <c r="A45" s="136">
        <v>44434</v>
      </c>
      <c r="B45" s="137">
        <v>115</v>
      </c>
      <c r="C45" s="133"/>
      <c r="D45" s="50">
        <f t="shared" si="0"/>
        <v>-7.9365079365079083E-3</v>
      </c>
      <c r="E45" s="49"/>
    </row>
    <row r="46" spans="1:5" ht="14.4">
      <c r="A46" s="136">
        <v>44433</v>
      </c>
      <c r="B46" s="137">
        <v>115.92</v>
      </c>
      <c r="C46" s="133"/>
      <c r="D46" s="50">
        <f t="shared" si="0"/>
        <v>2.1681649920676893E-2</v>
      </c>
      <c r="E46" s="49"/>
    </row>
    <row r="47" spans="1:5" ht="14.4">
      <c r="A47" s="136">
        <v>44432</v>
      </c>
      <c r="B47" s="137">
        <v>113.46</v>
      </c>
      <c r="C47" s="133"/>
      <c r="D47" s="50">
        <f t="shared" si="0"/>
        <v>1.5574650912996812E-2</v>
      </c>
      <c r="E47" s="49"/>
    </row>
    <row r="48" spans="1:5" ht="14.4">
      <c r="A48" s="136">
        <v>44431</v>
      </c>
      <c r="B48" s="137">
        <v>111.72</v>
      </c>
      <c r="C48" s="133"/>
      <c r="D48" s="50">
        <f t="shared" si="0"/>
        <v>1.1223750905141161E-2</v>
      </c>
      <c r="E48" s="49"/>
    </row>
    <row r="49" spans="1:5" ht="14.4">
      <c r="A49" s="136">
        <v>44428</v>
      </c>
      <c r="B49" s="137">
        <v>110.48</v>
      </c>
      <c r="C49" s="133"/>
      <c r="D49" s="50">
        <f t="shared" si="0"/>
        <v>3.9985459832787562E-3</v>
      </c>
      <c r="E49" s="49"/>
    </row>
    <row r="50" spans="1:5" ht="14.4">
      <c r="A50" s="136">
        <v>44427</v>
      </c>
      <c r="B50" s="137">
        <v>110.04</v>
      </c>
      <c r="C50" s="133"/>
      <c r="D50" s="50">
        <f t="shared" si="0"/>
        <v>-3.1508537229360978E-2</v>
      </c>
      <c r="E50" s="49"/>
    </row>
    <row r="51" spans="1:5" ht="14.4">
      <c r="A51" s="136">
        <v>44426</v>
      </c>
      <c r="B51" s="137">
        <v>113.62</v>
      </c>
      <c r="C51" s="133"/>
      <c r="D51" s="50">
        <f t="shared" si="0"/>
        <v>7.0459749867879395E-4</v>
      </c>
      <c r="E51" s="49"/>
    </row>
    <row r="52" spans="1:5" ht="14.4">
      <c r="A52" s="136">
        <v>44425</v>
      </c>
      <c r="B52" s="137">
        <v>113.54</v>
      </c>
      <c r="C52" s="133"/>
      <c r="D52" s="50">
        <f t="shared" si="0"/>
        <v>-9.4224393648577598E-3</v>
      </c>
      <c r="E52" s="49"/>
    </row>
    <row r="53" spans="1:5" ht="14.4">
      <c r="A53" s="136">
        <v>44424</v>
      </c>
      <c r="B53" s="137">
        <v>114.62</v>
      </c>
      <c r="C53" s="133"/>
      <c r="D53" s="50">
        <f t="shared" si="0"/>
        <v>-7.103257103257099E-3</v>
      </c>
      <c r="E53" s="49"/>
    </row>
    <row r="54" spans="1:5" ht="14.4">
      <c r="A54" s="136">
        <v>44421</v>
      </c>
      <c r="B54" s="137">
        <v>115.44</v>
      </c>
      <c r="C54" s="133"/>
      <c r="D54" s="50">
        <f t="shared" si="0"/>
        <v>1.214223764093747E-3</v>
      </c>
      <c r="E54" s="49"/>
    </row>
    <row r="55" spans="1:5" ht="14.4">
      <c r="A55" s="136">
        <v>44420</v>
      </c>
      <c r="B55" s="137">
        <v>115.3</v>
      </c>
      <c r="C55" s="133"/>
      <c r="D55" s="50">
        <f t="shared" si="0"/>
        <v>-3.6294503975112802E-3</v>
      </c>
      <c r="E55" s="49"/>
    </row>
    <row r="56" spans="1:5" ht="14.4">
      <c r="A56" s="136">
        <v>44419</v>
      </c>
      <c r="B56" s="137">
        <v>115.72</v>
      </c>
      <c r="C56" s="133"/>
      <c r="D56" s="50">
        <f t="shared" si="0"/>
        <v>4.8627995831886928E-3</v>
      </c>
      <c r="E56" s="49"/>
    </row>
    <row r="57" spans="1:5" ht="14.4">
      <c r="A57" s="136">
        <v>44418</v>
      </c>
      <c r="B57" s="137">
        <v>115.16</v>
      </c>
      <c r="C57" s="133"/>
      <c r="D57" s="50">
        <f t="shared" si="0"/>
        <v>3.4855350296270071E-3</v>
      </c>
      <c r="E57" s="49"/>
    </row>
    <row r="58" spans="1:5" ht="14.4">
      <c r="A58" s="136">
        <v>44417</v>
      </c>
      <c r="B58" s="137">
        <v>114.76</v>
      </c>
      <c r="C58" s="133"/>
      <c r="D58" s="50">
        <f t="shared" si="0"/>
        <v>-1.8306244653550019E-2</v>
      </c>
      <c r="E58" s="49"/>
    </row>
    <row r="59" spans="1:5" ht="14.4">
      <c r="A59" s="136">
        <v>44414</v>
      </c>
      <c r="B59" s="137">
        <v>116.9</v>
      </c>
      <c r="C59" s="133"/>
      <c r="D59" s="50">
        <f t="shared" si="0"/>
        <v>2.2290809327847327E-3</v>
      </c>
      <c r="E59" s="49"/>
    </row>
    <row r="60" spans="1:5" ht="14.4">
      <c r="A60" s="136">
        <v>44413</v>
      </c>
      <c r="B60" s="137">
        <v>116.64</v>
      </c>
      <c r="C60" s="133"/>
      <c r="D60" s="50">
        <f t="shared" si="0"/>
        <v>1.9224047535826738E-2</v>
      </c>
      <c r="E60" s="49"/>
    </row>
    <row r="61" spans="1:5" ht="14.4">
      <c r="A61" s="136">
        <v>44412</v>
      </c>
      <c r="B61" s="137">
        <v>114.44</v>
      </c>
      <c r="C61" s="133"/>
      <c r="D61" s="50">
        <f t="shared" si="0"/>
        <v>-2.9621885345879617E-3</v>
      </c>
      <c r="E61" s="49"/>
    </row>
    <row r="62" spans="1:5" ht="14.4">
      <c r="A62" s="136">
        <v>44411</v>
      </c>
      <c r="B62" s="137">
        <v>114.78</v>
      </c>
      <c r="C62" s="133"/>
      <c r="D62" s="50">
        <f t="shared" si="0"/>
        <v>-1.7126220243192325E-2</v>
      </c>
      <c r="E62" s="49"/>
    </row>
    <row r="63" spans="1:5" ht="14.4">
      <c r="A63" s="136">
        <v>44410</v>
      </c>
      <c r="B63" s="137">
        <v>116.78</v>
      </c>
      <c r="C63" s="133"/>
      <c r="D63" s="50">
        <f t="shared" si="0"/>
        <v>9.3344857389801028E-3</v>
      </c>
      <c r="E63" s="49"/>
    </row>
    <row r="64" spans="1:5" ht="14.4">
      <c r="A64" s="136">
        <v>44407</v>
      </c>
      <c r="B64" s="137">
        <v>115.7</v>
      </c>
      <c r="C64" s="133"/>
      <c r="D64" s="50">
        <f t="shared" si="0"/>
        <v>-2.586206896551646E-3</v>
      </c>
      <c r="E64" s="49"/>
    </row>
    <row r="65" spans="1:5" ht="14.4">
      <c r="A65" s="136">
        <v>44406</v>
      </c>
      <c r="B65" s="137">
        <v>116</v>
      </c>
      <c r="C65" s="133"/>
      <c r="D65" s="50">
        <f t="shared" si="0"/>
        <v>6.0711188204682909E-3</v>
      </c>
      <c r="E65" s="49"/>
    </row>
    <row r="66" spans="1:5" ht="14.4">
      <c r="A66" s="136">
        <v>44405</v>
      </c>
      <c r="B66" s="137">
        <v>115.3</v>
      </c>
      <c r="C66" s="133"/>
      <c r="D66" s="50">
        <f t="shared" si="0"/>
        <v>2.6531339031339085E-2</v>
      </c>
      <c r="E66" s="49"/>
    </row>
    <row r="67" spans="1:5" ht="14.4">
      <c r="A67" s="136">
        <v>44404</v>
      </c>
      <c r="B67" s="137">
        <v>112.32</v>
      </c>
      <c r="C67" s="133"/>
      <c r="D67" s="50">
        <f t="shared" si="0"/>
        <v>2.8571428571428914E-3</v>
      </c>
      <c r="E67" s="49"/>
    </row>
    <row r="68" spans="1:5" ht="14.4">
      <c r="A68" s="136">
        <v>44403</v>
      </c>
      <c r="B68" s="137">
        <v>112</v>
      </c>
      <c r="C68" s="133"/>
      <c r="D68" s="50">
        <f t="shared" si="0"/>
        <v>4.484304932735439E-3</v>
      </c>
      <c r="E68" s="49"/>
    </row>
    <row r="69" spans="1:5" ht="14.4">
      <c r="A69" s="136">
        <v>44400</v>
      </c>
      <c r="B69" s="137">
        <v>111.5</v>
      </c>
      <c r="C69" s="133"/>
      <c r="D69" s="50">
        <f t="shared" si="0"/>
        <v>1.8078889700511303E-2</v>
      </c>
      <c r="E69" s="49"/>
    </row>
    <row r="70" spans="1:5" ht="14.4">
      <c r="A70" s="136">
        <v>44399</v>
      </c>
      <c r="B70" s="137">
        <v>109.52</v>
      </c>
      <c r="C70" s="133"/>
      <c r="D70" s="50">
        <f t="shared" si="0"/>
        <v>-1.0122921185827916E-2</v>
      </c>
      <c r="E70" s="49"/>
    </row>
    <row r="71" spans="1:5" ht="14.4">
      <c r="A71" s="136">
        <v>44398</v>
      </c>
      <c r="B71" s="137">
        <v>110.64</v>
      </c>
      <c r="C71" s="133"/>
      <c r="D71" s="50">
        <f t="shared" si="0"/>
        <v>4.3773584905660412E-2</v>
      </c>
      <c r="E71" s="49"/>
    </row>
    <row r="72" spans="1:5" ht="14.4">
      <c r="A72" s="136">
        <v>44397</v>
      </c>
      <c r="B72" s="137">
        <v>106</v>
      </c>
      <c r="C72" s="133"/>
      <c r="D72" s="50">
        <f t="shared" ref="D72:D135" si="1">(B72-C72)/B73-1</f>
        <v>2.3363583703417623E-2</v>
      </c>
      <c r="E72" s="49"/>
    </row>
    <row r="73" spans="1:5" ht="14.4">
      <c r="A73" s="136">
        <v>44396</v>
      </c>
      <c r="B73" s="137">
        <v>103.58</v>
      </c>
      <c r="C73" s="133"/>
      <c r="D73" s="50">
        <f t="shared" si="1"/>
        <v>-6.3810556760665271E-2</v>
      </c>
      <c r="E73" s="49"/>
    </row>
    <row r="74" spans="1:5" ht="14.4">
      <c r="A74" s="136">
        <v>44393</v>
      </c>
      <c r="B74" s="137">
        <v>110.64</v>
      </c>
      <c r="C74" s="133"/>
      <c r="D74" s="50">
        <f t="shared" si="1"/>
        <v>2.1739130434781373E-3</v>
      </c>
      <c r="E74" s="49"/>
    </row>
    <row r="75" spans="1:5" ht="14.4">
      <c r="A75" s="136">
        <v>44392</v>
      </c>
      <c r="B75" s="137">
        <v>110.4</v>
      </c>
      <c r="C75" s="133"/>
      <c r="D75" s="50">
        <f t="shared" si="1"/>
        <v>-5.2261668769147951E-3</v>
      </c>
      <c r="E75" s="49"/>
    </row>
    <row r="76" spans="1:5" ht="14.4">
      <c r="A76" s="136">
        <v>44391</v>
      </c>
      <c r="B76" s="137">
        <v>110.98</v>
      </c>
      <c r="C76" s="133"/>
      <c r="D76" s="50">
        <f t="shared" si="1"/>
        <v>-2.3372887450556767E-3</v>
      </c>
      <c r="E76" s="49"/>
    </row>
    <row r="77" spans="1:5" ht="14.4">
      <c r="A77" s="136">
        <v>44390</v>
      </c>
      <c r="B77" s="137">
        <v>111.24</v>
      </c>
      <c r="C77" s="133"/>
      <c r="D77" s="50">
        <f t="shared" si="1"/>
        <v>-8.5561497326204217E-3</v>
      </c>
      <c r="E77" s="49"/>
    </row>
    <row r="78" spans="1:5" ht="14.4">
      <c r="A78" s="136">
        <v>44389</v>
      </c>
      <c r="B78" s="137">
        <v>112.2</v>
      </c>
      <c r="C78" s="133"/>
      <c r="D78" s="50">
        <f t="shared" si="1"/>
        <v>-4.9663001064207402E-3</v>
      </c>
      <c r="E78" s="49"/>
    </row>
    <row r="79" spans="1:5" ht="14.4">
      <c r="A79" s="136">
        <v>44386</v>
      </c>
      <c r="B79" s="137">
        <v>112.76</v>
      </c>
      <c r="C79" s="133"/>
      <c r="D79" s="50">
        <f t="shared" si="1"/>
        <v>3.4305631994129504E-2</v>
      </c>
      <c r="E79" s="49"/>
    </row>
    <row r="80" spans="1:5" ht="14.4">
      <c r="A80" s="136">
        <v>44385</v>
      </c>
      <c r="B80" s="137">
        <v>109.02</v>
      </c>
      <c r="C80" s="133"/>
      <c r="D80" s="50">
        <f t="shared" si="1"/>
        <v>-7.2846476051721121E-3</v>
      </c>
      <c r="E80" s="49"/>
    </row>
    <row r="81" spans="1:5" ht="14.4">
      <c r="A81" s="136">
        <v>44384</v>
      </c>
      <c r="B81" s="137">
        <v>109.82</v>
      </c>
      <c r="C81" s="133"/>
      <c r="D81" s="50">
        <f t="shared" si="1"/>
        <v>-9.5598845598845461E-3</v>
      </c>
      <c r="E81" s="49"/>
    </row>
    <row r="82" spans="1:5" ht="14.4">
      <c r="A82" s="136">
        <v>44383</v>
      </c>
      <c r="B82" s="137">
        <v>110.88</v>
      </c>
      <c r="C82" s="133"/>
      <c r="D82" s="50">
        <f t="shared" si="1"/>
        <v>-1.945525291828798E-2</v>
      </c>
      <c r="E82" s="49"/>
    </row>
    <row r="83" spans="1:5" ht="14.4">
      <c r="A83" s="136">
        <v>44382</v>
      </c>
      <c r="B83" s="137">
        <v>113.08</v>
      </c>
      <c r="C83" s="133"/>
      <c r="D83" s="50">
        <f t="shared" si="1"/>
        <v>7.6635180894670807E-3</v>
      </c>
      <c r="E83" s="49"/>
    </row>
    <row r="84" spans="1:5" ht="14.4">
      <c r="A84" s="136">
        <v>44379</v>
      </c>
      <c r="B84" s="137">
        <v>112.22</v>
      </c>
      <c r="C84" s="133"/>
      <c r="D84" s="50">
        <f t="shared" si="1"/>
        <v>2.1110100090991679E-2</v>
      </c>
      <c r="E84" s="49"/>
    </row>
    <row r="85" spans="1:5" ht="14.4">
      <c r="A85" s="136">
        <v>44378</v>
      </c>
      <c r="B85" s="137">
        <v>109.9</v>
      </c>
      <c r="C85" s="133"/>
      <c r="D85" s="50">
        <f t="shared" si="1"/>
        <v>1.3463666543710895E-2</v>
      </c>
      <c r="E85" s="49"/>
    </row>
    <row r="86" spans="1:5" ht="14.4">
      <c r="A86" s="136">
        <v>44377</v>
      </c>
      <c r="B86" s="137">
        <v>108.44</v>
      </c>
      <c r="C86" s="133"/>
      <c r="D86" s="50">
        <f t="shared" si="1"/>
        <v>1.8407212622088664E-2</v>
      </c>
      <c r="E86" s="49"/>
    </row>
    <row r="87" spans="1:5" ht="14.4">
      <c r="A87" s="136">
        <v>44376</v>
      </c>
      <c r="B87" s="137">
        <v>106.48</v>
      </c>
      <c r="C87" s="133"/>
      <c r="D87" s="50">
        <f t="shared" si="1"/>
        <v>-5.7889822595703633E-3</v>
      </c>
      <c r="E87" s="49"/>
    </row>
    <row r="88" spans="1:5" ht="14.4">
      <c r="A88" s="136">
        <v>44375</v>
      </c>
      <c r="B88" s="137">
        <v>107.1</v>
      </c>
      <c r="C88" s="133"/>
      <c r="D88" s="50">
        <f t="shared" si="1"/>
        <v>-2.9187817258883197E-2</v>
      </c>
      <c r="E88" s="49"/>
    </row>
    <row r="89" spans="1:5" ht="14.4">
      <c r="A89" s="136">
        <v>44372</v>
      </c>
      <c r="B89" s="137">
        <v>110.32</v>
      </c>
      <c r="C89" s="133"/>
      <c r="D89" s="50">
        <f t="shared" si="1"/>
        <v>-1.4295925661186648E-2</v>
      </c>
      <c r="E89" s="49"/>
    </row>
    <row r="90" spans="1:5" ht="14.4">
      <c r="A90" s="136">
        <v>44371</v>
      </c>
      <c r="B90" s="137">
        <v>111.92</v>
      </c>
      <c r="C90" s="133"/>
      <c r="D90" s="50">
        <f t="shared" si="1"/>
        <v>5.5705300988320161E-3</v>
      </c>
      <c r="E90" s="49"/>
    </row>
    <row r="91" spans="1:5" ht="14.4">
      <c r="A91" s="136">
        <v>44370</v>
      </c>
      <c r="B91" s="137">
        <v>111.3</v>
      </c>
      <c r="C91" s="133"/>
      <c r="D91" s="50">
        <f t="shared" si="1"/>
        <v>-1.1896306818181879E-2</v>
      </c>
      <c r="E91" s="49"/>
    </row>
    <row r="92" spans="1:5" ht="14.4">
      <c r="A92" s="136">
        <v>44369</v>
      </c>
      <c r="B92" s="137">
        <v>112.64</v>
      </c>
      <c r="C92" s="133"/>
      <c r="D92" s="50">
        <f t="shared" si="1"/>
        <v>-2.4796315975912364E-3</v>
      </c>
      <c r="E92" s="49"/>
    </row>
    <row r="93" spans="1:5" ht="14.4">
      <c r="A93" s="136">
        <v>44368</v>
      </c>
      <c r="B93" s="137">
        <v>112.92</v>
      </c>
      <c r="C93" s="133"/>
      <c r="D93" s="50">
        <f t="shared" si="1"/>
        <v>1.7743080198722172E-3</v>
      </c>
      <c r="E93" s="49"/>
    </row>
    <row r="94" spans="1:5" ht="14.4">
      <c r="A94" s="136">
        <v>44365</v>
      </c>
      <c r="B94" s="137">
        <v>112.72</v>
      </c>
      <c r="C94" s="133"/>
      <c r="D94" s="50">
        <f t="shared" si="1"/>
        <v>-1.6404886561954601E-2</v>
      </c>
      <c r="E94" s="49"/>
    </row>
    <row r="95" spans="1:5" ht="14.4">
      <c r="A95" s="136">
        <v>44364</v>
      </c>
      <c r="B95" s="137">
        <v>114.6</v>
      </c>
      <c r="C95" s="133"/>
      <c r="D95" s="50">
        <f t="shared" si="1"/>
        <v>4.5582047685834848E-3</v>
      </c>
      <c r="E95" s="49"/>
    </row>
    <row r="96" spans="1:5" ht="14.4">
      <c r="A96" s="136">
        <v>44363</v>
      </c>
      <c r="B96" s="137">
        <v>114.08</v>
      </c>
      <c r="C96" s="133"/>
      <c r="D96" s="50">
        <f t="shared" si="1"/>
        <v>7.9519349708427889E-3</v>
      </c>
      <c r="E96" s="49"/>
    </row>
    <row r="97" spans="1:5" ht="14.4">
      <c r="A97" s="136">
        <v>44362</v>
      </c>
      <c r="B97" s="137">
        <v>113.18</v>
      </c>
      <c r="C97" s="133"/>
      <c r="D97" s="50">
        <f t="shared" si="1"/>
        <v>6.9395017793594249E-3</v>
      </c>
      <c r="E97" s="49"/>
    </row>
    <row r="98" spans="1:5" ht="14.4">
      <c r="A98" s="136">
        <v>44361</v>
      </c>
      <c r="B98" s="137">
        <v>112.4</v>
      </c>
      <c r="C98" s="133"/>
      <c r="D98" s="50">
        <f t="shared" si="1"/>
        <v>3.5599857600576712E-4</v>
      </c>
      <c r="E98" s="49"/>
    </row>
    <row r="99" spans="1:5" ht="14.4">
      <c r="A99" s="136">
        <v>44358</v>
      </c>
      <c r="B99" s="137">
        <v>112.36</v>
      </c>
      <c r="C99" s="133"/>
      <c r="D99" s="50">
        <f t="shared" si="1"/>
        <v>1.6648570394498741E-2</v>
      </c>
      <c r="E99" s="49"/>
    </row>
    <row r="100" spans="1:5" ht="14.4">
      <c r="A100" s="136">
        <v>44357</v>
      </c>
      <c r="B100" s="137">
        <v>110.52</v>
      </c>
      <c r="C100" s="133"/>
      <c r="D100" s="50">
        <f t="shared" si="1"/>
        <v>-7.2332730560575875E-4</v>
      </c>
      <c r="E100" s="49"/>
    </row>
    <row r="101" spans="1:5" ht="14.4">
      <c r="A101" s="136">
        <v>44356</v>
      </c>
      <c r="B101" s="137">
        <v>110.6</v>
      </c>
      <c r="C101" s="133"/>
      <c r="D101" s="50">
        <f t="shared" si="1"/>
        <v>9.0497737556560764E-4</v>
      </c>
      <c r="E101" s="49"/>
    </row>
    <row r="102" spans="1:5" ht="14.4">
      <c r="A102" s="136">
        <v>44355</v>
      </c>
      <c r="B102" s="137">
        <v>110.5</v>
      </c>
      <c r="C102" s="133"/>
      <c r="D102" s="50">
        <f t="shared" si="1"/>
        <v>-7.3661516349262657E-3</v>
      </c>
      <c r="E102" s="49"/>
    </row>
    <row r="103" spans="1:5" ht="14.4">
      <c r="A103" s="136">
        <v>44354</v>
      </c>
      <c r="B103" s="137">
        <v>111.32</v>
      </c>
      <c r="C103" s="133"/>
      <c r="D103" s="50">
        <f t="shared" si="1"/>
        <v>1.2736535662299708E-2</v>
      </c>
      <c r="E103" s="49"/>
    </row>
    <row r="104" spans="1:5" ht="14.4">
      <c r="A104" s="136">
        <v>44351</v>
      </c>
      <c r="B104" s="137">
        <v>109.92</v>
      </c>
      <c r="C104" s="133"/>
      <c r="D104" s="50">
        <f t="shared" si="1"/>
        <v>1.2752778283839916E-3</v>
      </c>
      <c r="E104" s="49"/>
    </row>
    <row r="105" spans="1:5" ht="14.4">
      <c r="A105" s="136">
        <v>44350</v>
      </c>
      <c r="B105" s="137">
        <v>109.78</v>
      </c>
      <c r="C105" s="133"/>
      <c r="D105" s="50">
        <f t="shared" si="1"/>
        <v>-8.3107497741644609E-3</v>
      </c>
      <c r="E105" s="49"/>
    </row>
    <row r="106" spans="1:5" ht="14.4">
      <c r="A106" s="136">
        <v>44349</v>
      </c>
      <c r="B106" s="137">
        <v>110.7</v>
      </c>
      <c r="C106" s="133"/>
      <c r="D106" s="50">
        <f t="shared" si="1"/>
        <v>1.7837440235380697E-2</v>
      </c>
      <c r="E106" s="49"/>
    </row>
    <row r="107" spans="1:5" ht="14.4">
      <c r="A107" s="136">
        <v>44348</v>
      </c>
      <c r="B107" s="137">
        <v>108.76</v>
      </c>
      <c r="C107" s="133"/>
      <c r="D107" s="50">
        <f t="shared" si="1"/>
        <v>1.9688730545659228E-2</v>
      </c>
      <c r="E107" s="49"/>
    </row>
    <row r="108" spans="1:5" ht="14.4">
      <c r="A108" s="136">
        <v>44347</v>
      </c>
      <c r="B108" s="137">
        <v>106.66</v>
      </c>
      <c r="C108" s="133"/>
      <c r="D108" s="50">
        <f t="shared" si="1"/>
        <v>-1.2407407407407423E-2</v>
      </c>
      <c r="E108" s="49"/>
    </row>
    <row r="109" spans="1:5" ht="14.4">
      <c r="A109" s="136">
        <v>44344</v>
      </c>
      <c r="B109" s="137">
        <v>108</v>
      </c>
      <c r="C109" s="133"/>
      <c r="D109" s="50">
        <f t="shared" si="1"/>
        <v>1.2373453318335059E-2</v>
      </c>
      <c r="E109" s="49"/>
    </row>
    <row r="110" spans="1:5" ht="14.4">
      <c r="A110" s="136">
        <v>44343</v>
      </c>
      <c r="B110" s="137">
        <v>106.68</v>
      </c>
      <c r="C110" s="133"/>
      <c r="D110" s="50">
        <f t="shared" si="1"/>
        <v>9.2249411282891325E-2</v>
      </c>
      <c r="E110" s="49"/>
    </row>
    <row r="111" spans="1:5" ht="14.4">
      <c r="A111" s="136">
        <v>44342</v>
      </c>
      <c r="B111" s="137">
        <v>97.67</v>
      </c>
      <c r="C111" s="133"/>
      <c r="D111" s="50">
        <f t="shared" si="1"/>
        <v>5.4560428247889536E-3</v>
      </c>
      <c r="E111" s="49"/>
    </row>
    <row r="112" spans="1:5" ht="14.4">
      <c r="A112" s="136">
        <v>44341</v>
      </c>
      <c r="B112" s="137">
        <v>97.14</v>
      </c>
      <c r="C112" s="133"/>
      <c r="D112" s="50">
        <f t="shared" si="1"/>
        <v>-1.1398330958681147E-2</v>
      </c>
      <c r="E112" s="49"/>
    </row>
    <row r="113" spans="1:5" ht="14.4">
      <c r="A113" s="136">
        <v>44340</v>
      </c>
      <c r="B113" s="137">
        <v>98.26</v>
      </c>
      <c r="C113" s="133"/>
      <c r="D113" s="50">
        <f t="shared" si="1"/>
        <v>3.5747114697171067E-3</v>
      </c>
      <c r="E113" s="49"/>
    </row>
    <row r="114" spans="1:5" ht="14.4">
      <c r="A114" s="136">
        <v>44337</v>
      </c>
      <c r="B114" s="137">
        <v>97.91</v>
      </c>
      <c r="C114" s="133"/>
      <c r="D114" s="50">
        <f t="shared" si="1"/>
        <v>1.4506268780437148E-2</v>
      </c>
      <c r="E114" s="49"/>
    </row>
    <row r="115" spans="1:5" ht="14.4">
      <c r="A115" s="136">
        <v>44336</v>
      </c>
      <c r="B115" s="137">
        <v>96.51</v>
      </c>
      <c r="C115" s="133"/>
      <c r="D115" s="50">
        <f t="shared" si="1"/>
        <v>1.5253524090048431E-2</v>
      </c>
      <c r="E115" s="49"/>
    </row>
    <row r="116" spans="1:5" ht="14.4">
      <c r="A116" s="136">
        <v>44335</v>
      </c>
      <c r="B116" s="137">
        <v>95.06</v>
      </c>
      <c r="C116" s="133"/>
      <c r="D116" s="50">
        <f t="shared" si="1"/>
        <v>-2.1412394482190678E-2</v>
      </c>
      <c r="E116" s="49"/>
    </row>
    <row r="117" spans="1:5" ht="14.4">
      <c r="A117" s="136">
        <v>44334</v>
      </c>
      <c r="B117" s="137">
        <v>97.14</v>
      </c>
      <c r="C117" s="133"/>
      <c r="D117" s="50">
        <f t="shared" si="1"/>
        <v>2.4767801857583649E-3</v>
      </c>
      <c r="E117" s="49"/>
    </row>
    <row r="118" spans="1:5" ht="14.4">
      <c r="A118" s="136">
        <v>44333</v>
      </c>
      <c r="B118" s="137">
        <v>96.9</v>
      </c>
      <c r="C118" s="133"/>
      <c r="D118" s="50">
        <f t="shared" si="1"/>
        <v>-2.6815305815004353E-2</v>
      </c>
      <c r="E118" s="49"/>
    </row>
    <row r="119" spans="1:5" ht="14.4">
      <c r="A119" s="136">
        <v>44330</v>
      </c>
      <c r="B119" s="137">
        <v>99.57</v>
      </c>
      <c r="C119" s="133"/>
      <c r="D119" s="50">
        <f t="shared" si="1"/>
        <v>3.7187499999999929E-2</v>
      </c>
      <c r="E119" s="49"/>
    </row>
    <row r="120" spans="1:5" ht="14.4">
      <c r="A120" s="136">
        <v>44329</v>
      </c>
      <c r="B120" s="137">
        <v>96</v>
      </c>
      <c r="C120" s="133"/>
      <c r="D120" s="50">
        <f t="shared" si="1"/>
        <v>-5.7995028997515075E-3</v>
      </c>
      <c r="E120" s="49"/>
    </row>
    <row r="121" spans="1:5" ht="14.4">
      <c r="A121" s="136">
        <v>44328</v>
      </c>
      <c r="B121" s="137">
        <v>96.56</v>
      </c>
      <c r="C121" s="133"/>
      <c r="D121" s="50">
        <f t="shared" si="1"/>
        <v>6.8821689259646046E-3</v>
      </c>
      <c r="E121" s="49"/>
    </row>
    <row r="122" spans="1:5" ht="14.4">
      <c r="A122" s="136">
        <v>44327</v>
      </c>
      <c r="B122" s="137">
        <v>95.9</v>
      </c>
      <c r="C122" s="133"/>
      <c r="D122" s="50">
        <f t="shared" si="1"/>
        <v>-2.5010166734444783E-2</v>
      </c>
      <c r="E122" s="49"/>
    </row>
    <row r="123" spans="1:5" ht="14.4">
      <c r="A123" s="136">
        <v>44326</v>
      </c>
      <c r="B123" s="137">
        <v>98.36</v>
      </c>
      <c r="C123" s="133"/>
      <c r="D123" s="50">
        <f t="shared" si="1"/>
        <v>-1.0165700925079957E-4</v>
      </c>
      <c r="E123" s="49"/>
    </row>
    <row r="124" spans="1:5" ht="14.4">
      <c r="A124" s="136">
        <v>44323</v>
      </c>
      <c r="B124" s="137">
        <v>98.37</v>
      </c>
      <c r="C124" s="133"/>
      <c r="D124" s="50">
        <f t="shared" si="1"/>
        <v>1.6744186046511622E-2</v>
      </c>
      <c r="E124" s="49"/>
    </row>
    <row r="125" spans="1:5" ht="14.4">
      <c r="A125" s="136">
        <v>44322</v>
      </c>
      <c r="B125" s="137">
        <v>96.75</v>
      </c>
      <c r="C125" s="133"/>
      <c r="D125" s="50">
        <f t="shared" si="1"/>
        <v>1.8639328984157988E-3</v>
      </c>
      <c r="E125" s="49"/>
    </row>
    <row r="126" spans="1:5" ht="14.4">
      <c r="A126" s="136">
        <v>44321</v>
      </c>
      <c r="B126" s="137">
        <v>96.57</v>
      </c>
      <c r="C126" s="133"/>
      <c r="D126" s="50">
        <f t="shared" si="1"/>
        <v>-1.6540887005066507E-3</v>
      </c>
      <c r="E126" s="49"/>
    </row>
    <row r="127" spans="1:5" ht="14.4">
      <c r="A127" s="136">
        <v>44320</v>
      </c>
      <c r="B127" s="137">
        <v>96.73</v>
      </c>
      <c r="C127" s="133"/>
      <c r="D127" s="50">
        <f t="shared" si="1"/>
        <v>-3.1828645781203035E-2</v>
      </c>
      <c r="E127" s="49"/>
    </row>
    <row r="128" spans="1:5" ht="14.4">
      <c r="A128" s="136">
        <v>44319</v>
      </c>
      <c r="B128" s="137">
        <v>99.91</v>
      </c>
      <c r="C128" s="133"/>
      <c r="D128" s="50">
        <f t="shared" si="1"/>
        <v>-3.0018010806487361E-4</v>
      </c>
      <c r="E128" s="49"/>
    </row>
    <row r="129" spans="1:5" ht="14.4">
      <c r="A129" s="136">
        <v>44316</v>
      </c>
      <c r="B129" s="137">
        <v>99.94</v>
      </c>
      <c r="C129" s="133"/>
      <c r="D129" s="50">
        <f t="shared" si="1"/>
        <v>-6.0000000000004494E-4</v>
      </c>
      <c r="E129" s="49"/>
    </row>
    <row r="130" spans="1:5" ht="14.4">
      <c r="A130" s="136">
        <v>44315</v>
      </c>
      <c r="B130" s="137">
        <v>100</v>
      </c>
      <c r="C130" s="133"/>
      <c r="D130" s="50">
        <f t="shared" si="1"/>
        <v>7.0493454179254567E-3</v>
      </c>
      <c r="E130" s="49"/>
    </row>
    <row r="131" spans="1:5" ht="14.4">
      <c r="A131" s="136">
        <v>44314</v>
      </c>
      <c r="B131" s="137">
        <v>99.3</v>
      </c>
      <c r="C131" s="133"/>
      <c r="D131" s="50">
        <f t="shared" si="1"/>
        <v>-4.9103116544745307E-3</v>
      </c>
      <c r="E131" s="49"/>
    </row>
    <row r="132" spans="1:5" ht="14.4">
      <c r="A132" s="136">
        <v>44313</v>
      </c>
      <c r="B132" s="137">
        <v>99.79</v>
      </c>
      <c r="C132" s="133"/>
      <c r="D132" s="50">
        <f t="shared" si="1"/>
        <v>-1.4322402212564089E-2</v>
      </c>
      <c r="E132" s="49"/>
    </row>
    <row r="133" spans="1:5" ht="14.4">
      <c r="A133" s="136">
        <v>44312</v>
      </c>
      <c r="B133" s="137">
        <v>101.24</v>
      </c>
      <c r="C133" s="133"/>
      <c r="D133" s="50">
        <f t="shared" si="1"/>
        <v>2.8234816169002697E-2</v>
      </c>
      <c r="E133" s="49"/>
    </row>
    <row r="134" spans="1:5" ht="14.4">
      <c r="A134" s="136">
        <v>44309</v>
      </c>
      <c r="B134" s="137">
        <v>98.46</v>
      </c>
      <c r="C134" s="133"/>
      <c r="D134" s="50">
        <f t="shared" si="1"/>
        <v>-1.2536355430749158E-2</v>
      </c>
      <c r="E134" s="49"/>
    </row>
    <row r="135" spans="1:5" ht="14.4">
      <c r="A135" s="136">
        <v>44308</v>
      </c>
      <c r="B135" s="137">
        <v>99.71</v>
      </c>
      <c r="C135" s="133"/>
      <c r="D135" s="50">
        <f t="shared" si="1"/>
        <v>2.0259899723728436E-2</v>
      </c>
      <c r="E135" s="49"/>
    </row>
    <row r="136" spans="1:5" ht="14.4">
      <c r="A136" s="136">
        <v>44307</v>
      </c>
      <c r="B136" s="137">
        <v>97.73</v>
      </c>
      <c r="C136" s="133"/>
      <c r="D136" s="50">
        <f t="shared" ref="D136:D199" si="2">(B136-C136)/B137-1</f>
        <v>-2.1441698999387082E-3</v>
      </c>
      <c r="E136" s="49"/>
    </row>
    <row r="137" spans="1:5" ht="14.4">
      <c r="A137" s="136">
        <v>44306</v>
      </c>
      <c r="B137" s="137">
        <v>97.94</v>
      </c>
      <c r="C137" s="133"/>
      <c r="D137" s="50">
        <f t="shared" si="2"/>
        <v>-4.6348588120740053E-2</v>
      </c>
      <c r="E137" s="49"/>
    </row>
    <row r="138" spans="1:5" ht="14.4">
      <c r="A138" s="136">
        <v>44305</v>
      </c>
      <c r="B138" s="137">
        <v>102.7</v>
      </c>
      <c r="C138" s="133"/>
      <c r="D138" s="50">
        <f t="shared" si="2"/>
        <v>-9.4521604938272441E-3</v>
      </c>
      <c r="E138" s="49"/>
    </row>
    <row r="139" spans="1:5" ht="14.4">
      <c r="A139" s="136">
        <v>44302</v>
      </c>
      <c r="B139" s="137">
        <v>103.68</v>
      </c>
      <c r="C139" s="133"/>
      <c r="D139" s="50">
        <f t="shared" si="2"/>
        <v>8.168028004667427E-3</v>
      </c>
      <c r="E139" s="49"/>
    </row>
    <row r="140" spans="1:5" ht="14.4">
      <c r="A140" s="136">
        <v>44301</v>
      </c>
      <c r="B140" s="137">
        <v>102.84</v>
      </c>
      <c r="C140" s="133"/>
      <c r="D140" s="50">
        <f t="shared" si="2"/>
        <v>2.6142486529634912E-2</v>
      </c>
      <c r="E140" s="49"/>
    </row>
    <row r="141" spans="1:5" ht="14.4">
      <c r="A141" s="136">
        <v>44300</v>
      </c>
      <c r="B141" s="137">
        <v>100.22</v>
      </c>
      <c r="C141" s="133"/>
      <c r="D141" s="50">
        <f t="shared" si="2"/>
        <v>1.8495934959349425E-2</v>
      </c>
      <c r="E141" s="49"/>
    </row>
    <row r="142" spans="1:5" ht="14.4">
      <c r="A142" s="136">
        <v>44299</v>
      </c>
      <c r="B142" s="137">
        <v>98.4</v>
      </c>
      <c r="C142" s="133"/>
      <c r="D142" s="50">
        <f t="shared" si="2"/>
        <v>-1.501501501501501E-2</v>
      </c>
      <c r="E142" s="49"/>
    </row>
    <row r="143" spans="1:5" ht="14.4">
      <c r="A143" s="136">
        <v>44298</v>
      </c>
      <c r="B143" s="137">
        <v>99.9</v>
      </c>
      <c r="C143" s="133"/>
      <c r="D143" s="50">
        <f t="shared" si="2"/>
        <v>-1.186943620178027E-2</v>
      </c>
      <c r="E143" s="49"/>
    </row>
    <row r="144" spans="1:5" ht="14.4">
      <c r="A144" s="136">
        <v>44295</v>
      </c>
      <c r="B144" s="137">
        <v>101.1</v>
      </c>
      <c r="C144" s="133"/>
      <c r="D144" s="50">
        <f t="shared" si="2"/>
        <v>2.9761904761904656E-3</v>
      </c>
      <c r="E144" s="49"/>
    </row>
    <row r="145" spans="1:5" ht="14.4">
      <c r="A145" s="136">
        <v>44294</v>
      </c>
      <c r="B145" s="137">
        <v>100.8</v>
      </c>
      <c r="C145" s="133"/>
      <c r="D145" s="50">
        <f t="shared" si="2"/>
        <v>2.5860354087923199E-3</v>
      </c>
      <c r="E145" s="49"/>
    </row>
    <row r="146" spans="1:5" ht="14.4">
      <c r="A146" s="136">
        <v>44293</v>
      </c>
      <c r="B146" s="137">
        <v>100.54</v>
      </c>
      <c r="C146" s="133"/>
      <c r="D146" s="50">
        <f t="shared" si="2"/>
        <v>-1.5888778550148253E-3</v>
      </c>
      <c r="E146" s="49"/>
    </row>
    <row r="147" spans="1:5" ht="14.4">
      <c r="A147" s="136">
        <v>44292</v>
      </c>
      <c r="B147" s="137">
        <v>100.7</v>
      </c>
      <c r="C147" s="133"/>
      <c r="D147" s="50">
        <f t="shared" si="2"/>
        <v>2.7882891854211778E-3</v>
      </c>
      <c r="E147" s="49"/>
    </row>
    <row r="148" spans="1:5" ht="14.4">
      <c r="A148" s="136">
        <v>44287</v>
      </c>
      <c r="B148" s="137">
        <v>100.42</v>
      </c>
      <c r="C148" s="133"/>
      <c r="D148" s="50">
        <f t="shared" si="2"/>
        <v>4.0190594572198091E-2</v>
      </c>
      <c r="E148" s="49"/>
    </row>
    <row r="149" spans="1:5" ht="14.4">
      <c r="A149" s="136">
        <v>44286</v>
      </c>
      <c r="B149" s="137">
        <v>96.54</v>
      </c>
      <c r="C149" s="133"/>
      <c r="D149" s="50">
        <f t="shared" si="2"/>
        <v>-1.1873080859774787E-2</v>
      </c>
      <c r="E149" s="49"/>
    </row>
    <row r="150" spans="1:5" ht="14.4">
      <c r="A150" s="136">
        <v>44285</v>
      </c>
      <c r="B150" s="137">
        <v>97.7</v>
      </c>
      <c r="C150" s="133"/>
      <c r="D150" s="50">
        <f t="shared" si="2"/>
        <v>3.0800821355236874E-3</v>
      </c>
      <c r="E150" s="49"/>
    </row>
    <row r="151" spans="1:5" ht="14.4">
      <c r="A151" s="136">
        <v>44284</v>
      </c>
      <c r="B151" s="137">
        <v>97.4</v>
      </c>
      <c r="C151" s="133"/>
      <c r="D151" s="50">
        <f t="shared" si="2"/>
        <v>-2.866502866502918E-3</v>
      </c>
      <c r="E151" s="49"/>
    </row>
    <row r="152" spans="1:5" ht="14.4">
      <c r="A152" s="136">
        <v>44281</v>
      </c>
      <c r="B152" s="137">
        <v>97.68</v>
      </c>
      <c r="C152" s="133"/>
      <c r="D152" s="50">
        <f t="shared" si="2"/>
        <v>1.233288423670853E-2</v>
      </c>
      <c r="E152" s="49"/>
    </row>
    <row r="153" spans="1:5" ht="14.4">
      <c r="A153" s="136">
        <v>44280</v>
      </c>
      <c r="B153" s="137">
        <v>96.49</v>
      </c>
      <c r="C153" s="133"/>
      <c r="D153" s="50">
        <f t="shared" si="2"/>
        <v>5.4183599041366381E-3</v>
      </c>
      <c r="E153" s="49"/>
    </row>
    <row r="154" spans="1:5" ht="14.4">
      <c r="A154" s="136">
        <v>44279</v>
      </c>
      <c r="B154" s="137">
        <v>95.97</v>
      </c>
      <c r="C154" s="133"/>
      <c r="D154" s="50">
        <f t="shared" si="2"/>
        <v>7.9823547946644702E-3</v>
      </c>
      <c r="E154" s="49"/>
    </row>
    <row r="155" spans="1:5" ht="14.4">
      <c r="A155" s="136">
        <v>44278</v>
      </c>
      <c r="B155" s="137">
        <v>95.21</v>
      </c>
      <c r="C155" s="133"/>
      <c r="D155" s="50">
        <f t="shared" si="2"/>
        <v>-1.9161429895951376E-2</v>
      </c>
      <c r="E155" s="49"/>
    </row>
    <row r="156" spans="1:5" ht="14.4">
      <c r="A156" s="136">
        <v>44277</v>
      </c>
      <c r="B156" s="137">
        <v>97.07</v>
      </c>
      <c r="C156" s="133"/>
      <c r="D156" s="50">
        <f t="shared" si="2"/>
        <v>-2.7737826176290614E-3</v>
      </c>
      <c r="E156" s="49"/>
    </row>
    <row r="157" spans="1:5" ht="14.4">
      <c r="A157" s="136">
        <v>44274</v>
      </c>
      <c r="B157" s="137">
        <v>97.34</v>
      </c>
      <c r="C157" s="133"/>
      <c r="D157" s="50">
        <f t="shared" si="2"/>
        <v>-3.7190900098911905E-2</v>
      </c>
      <c r="E157" s="49"/>
    </row>
    <row r="158" spans="1:5" ht="14.4">
      <c r="A158" s="136">
        <v>44273</v>
      </c>
      <c r="B158" s="137">
        <v>101.1</v>
      </c>
      <c r="C158" s="133"/>
      <c r="D158" s="50">
        <f t="shared" si="2"/>
        <v>9.9009900990099098E-4</v>
      </c>
      <c r="E158" s="49"/>
    </row>
    <row r="159" spans="1:5" ht="14.4">
      <c r="A159" s="136">
        <v>44272</v>
      </c>
      <c r="B159" s="137">
        <v>101</v>
      </c>
      <c r="C159" s="133"/>
      <c r="D159" s="50">
        <f t="shared" si="2"/>
        <v>-7.6635881312635545E-3</v>
      </c>
      <c r="E159" s="49"/>
    </row>
    <row r="160" spans="1:5" ht="14.4">
      <c r="A160" s="136">
        <v>44271</v>
      </c>
      <c r="B160" s="137">
        <v>101.78</v>
      </c>
      <c r="C160" s="133"/>
      <c r="D160" s="50">
        <f t="shared" si="2"/>
        <v>1.7800000000000038E-2</v>
      </c>
      <c r="E160" s="49"/>
    </row>
    <row r="161" spans="1:5" ht="14.4">
      <c r="A161" s="136">
        <v>44270</v>
      </c>
      <c r="B161" s="137">
        <v>100</v>
      </c>
      <c r="C161" s="133"/>
      <c r="D161" s="50">
        <f t="shared" si="2"/>
        <v>0</v>
      </c>
      <c r="E161" s="49"/>
    </row>
    <row r="162" spans="1:5" ht="14.4">
      <c r="A162" s="136">
        <v>44267</v>
      </c>
      <c r="B162" s="137">
        <v>100</v>
      </c>
      <c r="C162" s="133"/>
      <c r="D162" s="50">
        <f t="shared" si="2"/>
        <v>8.7763542822556495E-3</v>
      </c>
      <c r="E162" s="49"/>
    </row>
    <row r="163" spans="1:5" ht="14.4">
      <c r="A163" s="136">
        <v>44266</v>
      </c>
      <c r="B163" s="137">
        <v>99.13</v>
      </c>
      <c r="C163" s="133"/>
      <c r="D163" s="50">
        <f t="shared" si="2"/>
        <v>1.4142842711384329E-3</v>
      </c>
      <c r="E163" s="49"/>
    </row>
    <row r="164" spans="1:5" ht="14.4">
      <c r="A164" s="136">
        <v>44265</v>
      </c>
      <c r="B164" s="137">
        <v>98.99</v>
      </c>
      <c r="C164" s="133"/>
      <c r="D164" s="50">
        <f t="shared" si="2"/>
        <v>-1.2667065629363705E-2</v>
      </c>
      <c r="E164" s="49"/>
    </row>
    <row r="165" spans="1:5" ht="14.4">
      <c r="A165" s="136">
        <v>44264</v>
      </c>
      <c r="B165" s="137">
        <v>100.26</v>
      </c>
      <c r="C165" s="133"/>
      <c r="D165" s="50">
        <f t="shared" si="2"/>
        <v>-2.5865499403102676E-3</v>
      </c>
      <c r="E165" s="49"/>
    </row>
    <row r="166" spans="1:5" ht="14.4">
      <c r="A166" s="136">
        <v>44263</v>
      </c>
      <c r="B166" s="137">
        <v>100.52</v>
      </c>
      <c r="C166" s="133"/>
      <c r="D166" s="50">
        <f t="shared" si="2"/>
        <v>5.3447914483336856E-2</v>
      </c>
      <c r="E166" s="49"/>
    </row>
    <row r="167" spans="1:5" ht="14.4">
      <c r="A167" s="136">
        <v>44260</v>
      </c>
      <c r="B167" s="137">
        <v>95.42</v>
      </c>
      <c r="C167" s="133"/>
      <c r="D167" s="50">
        <f t="shared" si="2"/>
        <v>-4.8654037886340928E-2</v>
      </c>
      <c r="E167" s="49"/>
    </row>
    <row r="168" spans="1:5" ht="14.4">
      <c r="A168" s="136">
        <v>44259</v>
      </c>
      <c r="B168" s="137">
        <v>100.3</v>
      </c>
      <c r="C168" s="133"/>
      <c r="D168" s="50">
        <f t="shared" si="2"/>
        <v>-1.5926737009754888E-3</v>
      </c>
      <c r="E168" s="49"/>
    </row>
    <row r="169" spans="1:5" ht="14.4">
      <c r="A169" s="136">
        <v>44258</v>
      </c>
      <c r="B169" s="137">
        <v>100.46</v>
      </c>
      <c r="C169" s="133"/>
      <c r="D169" s="50">
        <f t="shared" si="2"/>
        <v>1.3723511604439853E-2</v>
      </c>
      <c r="E169" s="49"/>
    </row>
    <row r="170" spans="1:5" ht="14.4">
      <c r="A170" s="136">
        <v>44257</v>
      </c>
      <c r="B170" s="137">
        <v>99.1</v>
      </c>
      <c r="C170" s="133"/>
      <c r="D170" s="50">
        <f t="shared" si="2"/>
        <v>-1.5693285657528921E-2</v>
      </c>
      <c r="E170" s="49"/>
    </row>
    <row r="171" spans="1:5" ht="14.4">
      <c r="A171" s="136">
        <v>44256</v>
      </c>
      <c r="B171" s="137">
        <v>100.68</v>
      </c>
      <c r="C171" s="133"/>
      <c r="D171" s="50">
        <f t="shared" si="2"/>
        <v>4.973412574288405E-2</v>
      </c>
      <c r="E171" s="49"/>
    </row>
    <row r="172" spans="1:5" ht="14.4">
      <c r="A172" s="136">
        <v>44253</v>
      </c>
      <c r="B172" s="137">
        <v>95.91</v>
      </c>
      <c r="C172" s="133"/>
      <c r="D172" s="50">
        <f t="shared" si="2"/>
        <v>-3.0526634994440638E-2</v>
      </c>
      <c r="E172" s="49"/>
    </row>
    <row r="173" spans="1:5" ht="14.4">
      <c r="A173" s="136">
        <v>44252</v>
      </c>
      <c r="B173" s="137">
        <v>98.93</v>
      </c>
      <c r="C173" s="133"/>
      <c r="D173" s="50">
        <f t="shared" si="2"/>
        <v>-3.6896417445482776E-2</v>
      </c>
      <c r="E173" s="49"/>
    </row>
    <row r="174" spans="1:5" ht="14.4">
      <c r="A174" s="136">
        <v>44251</v>
      </c>
      <c r="B174" s="137">
        <v>102.72</v>
      </c>
      <c r="C174" s="133"/>
      <c r="D174" s="50">
        <f t="shared" si="2"/>
        <v>3.8100050530570861E-2</v>
      </c>
      <c r="E174" s="49"/>
    </row>
    <row r="175" spans="1:5" ht="14.4">
      <c r="A175" s="136">
        <v>44250</v>
      </c>
      <c r="B175" s="137">
        <v>98.95</v>
      </c>
      <c r="C175" s="133"/>
      <c r="D175" s="50">
        <f t="shared" si="2"/>
        <v>3.2881002087682631E-2</v>
      </c>
      <c r="E175" s="49"/>
    </row>
    <row r="176" spans="1:5" ht="14.4">
      <c r="A176" s="136">
        <v>44249</v>
      </c>
      <c r="B176" s="137">
        <v>95.8</v>
      </c>
      <c r="C176" s="133"/>
      <c r="D176" s="50">
        <f t="shared" si="2"/>
        <v>4.3914133158984514E-2</v>
      </c>
      <c r="E176" s="49"/>
    </row>
    <row r="177" spans="1:5" ht="14.4">
      <c r="A177" s="136">
        <v>44246</v>
      </c>
      <c r="B177" s="137">
        <v>91.77</v>
      </c>
      <c r="C177" s="133"/>
      <c r="D177" s="50">
        <f t="shared" si="2"/>
        <v>5.2579691094314374E-3</v>
      </c>
      <c r="E177" s="49"/>
    </row>
    <row r="178" spans="1:5" ht="14.4">
      <c r="A178" s="136">
        <v>44245</v>
      </c>
      <c r="B178" s="137">
        <v>91.29</v>
      </c>
      <c r="C178" s="133"/>
      <c r="D178" s="50">
        <f t="shared" si="2"/>
        <v>-2.7795527156549538E-2</v>
      </c>
      <c r="E178" s="49"/>
    </row>
    <row r="179" spans="1:5" ht="14.4">
      <c r="A179" s="136">
        <v>44244</v>
      </c>
      <c r="B179" s="137">
        <v>93.9</v>
      </c>
      <c r="C179" s="133"/>
      <c r="D179" s="50">
        <f t="shared" si="2"/>
        <v>1.0660980810235365E-3</v>
      </c>
      <c r="E179" s="49"/>
    </row>
    <row r="180" spans="1:5" ht="14.4">
      <c r="A180" s="136">
        <v>44243</v>
      </c>
      <c r="B180" s="137">
        <v>93.8</v>
      </c>
      <c r="C180" s="133"/>
      <c r="D180" s="50">
        <f t="shared" si="2"/>
        <v>1.3878509661577887E-3</v>
      </c>
      <c r="E180" s="49"/>
    </row>
    <row r="181" spans="1:5" ht="14.4">
      <c r="A181" s="136">
        <v>44242</v>
      </c>
      <c r="B181" s="137">
        <v>93.67</v>
      </c>
      <c r="C181" s="133"/>
      <c r="D181" s="50">
        <f t="shared" si="2"/>
        <v>1.5833423706756333E-2</v>
      </c>
      <c r="E181" s="49"/>
    </row>
    <row r="182" spans="1:5" ht="14.4">
      <c r="A182" s="136">
        <v>44239</v>
      </c>
      <c r="B182" s="137">
        <v>92.21</v>
      </c>
      <c r="C182" s="133"/>
      <c r="D182" s="50">
        <f t="shared" si="2"/>
        <v>1.0852883139662373E-2</v>
      </c>
      <c r="E182" s="49"/>
    </row>
    <row r="183" spans="1:5" ht="14.4">
      <c r="A183" s="136">
        <v>44238</v>
      </c>
      <c r="B183" s="137">
        <v>91.22</v>
      </c>
      <c r="C183" s="133"/>
      <c r="D183" s="50">
        <f t="shared" si="2"/>
        <v>-5.1259679354346277E-3</v>
      </c>
      <c r="E183" s="49"/>
    </row>
    <row r="184" spans="1:5" ht="14.4">
      <c r="A184" s="136">
        <v>44237</v>
      </c>
      <c r="B184" s="137">
        <v>91.69</v>
      </c>
      <c r="C184" s="133"/>
      <c r="D184" s="50">
        <f t="shared" si="2"/>
        <v>-8.4351681626473329E-3</v>
      </c>
      <c r="E184" s="49"/>
    </row>
    <row r="185" spans="1:5" ht="14.4">
      <c r="A185" s="136">
        <v>44236</v>
      </c>
      <c r="B185" s="137">
        <v>92.47</v>
      </c>
      <c r="C185" s="133"/>
      <c r="D185" s="50">
        <f t="shared" si="2"/>
        <v>-1.4914243102162605E-2</v>
      </c>
      <c r="E185" s="49"/>
    </row>
    <row r="186" spans="1:5" ht="14.4">
      <c r="A186" s="136">
        <v>44235</v>
      </c>
      <c r="B186" s="137">
        <v>93.87</v>
      </c>
      <c r="C186" s="133"/>
      <c r="D186" s="50">
        <f t="shared" si="2"/>
        <v>4.81695568400764E-3</v>
      </c>
      <c r="E186" s="49"/>
    </row>
    <row r="187" spans="1:5" ht="14.4">
      <c r="A187" s="136">
        <v>44232</v>
      </c>
      <c r="B187" s="137">
        <v>93.42</v>
      </c>
      <c r="C187" s="133"/>
      <c r="D187" s="50">
        <f t="shared" si="2"/>
        <v>3.4371643394199847E-3</v>
      </c>
      <c r="E187" s="49"/>
    </row>
    <row r="188" spans="1:5" ht="14.4">
      <c r="A188" s="136">
        <v>44231</v>
      </c>
      <c r="B188" s="137">
        <v>93.1</v>
      </c>
      <c r="C188" s="133"/>
      <c r="D188" s="50">
        <f t="shared" si="2"/>
        <v>3.6632891660171474E-2</v>
      </c>
      <c r="E188" s="49"/>
    </row>
    <row r="189" spans="1:5" ht="14.4">
      <c r="A189" s="136">
        <v>44230</v>
      </c>
      <c r="B189" s="137">
        <v>89.81</v>
      </c>
      <c r="C189" s="133"/>
      <c r="D189" s="50">
        <f t="shared" si="2"/>
        <v>1.3771306016480356E-2</v>
      </c>
      <c r="E189" s="49"/>
    </row>
    <row r="190" spans="1:5" ht="14.4">
      <c r="A190" s="136">
        <v>44229</v>
      </c>
      <c r="B190" s="137">
        <v>88.59</v>
      </c>
      <c r="C190" s="133"/>
      <c r="D190" s="50">
        <f t="shared" si="2"/>
        <v>6.5936710383828645E-2</v>
      </c>
      <c r="E190" s="49"/>
    </row>
    <row r="191" spans="1:5" ht="14.4">
      <c r="A191" s="136">
        <v>44228</v>
      </c>
      <c r="B191" s="137">
        <v>83.11</v>
      </c>
      <c r="C191" s="133"/>
      <c r="D191" s="50">
        <f t="shared" si="2"/>
        <v>-1.0817307692307931E-3</v>
      </c>
      <c r="E191" s="49"/>
    </row>
    <row r="192" spans="1:5" ht="14.4">
      <c r="A192" s="136">
        <v>44225</v>
      </c>
      <c r="B192" s="137">
        <v>83.2</v>
      </c>
      <c r="C192" s="133"/>
      <c r="D192" s="50">
        <f t="shared" si="2"/>
        <v>-2.2900763358778664E-2</v>
      </c>
      <c r="E192" s="49"/>
    </row>
    <row r="193" spans="1:5" ht="14.4">
      <c r="A193" s="136">
        <v>44224</v>
      </c>
      <c r="B193" s="137">
        <v>85.15</v>
      </c>
      <c r="C193" s="133"/>
      <c r="D193" s="50">
        <f t="shared" si="2"/>
        <v>9.3646277856804794E-3</v>
      </c>
      <c r="E193" s="49"/>
    </row>
    <row r="194" spans="1:5" ht="14.4">
      <c r="A194" s="136">
        <v>44223</v>
      </c>
      <c r="B194" s="137">
        <v>84.36</v>
      </c>
      <c r="C194" s="133"/>
      <c r="D194" s="50">
        <f t="shared" si="2"/>
        <v>-1.0903974674639549E-2</v>
      </c>
      <c r="E194" s="49"/>
    </row>
    <row r="195" spans="1:5" ht="14.4">
      <c r="A195" s="136">
        <v>44222</v>
      </c>
      <c r="B195" s="137">
        <v>85.29</v>
      </c>
      <c r="C195" s="133"/>
      <c r="D195" s="50">
        <f t="shared" si="2"/>
        <v>4.9487451396252879E-3</v>
      </c>
      <c r="E195" s="49"/>
    </row>
    <row r="196" spans="1:5" ht="14.4">
      <c r="A196" s="136">
        <v>44221</v>
      </c>
      <c r="B196" s="137">
        <v>84.87</v>
      </c>
      <c r="C196" s="133"/>
      <c r="D196" s="50">
        <f t="shared" si="2"/>
        <v>-4.4579533941236038E-2</v>
      </c>
      <c r="E196" s="49"/>
    </row>
    <row r="197" spans="1:5" ht="14.4">
      <c r="A197" s="136">
        <v>44218</v>
      </c>
      <c r="B197" s="137">
        <v>88.83</v>
      </c>
      <c r="C197" s="133"/>
      <c r="D197" s="50">
        <f t="shared" si="2"/>
        <v>-5.9310653536257529E-3</v>
      </c>
      <c r="E197" s="49"/>
    </row>
    <row r="198" spans="1:5" ht="14.4">
      <c r="A198" s="136">
        <v>44217</v>
      </c>
      <c r="B198" s="137">
        <v>89.36</v>
      </c>
      <c r="C198" s="133"/>
      <c r="D198" s="50">
        <f t="shared" si="2"/>
        <v>-3.3005086029650466E-2</v>
      </c>
      <c r="E198" s="49"/>
    </row>
    <row r="199" spans="1:5" ht="14.4">
      <c r="A199" s="136">
        <v>44216</v>
      </c>
      <c r="B199" s="137">
        <v>92.41</v>
      </c>
      <c r="C199" s="133"/>
      <c r="D199" s="50">
        <f t="shared" si="2"/>
        <v>1.2157721796276055E-2</v>
      </c>
      <c r="E199" s="49"/>
    </row>
    <row r="200" spans="1:5" ht="14.4">
      <c r="A200" s="136">
        <v>44215</v>
      </c>
      <c r="B200" s="137">
        <v>91.3</v>
      </c>
      <c r="C200" s="133"/>
      <c r="D200" s="50">
        <f t="shared" ref="D200:D263" si="3">(B200-C200)/B201-1</f>
        <v>1.2062726176116367E-3</v>
      </c>
      <c r="E200" s="49"/>
    </row>
    <row r="201" spans="1:5" ht="14.4">
      <c r="A201" s="136">
        <v>44214</v>
      </c>
      <c r="B201" s="137">
        <v>91.19</v>
      </c>
      <c r="C201" s="133"/>
      <c r="D201" s="50">
        <f t="shared" si="3"/>
        <v>-1.4694759589411133E-2</v>
      </c>
      <c r="E201" s="49"/>
    </row>
    <row r="202" spans="1:5" ht="14.4">
      <c r="A202" s="136">
        <v>44211</v>
      </c>
      <c r="B202" s="137">
        <v>92.55</v>
      </c>
      <c r="C202" s="133"/>
      <c r="D202" s="50">
        <f t="shared" si="3"/>
        <v>-7.5067024128686599E-3</v>
      </c>
      <c r="E202" s="49"/>
    </row>
    <row r="203" spans="1:5" ht="14.4">
      <c r="A203" s="136">
        <v>44210</v>
      </c>
      <c r="B203" s="137">
        <v>93.25</v>
      </c>
      <c r="C203" s="133"/>
      <c r="D203" s="50">
        <f t="shared" si="3"/>
        <v>4.6459432162495817E-2</v>
      </c>
      <c r="E203" s="49"/>
    </row>
    <row r="204" spans="1:5" ht="14.4">
      <c r="A204" s="136">
        <v>44209</v>
      </c>
      <c r="B204" s="137">
        <v>89.11</v>
      </c>
      <c r="C204" s="133"/>
      <c r="D204" s="50">
        <f t="shared" si="3"/>
        <v>-9.4486438417074048E-3</v>
      </c>
      <c r="E204" s="49"/>
    </row>
    <row r="205" spans="1:5" ht="14.4">
      <c r="A205" s="136">
        <v>44208</v>
      </c>
      <c r="B205" s="137">
        <v>89.96</v>
      </c>
      <c r="C205" s="133"/>
      <c r="D205" s="50">
        <f t="shared" si="3"/>
        <v>2.0049008687903491E-3</v>
      </c>
      <c r="E205" s="49"/>
    </row>
    <row r="206" spans="1:5" ht="14.4">
      <c r="A206" s="136">
        <v>44207</v>
      </c>
      <c r="B206" s="137">
        <v>89.78</v>
      </c>
      <c r="C206" s="133"/>
      <c r="D206" s="50">
        <f t="shared" si="3"/>
        <v>-3.5516093229743806E-3</v>
      </c>
      <c r="E206" s="49"/>
    </row>
    <row r="207" spans="1:5" ht="14.4">
      <c r="A207" s="136">
        <v>44204</v>
      </c>
      <c r="B207" s="137">
        <v>90.1</v>
      </c>
      <c r="C207" s="133"/>
      <c r="D207" s="50">
        <f t="shared" si="3"/>
        <v>5.355947333184341E-3</v>
      </c>
      <c r="E207" s="49"/>
    </row>
    <row r="208" spans="1:5" ht="14.4">
      <c r="A208" s="136">
        <v>44203</v>
      </c>
      <c r="B208" s="137">
        <v>89.62</v>
      </c>
      <c r="C208" s="133"/>
      <c r="D208" s="50">
        <f t="shared" si="3"/>
        <v>-6.0995896639680636E-3</v>
      </c>
      <c r="E208" s="49"/>
    </row>
    <row r="209" spans="1:5" ht="14.4">
      <c r="A209" s="136">
        <v>44202</v>
      </c>
      <c r="B209" s="137">
        <v>90.17</v>
      </c>
      <c r="C209" s="133"/>
      <c r="D209" s="50">
        <f t="shared" si="3"/>
        <v>3.7849270844929617E-3</v>
      </c>
      <c r="E209" s="49"/>
    </row>
    <row r="210" spans="1:5" ht="14.4">
      <c r="A210" s="136">
        <v>44201</v>
      </c>
      <c r="B210" s="137">
        <v>89.83</v>
      </c>
      <c r="C210" s="133"/>
      <c r="D210" s="50">
        <f t="shared" si="3"/>
        <v>-6.6748247858494647E-4</v>
      </c>
      <c r="E210" s="49"/>
    </row>
    <row r="211" spans="1:5" ht="14.4">
      <c r="A211" s="136">
        <v>44200</v>
      </c>
      <c r="B211" s="137">
        <v>89.89</v>
      </c>
      <c r="C211" s="133"/>
      <c r="D211" s="50">
        <f t="shared" si="3"/>
        <v>1.2252171975941639E-3</v>
      </c>
      <c r="E211" s="49"/>
    </row>
    <row r="212" spans="1:5" ht="14.4">
      <c r="A212" s="136">
        <v>44196</v>
      </c>
      <c r="B212" s="137">
        <v>89.78</v>
      </c>
      <c r="C212" s="133"/>
      <c r="D212" s="50">
        <f t="shared" si="3"/>
        <v>-1.6109589041095829E-2</v>
      </c>
      <c r="E212" s="49"/>
    </row>
    <row r="213" spans="1:5" ht="14.4">
      <c r="A213" s="136">
        <v>44195</v>
      </c>
      <c r="B213" s="137">
        <v>91.25</v>
      </c>
      <c r="C213" s="133"/>
      <c r="D213" s="50">
        <f t="shared" si="3"/>
        <v>-1.9555173525303449E-2</v>
      </c>
      <c r="E213" s="49"/>
    </row>
    <row r="214" spans="1:5" ht="14.4">
      <c r="A214" s="136">
        <v>44194</v>
      </c>
      <c r="B214" s="137">
        <v>93.07</v>
      </c>
      <c r="C214" s="133"/>
      <c r="D214" s="50">
        <f t="shared" si="3"/>
        <v>1.1850402261361026E-2</v>
      </c>
      <c r="E214" s="49"/>
    </row>
    <row r="215" spans="1:5" ht="14.4">
      <c r="A215" s="136">
        <v>44193</v>
      </c>
      <c r="B215" s="137">
        <v>91.98</v>
      </c>
      <c r="C215" s="133"/>
      <c r="D215" s="50">
        <f t="shared" si="3"/>
        <v>-6.5189048239899794E-4</v>
      </c>
      <c r="E215" s="49"/>
    </row>
    <row r="216" spans="1:5" ht="14.4">
      <c r="A216" s="136">
        <v>44189</v>
      </c>
      <c r="B216" s="137">
        <v>92.04</v>
      </c>
      <c r="C216" s="133"/>
      <c r="D216" s="50">
        <f t="shared" si="3"/>
        <v>9.7879282218604757E-4</v>
      </c>
      <c r="E216" s="49"/>
    </row>
    <row r="217" spans="1:5" ht="14.4">
      <c r="A217" s="136">
        <v>44188</v>
      </c>
      <c r="B217" s="137">
        <v>91.95</v>
      </c>
      <c r="C217" s="133"/>
      <c r="D217" s="50">
        <f t="shared" si="3"/>
        <v>4.5599272231066745E-2</v>
      </c>
      <c r="E217" s="49"/>
    </row>
    <row r="218" spans="1:5" ht="14.4">
      <c r="A218" s="136">
        <v>44187</v>
      </c>
      <c r="B218" s="137">
        <v>87.94</v>
      </c>
      <c r="C218" s="133"/>
      <c r="D218" s="50">
        <f t="shared" si="3"/>
        <v>1.6177490177952336E-2</v>
      </c>
      <c r="E218" s="49"/>
    </row>
    <row r="219" spans="1:5" ht="14.4">
      <c r="A219" s="136">
        <v>44186</v>
      </c>
      <c r="B219" s="137">
        <v>86.54</v>
      </c>
      <c r="C219" s="133"/>
      <c r="D219" s="50">
        <f t="shared" si="3"/>
        <v>-2.7640449438202208E-2</v>
      </c>
      <c r="E219" s="49"/>
    </row>
    <row r="220" spans="1:5" ht="14.4">
      <c r="A220" s="136">
        <v>44183</v>
      </c>
      <c r="B220" s="137">
        <v>89</v>
      </c>
      <c r="C220" s="133"/>
      <c r="D220" s="50">
        <f t="shared" si="3"/>
        <v>-1.5268864793095749E-2</v>
      </c>
      <c r="E220" s="49"/>
    </row>
    <row r="221" spans="1:5" ht="14.4">
      <c r="A221" s="136">
        <v>44182</v>
      </c>
      <c r="B221" s="137">
        <v>90.38</v>
      </c>
      <c r="C221" s="133"/>
      <c r="D221" s="50">
        <f t="shared" si="3"/>
        <v>-3.6379671480541997E-3</v>
      </c>
      <c r="E221" s="49"/>
    </row>
    <row r="222" spans="1:5" ht="14.4">
      <c r="A222" s="136">
        <v>44181</v>
      </c>
      <c r="B222" s="137">
        <v>90.71</v>
      </c>
      <c r="C222" s="133"/>
      <c r="D222" s="50">
        <f t="shared" si="3"/>
        <v>-7.2233774761958358E-3</v>
      </c>
      <c r="E222" s="49"/>
    </row>
    <row r="223" spans="1:5" ht="14.4">
      <c r="A223" s="136">
        <v>44180</v>
      </c>
      <c r="B223" s="137">
        <v>91.37</v>
      </c>
      <c r="C223" s="133"/>
      <c r="D223" s="50">
        <f t="shared" si="3"/>
        <v>-7.387289516566975E-3</v>
      </c>
      <c r="E223" s="49"/>
    </row>
    <row r="224" spans="1:5" ht="14.4">
      <c r="A224" s="136">
        <v>44179</v>
      </c>
      <c r="B224" s="137">
        <v>92.05</v>
      </c>
      <c r="C224" s="133"/>
      <c r="D224" s="50">
        <f t="shared" si="3"/>
        <v>-1.5186028853454436E-3</v>
      </c>
      <c r="E224" s="49"/>
    </row>
    <row r="225" spans="1:5" ht="14.4">
      <c r="A225" s="136">
        <v>44176</v>
      </c>
      <c r="B225" s="137">
        <v>92.19</v>
      </c>
      <c r="C225" s="133"/>
      <c r="D225" s="50">
        <f t="shared" si="3"/>
        <v>-1.6325224071703004E-2</v>
      </c>
      <c r="E225" s="49"/>
    </row>
    <row r="226" spans="1:5" ht="14.4">
      <c r="A226" s="136">
        <v>44175</v>
      </c>
      <c r="B226" s="137">
        <v>93.72</v>
      </c>
      <c r="C226" s="133"/>
      <c r="D226" s="50">
        <f t="shared" si="3"/>
        <v>1.3890372903087034E-3</v>
      </c>
      <c r="E226" s="49"/>
    </row>
    <row r="227" spans="1:5" ht="14.4">
      <c r="A227" s="136">
        <v>44174</v>
      </c>
      <c r="B227" s="137">
        <v>93.59</v>
      </c>
      <c r="C227" s="133"/>
      <c r="D227" s="50">
        <f t="shared" si="3"/>
        <v>-1.203420247017839E-2</v>
      </c>
      <c r="E227" s="49"/>
    </row>
    <row r="228" spans="1:5" ht="14.4">
      <c r="A228" s="136">
        <v>44173</v>
      </c>
      <c r="B228" s="137">
        <v>94.73</v>
      </c>
      <c r="C228" s="133"/>
      <c r="D228" s="50">
        <f t="shared" si="3"/>
        <v>-5.0414872387353205E-3</v>
      </c>
      <c r="E228" s="49"/>
    </row>
    <row r="229" spans="1:5" ht="14.4">
      <c r="A229" s="136">
        <v>44172</v>
      </c>
      <c r="B229" s="137">
        <v>95.21</v>
      </c>
      <c r="C229" s="133"/>
      <c r="D229" s="50">
        <f t="shared" si="3"/>
        <v>-1.0702410640066495E-2</v>
      </c>
      <c r="E229" s="49"/>
    </row>
    <row r="230" spans="1:5" ht="14.4">
      <c r="A230" s="136">
        <v>44169</v>
      </c>
      <c r="B230" s="137">
        <v>96.24</v>
      </c>
      <c r="C230" s="133"/>
      <c r="D230" s="50">
        <f t="shared" si="3"/>
        <v>1.3052631578947205E-2</v>
      </c>
      <c r="E230" s="49"/>
    </row>
    <row r="231" spans="1:5" ht="14.4">
      <c r="A231" s="136">
        <v>44168</v>
      </c>
      <c r="B231" s="137">
        <v>95</v>
      </c>
      <c r="C231" s="133"/>
      <c r="D231" s="50">
        <f t="shared" si="3"/>
        <v>4.029785370127037E-2</v>
      </c>
      <c r="E231" s="49"/>
    </row>
    <row r="232" spans="1:5" ht="14.4">
      <c r="A232" s="136">
        <v>44167</v>
      </c>
      <c r="B232" s="137">
        <v>91.32</v>
      </c>
      <c r="C232" s="133"/>
      <c r="D232" s="50">
        <f t="shared" si="3"/>
        <v>2.147651006711393E-2</v>
      </c>
      <c r="E232" s="49"/>
    </row>
    <row r="233" spans="1:5" ht="14.4">
      <c r="A233" s="136">
        <v>44166</v>
      </c>
      <c r="B233" s="137">
        <v>89.4</v>
      </c>
      <c r="C233" s="133"/>
      <c r="D233" s="50">
        <f t="shared" si="3"/>
        <v>1.9035677647327054E-2</v>
      </c>
      <c r="E233" s="49"/>
    </row>
    <row r="234" spans="1:5" ht="14.4">
      <c r="A234" s="136">
        <v>44165</v>
      </c>
      <c r="B234" s="137">
        <v>87.73</v>
      </c>
      <c r="C234" s="133"/>
      <c r="D234" s="50">
        <f t="shared" si="3"/>
        <v>-2.5222222222222146E-2</v>
      </c>
      <c r="E234" s="49"/>
    </row>
    <row r="235" spans="1:5" ht="14.4">
      <c r="A235" s="136">
        <v>44162</v>
      </c>
      <c r="B235" s="137">
        <v>90</v>
      </c>
      <c r="C235" s="133"/>
      <c r="D235" s="50">
        <f t="shared" si="3"/>
        <v>2.2271714922048602E-3</v>
      </c>
      <c r="E235" s="49"/>
    </row>
    <row r="236" spans="1:5" ht="14.4">
      <c r="A236" s="136">
        <v>44161</v>
      </c>
      <c r="B236" s="137">
        <v>89.8</v>
      </c>
      <c r="C236" s="133"/>
      <c r="D236" s="50">
        <f t="shared" si="3"/>
        <v>-1.8579234972677661E-2</v>
      </c>
      <c r="E236" s="49"/>
    </row>
    <row r="237" spans="1:5" ht="14.4">
      <c r="A237" s="136">
        <v>44160</v>
      </c>
      <c r="B237" s="137">
        <v>91.5</v>
      </c>
      <c r="C237" s="133"/>
      <c r="D237" s="50">
        <f t="shared" si="3"/>
        <v>-2.1390374331550777E-2</v>
      </c>
      <c r="E237" s="49"/>
    </row>
    <row r="238" spans="1:5" ht="14.4">
      <c r="A238" s="136">
        <v>44159</v>
      </c>
      <c r="B238" s="137">
        <v>93.5</v>
      </c>
      <c r="C238" s="133"/>
      <c r="D238" s="50">
        <f t="shared" si="3"/>
        <v>3.7275349456401097E-2</v>
      </c>
      <c r="E238" s="49"/>
    </row>
    <row r="239" spans="1:5" ht="14.4">
      <c r="A239" s="136">
        <v>44158</v>
      </c>
      <c r="B239" s="137">
        <v>90.14</v>
      </c>
      <c r="C239" s="133"/>
      <c r="D239" s="50">
        <f t="shared" si="3"/>
        <v>1.6922382671480163E-2</v>
      </c>
      <c r="E239" s="49"/>
    </row>
    <row r="240" spans="1:5" ht="14.4">
      <c r="A240" s="136">
        <v>44155</v>
      </c>
      <c r="B240" s="137">
        <v>88.64</v>
      </c>
      <c r="C240" s="133"/>
      <c r="D240" s="50">
        <f t="shared" si="3"/>
        <v>-7.7241688122691166E-3</v>
      </c>
      <c r="E240" s="49"/>
    </row>
    <row r="241" spans="1:5" ht="14.4">
      <c r="A241" s="136">
        <v>44154</v>
      </c>
      <c r="B241" s="137">
        <v>89.33</v>
      </c>
      <c r="C241" s="133"/>
      <c r="D241" s="50">
        <f t="shared" si="3"/>
        <v>-7.4444444444444757E-3</v>
      </c>
      <c r="E241" s="49"/>
    </row>
    <row r="242" spans="1:5" ht="14.4">
      <c r="A242" s="136">
        <v>44153</v>
      </c>
      <c r="B242" s="137">
        <v>90</v>
      </c>
      <c r="C242" s="133"/>
      <c r="D242" s="50">
        <f t="shared" si="3"/>
        <v>-9.990009990010762E-4</v>
      </c>
      <c r="E242" s="49"/>
    </row>
    <row r="243" spans="1:5" ht="14.4">
      <c r="A243" s="136">
        <v>44152</v>
      </c>
      <c r="B243" s="137">
        <v>90.09</v>
      </c>
      <c r="C243" s="133"/>
      <c r="D243" s="50">
        <f t="shared" si="3"/>
        <v>1.0000000000001119E-3</v>
      </c>
      <c r="E243" s="49"/>
    </row>
    <row r="244" spans="1:5" ht="14.4">
      <c r="A244" s="136">
        <v>44151</v>
      </c>
      <c r="B244" s="137">
        <v>90</v>
      </c>
      <c r="C244" s="133"/>
      <c r="D244" s="50">
        <f t="shared" si="3"/>
        <v>5.1893408134642272E-2</v>
      </c>
      <c r="E244" s="49"/>
    </row>
    <row r="245" spans="1:5" ht="14.4">
      <c r="A245" s="136">
        <v>44148</v>
      </c>
      <c r="B245" s="137">
        <v>85.56</v>
      </c>
      <c r="C245" s="133"/>
      <c r="D245" s="50">
        <f t="shared" si="3"/>
        <v>1.1227987235551407E-2</v>
      </c>
      <c r="E245" s="49"/>
    </row>
    <row r="246" spans="1:5" ht="14.4">
      <c r="A246" s="136">
        <v>44147</v>
      </c>
      <c r="B246" s="137">
        <v>84.61</v>
      </c>
      <c r="C246" s="133"/>
      <c r="D246" s="50">
        <f t="shared" si="3"/>
        <v>-2.7471264367816106E-2</v>
      </c>
      <c r="E246" s="49"/>
    </row>
    <row r="247" spans="1:5" ht="14.4">
      <c r="A247" s="136">
        <v>44146</v>
      </c>
      <c r="B247" s="137">
        <v>87</v>
      </c>
      <c r="C247" s="133"/>
      <c r="D247" s="50">
        <f t="shared" si="3"/>
        <v>-1.0464058234758933E-2</v>
      </c>
      <c r="E247" s="49"/>
    </row>
    <row r="248" spans="1:5" ht="14.4">
      <c r="A248" s="136">
        <v>44145</v>
      </c>
      <c r="B248" s="137">
        <v>87.92</v>
      </c>
      <c r="C248" s="133"/>
      <c r="D248" s="50">
        <f t="shared" si="3"/>
        <v>5.9277108433734904E-2</v>
      </c>
      <c r="E248" s="49"/>
    </row>
    <row r="249" spans="1:5" ht="14.4">
      <c r="A249" s="136">
        <v>44144</v>
      </c>
      <c r="B249" s="137">
        <v>83</v>
      </c>
      <c r="C249" s="133"/>
      <c r="D249" s="50">
        <f t="shared" si="3"/>
        <v>0.18571428571428572</v>
      </c>
      <c r="E249" s="49"/>
    </row>
    <row r="250" spans="1:5" ht="14.4">
      <c r="A250" s="136">
        <v>44141</v>
      </c>
      <c r="B250" s="137">
        <v>70</v>
      </c>
      <c r="C250" s="133"/>
      <c r="D250" s="50">
        <f t="shared" si="3"/>
        <v>-5.3992611537367896E-3</v>
      </c>
      <c r="E250" s="49"/>
    </row>
    <row r="251" spans="1:5" ht="14.4">
      <c r="A251" s="136">
        <v>44140</v>
      </c>
      <c r="B251" s="137">
        <v>70.38</v>
      </c>
      <c r="C251" s="133"/>
      <c r="D251" s="50">
        <f t="shared" si="3"/>
        <v>2.6246719160105014E-2</v>
      </c>
      <c r="E251" s="49"/>
    </row>
    <row r="252" spans="1:5" ht="14.4">
      <c r="A252" s="136">
        <v>44139</v>
      </c>
      <c r="B252" s="137">
        <v>68.58</v>
      </c>
      <c r="C252" s="133"/>
      <c r="D252" s="50">
        <f t="shared" si="3"/>
        <v>3.4701267350633724E-2</v>
      </c>
      <c r="E252" s="49"/>
    </row>
    <row r="253" spans="1:5" ht="14.4">
      <c r="A253" s="136">
        <v>44138</v>
      </c>
      <c r="B253" s="137">
        <v>66.28</v>
      </c>
      <c r="C253" s="133"/>
      <c r="D253" s="50">
        <f t="shared" si="3"/>
        <v>5.0562688223173113E-2</v>
      </c>
      <c r="E253" s="49"/>
    </row>
    <row r="254" spans="1:5" ht="14.4">
      <c r="A254" s="136">
        <v>44137</v>
      </c>
      <c r="B254" s="137">
        <v>63.09</v>
      </c>
      <c r="C254" s="133"/>
      <c r="D254" s="50">
        <f t="shared" si="3"/>
        <v>7.9884965649463791E-3</v>
      </c>
      <c r="E254" s="49"/>
    </row>
    <row r="255" spans="1:5" ht="14.4">
      <c r="A255" s="136">
        <v>44134</v>
      </c>
      <c r="B255" s="137">
        <v>62.59</v>
      </c>
      <c r="C255" s="133"/>
      <c r="D255" s="50">
        <f t="shared" si="3"/>
        <v>1.7723577235772447E-2</v>
      </c>
      <c r="E255" s="49"/>
    </row>
    <row r="256" spans="1:5" ht="14.4">
      <c r="A256" s="136">
        <v>44133</v>
      </c>
      <c r="B256" s="137">
        <v>61.5</v>
      </c>
      <c r="C256" s="133"/>
      <c r="D256" s="50">
        <f t="shared" si="3"/>
        <v>-4.3710539096649681E-3</v>
      </c>
      <c r="E256" s="49"/>
    </row>
    <row r="257" spans="1:5" ht="14.4">
      <c r="A257" s="136">
        <v>44132</v>
      </c>
      <c r="B257" s="137">
        <v>61.77</v>
      </c>
      <c r="C257" s="133"/>
      <c r="D257" s="50">
        <f t="shared" si="3"/>
        <v>-3.4843749999999951E-2</v>
      </c>
      <c r="E257" s="49"/>
    </row>
    <row r="258" spans="1:5" ht="14.4">
      <c r="A258" s="136">
        <v>44131</v>
      </c>
      <c r="B258" s="137">
        <v>64</v>
      </c>
      <c r="C258" s="133"/>
      <c r="D258" s="50">
        <f t="shared" si="3"/>
        <v>-2.8094153378891318E-2</v>
      </c>
      <c r="E258" s="49"/>
    </row>
    <row r="259" spans="1:5" ht="14.4">
      <c r="A259" s="136">
        <v>44130</v>
      </c>
      <c r="B259" s="137">
        <v>65.849999999999994</v>
      </c>
      <c r="C259" s="133"/>
      <c r="D259" s="50">
        <f t="shared" si="3"/>
        <v>-3.2044686167867265E-2</v>
      </c>
      <c r="E259" s="49"/>
    </row>
    <row r="260" spans="1:5" ht="14.4">
      <c r="A260" s="136">
        <v>44127</v>
      </c>
      <c r="B260" s="137">
        <v>68.03</v>
      </c>
      <c r="C260" s="133"/>
      <c r="D260" s="50">
        <f t="shared" si="3"/>
        <v>5.5546935608999259E-2</v>
      </c>
      <c r="E260" s="49"/>
    </row>
    <row r="261" spans="1:5" ht="14.4">
      <c r="A261" s="136">
        <v>44126</v>
      </c>
      <c r="B261" s="137">
        <v>64.45</v>
      </c>
      <c r="C261" s="133"/>
      <c r="D261" s="50">
        <f t="shared" si="3"/>
        <v>6.0880424601936767E-3</v>
      </c>
      <c r="E261" s="49"/>
    </row>
    <row r="262" spans="1:5" ht="14.4">
      <c r="A262" s="136">
        <v>44125</v>
      </c>
      <c r="B262" s="137">
        <v>64.06</v>
      </c>
      <c r="C262" s="133"/>
      <c r="D262" s="50">
        <f t="shared" si="3"/>
        <v>-4.3023603226770124E-2</v>
      </c>
      <c r="E262" s="49"/>
    </row>
    <row r="263" spans="1:5" ht="14.4">
      <c r="A263" s="136">
        <v>44124</v>
      </c>
      <c r="B263" s="137">
        <v>66.94</v>
      </c>
      <c r="C263" s="133"/>
      <c r="D263" s="50">
        <f t="shared" si="3"/>
        <v>1.1331016769904778E-2</v>
      </c>
      <c r="E263" s="49"/>
    </row>
    <row r="264" spans="1:5" ht="14.4">
      <c r="A264" s="136">
        <v>44123</v>
      </c>
      <c r="B264" s="137">
        <v>66.19</v>
      </c>
      <c r="C264" s="133"/>
      <c r="D264" s="50">
        <f t="shared" ref="D264:D327" si="4">(B264-C264)/B265-1</f>
        <v>2.8753497046938081E-2</v>
      </c>
      <c r="E264" s="49"/>
    </row>
    <row r="265" spans="1:5" ht="14.4">
      <c r="A265" s="136">
        <v>44120</v>
      </c>
      <c r="B265" s="137">
        <v>64.34</v>
      </c>
      <c r="C265" s="133"/>
      <c r="D265" s="50">
        <f t="shared" si="4"/>
        <v>4.1268813723903675E-2</v>
      </c>
      <c r="E265" s="49"/>
    </row>
    <row r="266" spans="1:5" ht="14.4">
      <c r="A266" s="136">
        <v>44119</v>
      </c>
      <c r="B266" s="137">
        <v>61.79</v>
      </c>
      <c r="C266" s="133"/>
      <c r="D266" s="50">
        <f t="shared" si="4"/>
        <v>-5.7924376508446951E-3</v>
      </c>
      <c r="E266" s="49"/>
    </row>
    <row r="267" spans="1:5" ht="14.4">
      <c r="A267" s="136">
        <v>44118</v>
      </c>
      <c r="B267" s="137">
        <v>62.15</v>
      </c>
      <c r="C267" s="133"/>
      <c r="D267" s="50">
        <f t="shared" si="4"/>
        <v>-2.4026381909547756E-2</v>
      </c>
      <c r="E267" s="49"/>
    </row>
    <row r="268" spans="1:5" ht="14.4">
      <c r="A268" s="136">
        <v>44117</v>
      </c>
      <c r="B268" s="137">
        <v>63.68</v>
      </c>
      <c r="C268" s="133"/>
      <c r="D268" s="50">
        <f t="shared" si="4"/>
        <v>-3.5005303833914203E-2</v>
      </c>
      <c r="E268" s="49"/>
    </row>
    <row r="269" spans="1:5" ht="14.4">
      <c r="A269" s="136">
        <v>44116</v>
      </c>
      <c r="B269" s="137">
        <v>65.989999999999995</v>
      </c>
      <c r="C269" s="133"/>
      <c r="D269" s="50">
        <f t="shared" si="4"/>
        <v>-1.1829889188379794E-2</v>
      </c>
      <c r="E269" s="49"/>
    </row>
    <row r="270" spans="1:5" ht="14.4">
      <c r="A270" s="136">
        <v>44113</v>
      </c>
      <c r="B270" s="137">
        <v>66.78</v>
      </c>
      <c r="C270" s="133"/>
      <c r="D270" s="50">
        <f t="shared" si="4"/>
        <v>-2.0920502092049986E-3</v>
      </c>
      <c r="E270" s="49"/>
    </row>
    <row r="271" spans="1:5" ht="14.4">
      <c r="A271" s="136">
        <v>44112</v>
      </c>
      <c r="B271" s="137">
        <v>66.92</v>
      </c>
      <c r="C271" s="133"/>
      <c r="D271" s="50">
        <f t="shared" si="4"/>
        <v>3.2983508245876259E-3</v>
      </c>
      <c r="E271" s="49"/>
    </row>
    <row r="272" spans="1:5" ht="14.4">
      <c r="A272" s="136">
        <v>44111</v>
      </c>
      <c r="B272" s="137">
        <v>66.7</v>
      </c>
      <c r="C272" s="133"/>
      <c r="D272" s="50">
        <f t="shared" si="4"/>
        <v>-1.5788697063597312E-2</v>
      </c>
      <c r="E272" s="49"/>
    </row>
    <row r="273" spans="1:5" ht="14.4">
      <c r="A273" s="136">
        <v>44110</v>
      </c>
      <c r="B273" s="137">
        <v>67.77</v>
      </c>
      <c r="C273" s="133"/>
      <c r="D273" s="50">
        <f t="shared" si="4"/>
        <v>2.9939209726443705E-2</v>
      </c>
      <c r="E273" s="49"/>
    </row>
    <row r="274" spans="1:5" ht="14.4">
      <c r="A274" s="136">
        <v>44109</v>
      </c>
      <c r="B274" s="137">
        <v>65.8</v>
      </c>
      <c r="C274" s="133"/>
      <c r="D274" s="50">
        <f t="shared" si="4"/>
        <v>1.8260600433302354E-2</v>
      </c>
      <c r="E274" s="49"/>
    </row>
    <row r="275" spans="1:5" ht="14.4">
      <c r="A275" s="136">
        <v>44106</v>
      </c>
      <c r="B275" s="137">
        <v>64.62</v>
      </c>
      <c r="C275" s="133"/>
      <c r="D275" s="50">
        <f t="shared" si="4"/>
        <v>-4.3143297380585643E-3</v>
      </c>
      <c r="E275" s="49"/>
    </row>
    <row r="276" spans="1:5" ht="14.4">
      <c r="A276" s="136">
        <v>44105</v>
      </c>
      <c r="B276" s="137">
        <v>64.900000000000006</v>
      </c>
      <c r="C276" s="133"/>
      <c r="D276" s="50">
        <f t="shared" si="4"/>
        <v>4.5593684549702029E-2</v>
      </c>
      <c r="E276" s="49"/>
    </row>
    <row r="277" spans="1:5" ht="14.4">
      <c r="A277" s="136">
        <v>44104</v>
      </c>
      <c r="B277" s="137">
        <v>62.07</v>
      </c>
      <c r="C277" s="133"/>
      <c r="D277" s="50">
        <f t="shared" si="4"/>
        <v>-8.3080364275444074E-3</v>
      </c>
      <c r="E277" s="49"/>
    </row>
    <row r="278" spans="1:5" ht="14.4">
      <c r="A278" s="136">
        <v>44103</v>
      </c>
      <c r="B278" s="137">
        <v>62.59</v>
      </c>
      <c r="C278" s="133"/>
      <c r="D278" s="50">
        <f t="shared" si="4"/>
        <v>4.4936607286150121E-3</v>
      </c>
      <c r="E278" s="49"/>
    </row>
    <row r="279" spans="1:5" ht="14.4">
      <c r="A279" s="136">
        <v>44102</v>
      </c>
      <c r="B279" s="137">
        <v>62.31</v>
      </c>
      <c r="C279" s="133"/>
      <c r="D279" s="50">
        <f t="shared" si="4"/>
        <v>3.8153948683772088E-2</v>
      </c>
      <c r="E279" s="49"/>
    </row>
    <row r="280" spans="1:5" ht="14.4">
      <c r="A280" s="136">
        <v>44099</v>
      </c>
      <c r="B280" s="137">
        <v>60.02</v>
      </c>
      <c r="C280" s="133"/>
      <c r="D280" s="50">
        <f t="shared" si="4"/>
        <v>6.2028499580888408E-3</v>
      </c>
      <c r="E280" s="49"/>
    </row>
    <row r="281" spans="1:5" ht="14.4">
      <c r="A281" s="136">
        <v>44098</v>
      </c>
      <c r="B281" s="137">
        <v>59.65</v>
      </c>
      <c r="C281" s="133"/>
      <c r="D281" s="50">
        <f t="shared" si="4"/>
        <v>-3.4633435831040615E-2</v>
      </c>
      <c r="E281" s="49"/>
    </row>
    <row r="282" spans="1:5" ht="14.4">
      <c r="A282" s="136">
        <v>44097</v>
      </c>
      <c r="B282" s="137">
        <v>61.79</v>
      </c>
      <c r="C282" s="133"/>
      <c r="D282" s="50">
        <f t="shared" si="4"/>
        <v>-9.2993426326759554E-3</v>
      </c>
      <c r="E282" s="49"/>
    </row>
    <row r="283" spans="1:5" ht="14.4">
      <c r="A283" s="136">
        <v>44096</v>
      </c>
      <c r="B283" s="137">
        <v>62.37</v>
      </c>
      <c r="C283" s="133"/>
      <c r="D283" s="50">
        <f t="shared" si="4"/>
        <v>-2.6837260102980265E-2</v>
      </c>
      <c r="E283" s="49"/>
    </row>
    <row r="284" spans="1:5" ht="14.4">
      <c r="A284" s="136">
        <v>44095</v>
      </c>
      <c r="B284" s="137">
        <v>64.09</v>
      </c>
      <c r="C284" s="133"/>
      <c r="D284" s="50">
        <f t="shared" si="4"/>
        <v>-6.5743440233235972E-2</v>
      </c>
      <c r="E284" s="49"/>
    </row>
    <row r="285" spans="1:5" ht="14.4">
      <c r="A285" s="136">
        <v>44092</v>
      </c>
      <c r="B285" s="137">
        <v>68.599999999999994</v>
      </c>
      <c r="C285" s="133"/>
      <c r="D285" s="50">
        <f t="shared" si="4"/>
        <v>-3.5433070866141891E-2</v>
      </c>
      <c r="E285" s="49"/>
    </row>
    <row r="286" spans="1:5" ht="14.4">
      <c r="A286" s="136">
        <v>44091</v>
      </c>
      <c r="B286" s="137">
        <v>71.12</v>
      </c>
      <c r="C286" s="133"/>
      <c r="D286" s="50">
        <f t="shared" si="4"/>
        <v>4.661675377878316E-3</v>
      </c>
      <c r="E286" s="49"/>
    </row>
    <row r="287" spans="1:5" ht="14.4">
      <c r="A287" s="136">
        <v>44090</v>
      </c>
      <c r="B287" s="137">
        <v>70.790000000000006</v>
      </c>
      <c r="C287" s="133"/>
      <c r="D287" s="50">
        <f t="shared" si="4"/>
        <v>1.8854346574553871E-2</v>
      </c>
      <c r="E287" s="49"/>
    </row>
    <row r="288" spans="1:5" ht="14.4">
      <c r="A288" s="136">
        <v>44089</v>
      </c>
      <c r="B288" s="137">
        <v>69.48</v>
      </c>
      <c r="C288" s="133"/>
      <c r="D288" s="50">
        <f t="shared" si="4"/>
        <v>-2.579921480650571E-2</v>
      </c>
      <c r="E288" s="49"/>
    </row>
    <row r="289" spans="1:5" ht="14.4">
      <c r="A289" s="136">
        <v>44088</v>
      </c>
      <c r="B289" s="137">
        <v>71.319999999999993</v>
      </c>
      <c r="C289" s="133"/>
      <c r="D289" s="50">
        <f t="shared" si="4"/>
        <v>3.6326649229875052E-2</v>
      </c>
      <c r="E289" s="49"/>
    </row>
    <row r="290" spans="1:5" ht="14.4">
      <c r="A290" s="136">
        <v>44085</v>
      </c>
      <c r="B290" s="137">
        <v>68.819999999999993</v>
      </c>
      <c r="C290" s="133"/>
      <c r="D290" s="50">
        <f t="shared" si="4"/>
        <v>-8.9285714285715079E-3</v>
      </c>
      <c r="E290" s="49"/>
    </row>
    <row r="291" spans="1:5" ht="14.4">
      <c r="A291" s="136">
        <v>44084</v>
      </c>
      <c r="B291" s="137">
        <v>69.44</v>
      </c>
      <c r="C291" s="133"/>
      <c r="D291" s="50">
        <f t="shared" si="4"/>
        <v>7.2056492289940266E-4</v>
      </c>
      <c r="E291" s="49"/>
    </row>
    <row r="292" spans="1:5" ht="14.4">
      <c r="A292" s="136">
        <v>44083</v>
      </c>
      <c r="B292" s="137">
        <v>69.39</v>
      </c>
      <c r="C292" s="133"/>
      <c r="D292" s="50">
        <f t="shared" si="4"/>
        <v>-1.9638315908448667E-2</v>
      </c>
      <c r="E292" s="49"/>
    </row>
    <row r="293" spans="1:5" ht="14.4">
      <c r="A293" s="136">
        <v>44082</v>
      </c>
      <c r="B293" s="137">
        <v>70.78</v>
      </c>
      <c r="C293" s="133"/>
      <c r="D293" s="50">
        <f t="shared" si="4"/>
        <v>-4.0531381320319859E-2</v>
      </c>
      <c r="E293" s="49"/>
    </row>
    <row r="294" spans="1:5" ht="14.4">
      <c r="A294" s="136">
        <v>44081</v>
      </c>
      <c r="B294" s="137">
        <v>73.77</v>
      </c>
      <c r="C294" s="133"/>
      <c r="D294" s="50">
        <f t="shared" si="4"/>
        <v>5.7179707652622369E-2</v>
      </c>
      <c r="E294" s="49"/>
    </row>
    <row r="295" spans="1:5" ht="14.4">
      <c r="A295" s="136">
        <v>44078</v>
      </c>
      <c r="B295" s="137">
        <v>69.78</v>
      </c>
      <c r="C295" s="133"/>
      <c r="D295" s="50">
        <f t="shared" si="4"/>
        <v>-2.4055944055944023E-2</v>
      </c>
      <c r="E295" s="49"/>
    </row>
    <row r="296" spans="1:5" ht="14.4">
      <c r="A296" s="136">
        <v>44077</v>
      </c>
      <c r="B296" s="137">
        <v>71.5</v>
      </c>
      <c r="C296" s="133"/>
      <c r="D296" s="50">
        <f t="shared" si="4"/>
        <v>-8.0466148723640218E-3</v>
      </c>
      <c r="E296" s="49"/>
    </row>
    <row r="297" spans="1:5" ht="14.4">
      <c r="A297" s="136">
        <v>44076</v>
      </c>
      <c r="B297" s="137">
        <v>72.08</v>
      </c>
      <c r="C297" s="133"/>
      <c r="D297" s="50">
        <f t="shared" si="4"/>
        <v>3.6078769584591219E-2</v>
      </c>
      <c r="E297" s="49"/>
    </row>
    <row r="298" spans="1:5" ht="14.4">
      <c r="A298" s="136">
        <v>44075</v>
      </c>
      <c r="B298" s="137">
        <v>69.569999999999993</v>
      </c>
      <c r="C298" s="133"/>
      <c r="D298" s="50">
        <f t="shared" si="4"/>
        <v>1.0604299825682562E-2</v>
      </c>
      <c r="E298" s="49"/>
    </row>
    <row r="299" spans="1:5" ht="14.4">
      <c r="A299" s="136">
        <v>44074</v>
      </c>
      <c r="B299" s="137">
        <v>68.84</v>
      </c>
      <c r="C299" s="133"/>
      <c r="D299" s="50">
        <f t="shared" si="4"/>
        <v>-3.6394176931690891E-2</v>
      </c>
      <c r="E299" s="49"/>
    </row>
    <row r="300" spans="1:5" ht="14.4">
      <c r="A300" s="136">
        <v>44071</v>
      </c>
      <c r="B300" s="137">
        <v>71.44</v>
      </c>
      <c r="C300" s="133"/>
      <c r="D300" s="50">
        <f t="shared" si="4"/>
        <v>-9.2913604215781875E-3</v>
      </c>
      <c r="E300" s="49"/>
    </row>
    <row r="301" spans="1:5" ht="14.4">
      <c r="A301" s="136">
        <v>44070</v>
      </c>
      <c r="B301" s="137">
        <v>72.11</v>
      </c>
      <c r="C301" s="133"/>
      <c r="D301" s="50">
        <f t="shared" si="4"/>
        <v>2.6623006833712992E-2</v>
      </c>
      <c r="E301" s="49"/>
    </row>
    <row r="302" spans="1:5" ht="14.4">
      <c r="A302" s="136">
        <v>44069</v>
      </c>
      <c r="B302" s="137">
        <v>70.239999999999995</v>
      </c>
      <c r="C302" s="133"/>
      <c r="D302" s="50">
        <f t="shared" si="4"/>
        <v>-1.8446059250978308E-2</v>
      </c>
      <c r="E302" s="49"/>
    </row>
    <row r="303" spans="1:5" ht="14.4">
      <c r="A303" s="136">
        <v>44068</v>
      </c>
      <c r="B303" s="137">
        <v>71.56</v>
      </c>
      <c r="C303" s="133"/>
      <c r="D303" s="50">
        <f t="shared" si="4"/>
        <v>-7.4895977808597802E-3</v>
      </c>
      <c r="E303" s="49"/>
    </row>
    <row r="304" spans="1:5" ht="14.4">
      <c r="A304" s="136">
        <v>44067</v>
      </c>
      <c r="B304" s="137">
        <v>72.099999999999994</v>
      </c>
      <c r="C304" s="133"/>
      <c r="D304" s="50">
        <f t="shared" si="4"/>
        <v>4.371742906774756E-2</v>
      </c>
      <c r="E304" s="49"/>
    </row>
    <row r="305" spans="1:5" ht="14.4">
      <c r="A305" s="136">
        <v>44064</v>
      </c>
      <c r="B305" s="137">
        <v>69.08</v>
      </c>
      <c r="C305" s="133"/>
      <c r="D305" s="50">
        <f t="shared" si="4"/>
        <v>-1.3011421136330803E-3</v>
      </c>
      <c r="E305" s="49"/>
    </row>
    <row r="306" spans="1:5" ht="14.4">
      <c r="A306" s="136">
        <v>44063</v>
      </c>
      <c r="B306" s="137">
        <v>69.17</v>
      </c>
      <c r="C306" s="133"/>
      <c r="D306" s="50">
        <f t="shared" si="4"/>
        <v>-1.5373665480427068E-2</v>
      </c>
      <c r="E306" s="49"/>
    </row>
    <row r="307" spans="1:5" ht="14.4">
      <c r="A307" s="136">
        <v>44062</v>
      </c>
      <c r="B307" s="137">
        <v>70.25</v>
      </c>
      <c r="C307" s="133"/>
      <c r="D307" s="50">
        <f t="shared" si="4"/>
        <v>1.4733497038855958E-2</v>
      </c>
      <c r="E307" s="49"/>
    </row>
    <row r="308" spans="1:5" ht="14.4">
      <c r="A308" s="136">
        <v>44061</v>
      </c>
      <c r="B308" s="137">
        <v>69.23</v>
      </c>
      <c r="C308" s="133"/>
      <c r="D308" s="50">
        <f t="shared" si="4"/>
        <v>-3.0935050391937224E-2</v>
      </c>
      <c r="E308" s="49"/>
    </row>
    <row r="309" spans="1:5" ht="14.4">
      <c r="A309" s="136">
        <v>44060</v>
      </c>
      <c r="B309" s="137">
        <v>71.44</v>
      </c>
      <c r="C309" s="133"/>
      <c r="D309" s="50">
        <f t="shared" si="4"/>
        <v>-9.2913604215781875E-3</v>
      </c>
      <c r="E309" s="49"/>
    </row>
    <row r="310" spans="1:5" ht="14.4">
      <c r="A310" s="136">
        <v>44057</v>
      </c>
      <c r="B310" s="137">
        <v>72.11</v>
      </c>
      <c r="C310" s="133"/>
      <c r="D310" s="50">
        <f t="shared" si="4"/>
        <v>-1.6234652114597514E-2</v>
      </c>
      <c r="E310" s="49"/>
    </row>
    <row r="311" spans="1:5" ht="14.4">
      <c r="A311" s="136">
        <v>44056</v>
      </c>
      <c r="B311" s="137">
        <v>73.3</v>
      </c>
      <c r="C311" s="133"/>
      <c r="D311" s="50">
        <f t="shared" si="4"/>
        <v>-2.1623064602242503E-2</v>
      </c>
      <c r="E311" s="49"/>
    </row>
    <row r="312" spans="1:5" ht="14.4">
      <c r="A312" s="136">
        <v>44055</v>
      </c>
      <c r="B312" s="137">
        <v>74.92</v>
      </c>
      <c r="C312" s="133"/>
      <c r="D312" s="50">
        <f t="shared" si="4"/>
        <v>-1.6539774218955139E-2</v>
      </c>
      <c r="E312" s="49"/>
    </row>
    <row r="313" spans="1:5" ht="14.4">
      <c r="A313" s="136">
        <v>44054</v>
      </c>
      <c r="B313" s="137">
        <v>76.180000000000007</v>
      </c>
      <c r="C313" s="133"/>
      <c r="D313" s="50">
        <f t="shared" si="4"/>
        <v>5.717457674160431E-2</v>
      </c>
      <c r="E313" s="49"/>
    </row>
    <row r="314" spans="1:5" ht="14.4">
      <c r="A314" s="136">
        <v>44053</v>
      </c>
      <c r="B314" s="137">
        <v>72.06</v>
      </c>
      <c r="C314" s="133"/>
      <c r="D314" s="50">
        <f t="shared" si="4"/>
        <v>3.9826839826839988E-2</v>
      </c>
      <c r="E314" s="49"/>
    </row>
    <row r="315" spans="1:5" ht="14.4">
      <c r="A315" s="136">
        <v>44050</v>
      </c>
      <c r="B315" s="137">
        <v>69.3</v>
      </c>
      <c r="C315" s="133"/>
      <c r="D315" s="50">
        <f t="shared" si="4"/>
        <v>1.4195814429972087E-2</v>
      </c>
      <c r="E315" s="49"/>
    </row>
    <row r="316" spans="1:5" ht="14.4">
      <c r="A316" s="136">
        <v>44049</v>
      </c>
      <c r="B316" s="137">
        <v>68.33</v>
      </c>
      <c r="C316" s="133"/>
      <c r="D316" s="50">
        <f t="shared" si="4"/>
        <v>5.2964543180815671E-3</v>
      </c>
      <c r="E316" s="49"/>
    </row>
    <row r="317" spans="1:5" ht="14.4">
      <c r="A317" s="136">
        <v>44048</v>
      </c>
      <c r="B317" s="137">
        <v>67.97</v>
      </c>
      <c r="C317" s="133"/>
      <c r="D317" s="50">
        <f t="shared" si="4"/>
        <v>3.4866017052375131E-2</v>
      </c>
      <c r="E317" s="49"/>
    </row>
    <row r="318" spans="1:5" ht="14.4">
      <c r="A318" s="136">
        <v>44047</v>
      </c>
      <c r="B318" s="137">
        <v>65.680000000000007</v>
      </c>
      <c r="C318" s="133"/>
      <c r="D318" s="50">
        <f t="shared" si="4"/>
        <v>3.0597834614781272E-2</v>
      </c>
      <c r="E318" s="49"/>
    </row>
    <row r="319" spans="1:5" ht="14.4">
      <c r="A319" s="136">
        <v>44046</v>
      </c>
      <c r="B319" s="137">
        <v>63.73</v>
      </c>
      <c r="C319" s="133"/>
      <c r="D319" s="50">
        <f t="shared" si="4"/>
        <v>2.7737461699725907E-2</v>
      </c>
      <c r="E319" s="49"/>
    </row>
    <row r="320" spans="1:5" ht="14.4">
      <c r="A320" s="136">
        <v>44043</v>
      </c>
      <c r="B320" s="137">
        <v>62.01</v>
      </c>
      <c r="C320" s="133"/>
      <c r="D320" s="50">
        <f t="shared" si="4"/>
        <v>-2.0997789706346803E-2</v>
      </c>
      <c r="E320" s="49"/>
    </row>
    <row r="321" spans="1:5" ht="14.4">
      <c r="A321" s="136">
        <v>44042</v>
      </c>
      <c r="B321" s="137">
        <v>63.34</v>
      </c>
      <c r="C321" s="133"/>
      <c r="D321" s="50">
        <f t="shared" si="4"/>
        <v>1.8655516243164971E-2</v>
      </c>
      <c r="E321" s="49"/>
    </row>
    <row r="322" spans="1:5" ht="14.4">
      <c r="A322" s="136">
        <v>44041</v>
      </c>
      <c r="B322" s="137">
        <v>62.18</v>
      </c>
      <c r="C322" s="133"/>
      <c r="D322" s="50">
        <f t="shared" si="4"/>
        <v>-2.6155050900548149E-2</v>
      </c>
      <c r="E322" s="49"/>
    </row>
    <row r="323" spans="1:5" ht="14.4">
      <c r="A323" s="136">
        <v>44040</v>
      </c>
      <c r="B323" s="137">
        <v>63.85</v>
      </c>
      <c r="C323" s="133"/>
      <c r="D323" s="50">
        <f t="shared" si="4"/>
        <v>3.116925064599485E-2</v>
      </c>
      <c r="E323" s="49"/>
    </row>
    <row r="324" spans="1:5" ht="14.4">
      <c r="A324" s="136">
        <v>44039</v>
      </c>
      <c r="B324" s="137">
        <v>61.92</v>
      </c>
      <c r="C324" s="133"/>
      <c r="D324" s="50">
        <f t="shared" si="4"/>
        <v>-3.1440638198029114E-2</v>
      </c>
      <c r="E324" s="49"/>
    </row>
    <row r="325" spans="1:5" ht="14.4">
      <c r="A325" s="136">
        <v>44036</v>
      </c>
      <c r="B325" s="137">
        <v>63.93</v>
      </c>
      <c r="C325" s="133"/>
      <c r="D325" s="50">
        <f t="shared" si="4"/>
        <v>-2.0680147058823595E-2</v>
      </c>
      <c r="E325" s="49"/>
    </row>
    <row r="326" spans="1:5" ht="14.4">
      <c r="A326" s="136">
        <v>44035</v>
      </c>
      <c r="B326" s="137">
        <v>65.28</v>
      </c>
      <c r="C326" s="133"/>
      <c r="D326" s="50">
        <f t="shared" si="4"/>
        <v>-2.7268663388466674E-2</v>
      </c>
      <c r="E326" s="49"/>
    </row>
    <row r="327" spans="1:5" ht="14.4">
      <c r="A327" s="136">
        <v>44034</v>
      </c>
      <c r="B327" s="137">
        <v>67.11</v>
      </c>
      <c r="C327" s="133"/>
      <c r="D327" s="50">
        <f t="shared" si="4"/>
        <v>-1.3813372520205647E-2</v>
      </c>
      <c r="E327" s="49"/>
    </row>
    <row r="328" spans="1:5" ht="14.4">
      <c r="A328" s="136">
        <v>44033</v>
      </c>
      <c r="B328" s="137">
        <v>68.05</v>
      </c>
      <c r="C328" s="133"/>
      <c r="D328" s="50">
        <f t="shared" ref="D328:D391" si="5">(B328-C328)/B329-1</f>
        <v>3.5611018109876769E-2</v>
      </c>
      <c r="E328" s="49"/>
    </row>
    <row r="329" spans="1:5" ht="14.4">
      <c r="A329" s="136">
        <v>44032</v>
      </c>
      <c r="B329" s="137">
        <v>65.709999999999994</v>
      </c>
      <c r="C329" s="133"/>
      <c r="D329" s="50">
        <f t="shared" si="5"/>
        <v>-2.8831562974205305E-3</v>
      </c>
      <c r="E329" s="49"/>
    </row>
    <row r="330" spans="1:5" ht="14.4">
      <c r="A330" s="136">
        <v>44029</v>
      </c>
      <c r="B330" s="137">
        <v>65.900000000000006</v>
      </c>
      <c r="C330" s="133"/>
      <c r="D330" s="50">
        <f t="shared" si="5"/>
        <v>-1.6417910447761086E-2</v>
      </c>
      <c r="E330" s="49"/>
    </row>
    <row r="331" spans="1:5" ht="14.4">
      <c r="A331" s="136">
        <v>44028</v>
      </c>
      <c r="B331" s="137">
        <v>67</v>
      </c>
      <c r="C331" s="133"/>
      <c r="D331" s="50">
        <f t="shared" si="5"/>
        <v>-3.2071655590869663E-2</v>
      </c>
      <c r="E331" s="49"/>
    </row>
    <row r="332" spans="1:5" ht="14.4">
      <c r="A332" s="136">
        <v>44027</v>
      </c>
      <c r="B332" s="137">
        <v>69.22</v>
      </c>
      <c r="C332" s="133"/>
      <c r="D332" s="50">
        <f t="shared" si="5"/>
        <v>4.6251511487303443E-2</v>
      </c>
      <c r="E332" s="49"/>
    </row>
    <row r="333" spans="1:5" ht="14.4">
      <c r="A333" s="136">
        <v>44026</v>
      </c>
      <c r="B333" s="137">
        <v>66.16</v>
      </c>
      <c r="C333" s="133"/>
      <c r="D333" s="50">
        <f t="shared" si="5"/>
        <v>-2.4907885040530542E-2</v>
      </c>
      <c r="E333" s="49"/>
    </row>
    <row r="334" spans="1:5" ht="14.4">
      <c r="A334" s="136">
        <v>44025</v>
      </c>
      <c r="B334" s="137">
        <v>67.849999999999994</v>
      </c>
      <c r="C334" s="133"/>
      <c r="D334" s="50">
        <f t="shared" si="5"/>
        <v>3.6669213139801204E-2</v>
      </c>
      <c r="E334" s="49"/>
    </row>
    <row r="335" spans="1:5" ht="14.4">
      <c r="A335" s="136">
        <v>44022</v>
      </c>
      <c r="B335" s="137">
        <v>65.45</v>
      </c>
      <c r="C335" s="133"/>
      <c r="D335" s="50">
        <f t="shared" si="5"/>
        <v>3.527364757987983E-2</v>
      </c>
      <c r="E335" s="49"/>
    </row>
    <row r="336" spans="1:5" ht="14.4">
      <c r="A336" s="136">
        <v>44021</v>
      </c>
      <c r="B336" s="137">
        <v>63.22</v>
      </c>
      <c r="C336" s="133"/>
      <c r="D336" s="50">
        <f t="shared" si="5"/>
        <v>-3.9647577092510988E-2</v>
      </c>
      <c r="E336" s="49"/>
    </row>
    <row r="337" spans="1:5" ht="14.4">
      <c r="A337" s="136">
        <v>44020</v>
      </c>
      <c r="B337" s="137">
        <v>65.83</v>
      </c>
      <c r="C337" s="133"/>
      <c r="D337" s="50">
        <f t="shared" si="5"/>
        <v>-2.1842496285289781E-2</v>
      </c>
      <c r="E337" s="49"/>
    </row>
    <row r="338" spans="1:5" ht="14.4">
      <c r="A338" s="136">
        <v>44019</v>
      </c>
      <c r="B338" s="137">
        <v>67.3</v>
      </c>
      <c r="C338" s="133"/>
      <c r="D338" s="50">
        <f t="shared" si="5"/>
        <v>-6.2020082693443612E-3</v>
      </c>
      <c r="E338" s="49"/>
    </row>
    <row r="339" spans="1:5" ht="14.4">
      <c r="A339" s="136">
        <v>44018</v>
      </c>
      <c r="B339" s="137">
        <v>67.72</v>
      </c>
      <c r="C339" s="133"/>
      <c r="D339" s="50">
        <f t="shared" si="5"/>
        <v>3.184519274721942E-2</v>
      </c>
      <c r="E339" s="49"/>
    </row>
    <row r="340" spans="1:5" ht="14.4">
      <c r="A340" s="136">
        <v>44015</v>
      </c>
      <c r="B340" s="137">
        <v>65.63</v>
      </c>
      <c r="C340" s="133"/>
      <c r="D340" s="50">
        <f t="shared" si="5"/>
        <v>-1.1745219093510006E-2</v>
      </c>
      <c r="E340" s="49"/>
    </row>
    <row r="341" spans="1:5" ht="14.4">
      <c r="A341" s="136">
        <v>44014</v>
      </c>
      <c r="B341" s="137">
        <v>66.41</v>
      </c>
      <c r="C341" s="133"/>
      <c r="D341" s="50">
        <f t="shared" si="5"/>
        <v>3.4584826296931048E-2</v>
      </c>
      <c r="E341" s="49"/>
    </row>
    <row r="342" spans="1:5" ht="14.4">
      <c r="A342" s="136">
        <v>44013</v>
      </c>
      <c r="B342" s="137">
        <v>64.19</v>
      </c>
      <c r="C342" s="133"/>
      <c r="D342" s="50">
        <f t="shared" si="5"/>
        <v>1.0547858942065336E-2</v>
      </c>
      <c r="E342" s="49"/>
    </row>
    <row r="343" spans="1:5" ht="14.4">
      <c r="A343" s="136">
        <v>44012</v>
      </c>
      <c r="B343" s="137">
        <v>63.52</v>
      </c>
      <c r="C343" s="133"/>
      <c r="D343" s="50">
        <f t="shared" si="5"/>
        <v>2.6835043409629833E-3</v>
      </c>
      <c r="E343" s="49"/>
    </row>
    <row r="344" spans="1:5" ht="14.4">
      <c r="A344" s="136">
        <v>44011</v>
      </c>
      <c r="B344" s="137">
        <v>63.35</v>
      </c>
      <c r="C344" s="133"/>
      <c r="D344" s="50">
        <f t="shared" si="5"/>
        <v>2.3755656108597201E-2</v>
      </c>
      <c r="E344" s="49"/>
    </row>
    <row r="345" spans="1:5" ht="14.4">
      <c r="A345" s="136">
        <v>44008</v>
      </c>
      <c r="B345" s="137">
        <v>61.88</v>
      </c>
      <c r="C345" s="133"/>
      <c r="D345" s="50">
        <f t="shared" si="5"/>
        <v>-3.1914893617021267E-2</v>
      </c>
      <c r="E345" s="49"/>
    </row>
    <row r="346" spans="1:5" ht="14.4">
      <c r="A346" s="136">
        <v>44007</v>
      </c>
      <c r="B346" s="137">
        <v>63.92</v>
      </c>
      <c r="C346" s="133"/>
      <c r="D346" s="50">
        <f t="shared" si="5"/>
        <v>1.5086549150389095E-2</v>
      </c>
      <c r="E346" s="49"/>
    </row>
    <row r="347" spans="1:5" ht="14.4">
      <c r="A347" s="136">
        <v>44006</v>
      </c>
      <c r="B347" s="137">
        <v>62.97</v>
      </c>
      <c r="C347" s="133"/>
      <c r="D347" s="50">
        <f t="shared" si="5"/>
        <v>-5.6770521270221752E-2</v>
      </c>
      <c r="E347" s="49"/>
    </row>
    <row r="348" spans="1:5" ht="14.4">
      <c r="A348" s="136">
        <v>44005</v>
      </c>
      <c r="B348" s="137">
        <v>66.760000000000005</v>
      </c>
      <c r="C348" s="133"/>
      <c r="D348" s="50">
        <f t="shared" si="5"/>
        <v>-7.4338388343740958E-3</v>
      </c>
      <c r="E348" s="49"/>
    </row>
    <row r="349" spans="1:5" ht="14.4">
      <c r="A349" s="136">
        <v>44004</v>
      </c>
      <c r="B349" s="137">
        <v>67.260000000000005</v>
      </c>
      <c r="C349" s="133"/>
      <c r="D349" s="50">
        <f t="shared" si="5"/>
        <v>-2.3235550392099791E-2</v>
      </c>
      <c r="E349" s="49"/>
    </row>
    <row r="350" spans="1:5" ht="14.4">
      <c r="A350" s="136">
        <v>44001</v>
      </c>
      <c r="B350" s="137">
        <v>68.86</v>
      </c>
      <c r="C350" s="133"/>
      <c r="D350" s="50">
        <f t="shared" si="5"/>
        <v>1.5334709525213874E-2</v>
      </c>
      <c r="E350" s="49"/>
    </row>
    <row r="351" spans="1:5" ht="14.4">
      <c r="A351" s="136">
        <v>44000</v>
      </c>
      <c r="B351" s="137">
        <v>67.819999999999993</v>
      </c>
      <c r="C351" s="133"/>
      <c r="D351" s="50">
        <f t="shared" si="5"/>
        <v>-2.7670250896057458E-2</v>
      </c>
      <c r="E351" s="49"/>
    </row>
    <row r="352" spans="1:5" ht="14.4">
      <c r="A352" s="136">
        <v>43999</v>
      </c>
      <c r="B352" s="137">
        <v>69.75</v>
      </c>
      <c r="C352" s="133"/>
      <c r="D352" s="50">
        <f t="shared" si="5"/>
        <v>-1.1456394099956801E-3</v>
      </c>
      <c r="E352" s="49"/>
    </row>
    <row r="353" spans="1:5" ht="14.4">
      <c r="A353" s="136">
        <v>43998</v>
      </c>
      <c r="B353" s="137">
        <v>69.83</v>
      </c>
      <c r="C353" s="133"/>
      <c r="D353" s="50">
        <f t="shared" si="5"/>
        <v>2.6911764705882302E-2</v>
      </c>
      <c r="E353" s="49"/>
    </row>
    <row r="354" spans="1:5" ht="14.4">
      <c r="A354" s="136">
        <v>43997</v>
      </c>
      <c r="B354" s="137">
        <v>68</v>
      </c>
      <c r="C354" s="133"/>
      <c r="D354" s="50">
        <f t="shared" si="5"/>
        <v>1.5683345780433067E-2</v>
      </c>
      <c r="E354" s="49"/>
    </row>
    <row r="355" spans="1:5" ht="14.4">
      <c r="A355" s="136">
        <v>43994</v>
      </c>
      <c r="B355" s="137">
        <v>66.95</v>
      </c>
      <c r="C355" s="133"/>
      <c r="D355" s="50">
        <f t="shared" si="5"/>
        <v>-1.6403220996122903E-3</v>
      </c>
      <c r="E355" s="49"/>
    </row>
    <row r="356" spans="1:5" ht="14.4">
      <c r="A356" s="136">
        <v>43993</v>
      </c>
      <c r="B356" s="137">
        <v>67.06</v>
      </c>
      <c r="C356" s="133"/>
      <c r="D356" s="50">
        <f t="shared" si="5"/>
        <v>-0.10538954108858045</v>
      </c>
      <c r="E356" s="49"/>
    </row>
    <row r="357" spans="1:5" ht="14.4">
      <c r="A357" s="136">
        <v>43992</v>
      </c>
      <c r="B357" s="137">
        <v>74.959999999999994</v>
      </c>
      <c r="C357" s="133"/>
      <c r="D357" s="50">
        <f t="shared" si="5"/>
        <v>-9.3828465706357056E-3</v>
      </c>
      <c r="E357" s="49"/>
    </row>
    <row r="358" spans="1:5" ht="14.4">
      <c r="A358" s="136">
        <v>43991</v>
      </c>
      <c r="B358" s="137">
        <v>75.67</v>
      </c>
      <c r="C358" s="133"/>
      <c r="D358" s="50">
        <f t="shared" si="5"/>
        <v>-7.6181174459772905E-2</v>
      </c>
      <c r="E358" s="49"/>
    </row>
    <row r="359" spans="1:5" ht="14.4">
      <c r="A359" s="136">
        <v>43990</v>
      </c>
      <c r="B359" s="137">
        <v>81.91</v>
      </c>
      <c r="C359" s="133"/>
      <c r="D359" s="50">
        <f t="shared" si="5"/>
        <v>1.1484317115336928E-2</v>
      </c>
      <c r="E359" s="49"/>
    </row>
    <row r="360" spans="1:5" ht="14.4">
      <c r="A360" s="136">
        <v>43987</v>
      </c>
      <c r="B360" s="137">
        <v>80.98</v>
      </c>
      <c r="C360" s="133"/>
      <c r="D360" s="50">
        <f t="shared" si="5"/>
        <v>0.12503473186996383</v>
      </c>
      <c r="E360" s="49"/>
    </row>
    <row r="361" spans="1:5" ht="14.4">
      <c r="A361" s="136">
        <v>43986</v>
      </c>
      <c r="B361" s="137">
        <v>71.98</v>
      </c>
      <c r="C361" s="133"/>
      <c r="D361" s="50">
        <f t="shared" si="5"/>
        <v>5.2185353018564751E-2</v>
      </c>
      <c r="E361" s="49"/>
    </row>
    <row r="362" spans="1:5" ht="14.4">
      <c r="A362" s="136">
        <v>43985</v>
      </c>
      <c r="B362" s="137">
        <v>68.41</v>
      </c>
      <c r="C362" s="133"/>
      <c r="D362" s="50">
        <f t="shared" si="5"/>
        <v>7.3940345368916693E-2</v>
      </c>
      <c r="E362" s="49"/>
    </row>
    <row r="363" spans="1:5" ht="14.4">
      <c r="A363" s="136">
        <v>43984</v>
      </c>
      <c r="B363" s="137">
        <v>63.7</v>
      </c>
      <c r="C363" s="133"/>
      <c r="D363" s="50">
        <f t="shared" si="5"/>
        <v>7.1668909825033822E-2</v>
      </c>
      <c r="E363" s="49"/>
    </row>
    <row r="364" spans="1:5" ht="14.4">
      <c r="A364" s="136">
        <v>43983</v>
      </c>
      <c r="B364" s="137">
        <v>59.44</v>
      </c>
      <c r="C364" s="133"/>
      <c r="D364" s="50">
        <f t="shared" si="5"/>
        <v>4.8324514991181511E-2</v>
      </c>
      <c r="E364" s="49"/>
    </row>
    <row r="365" spans="1:5" ht="14.4">
      <c r="A365" s="136">
        <v>43980</v>
      </c>
      <c r="B365" s="137">
        <v>56.7</v>
      </c>
      <c r="C365" s="133"/>
      <c r="D365" s="50">
        <f t="shared" si="5"/>
        <v>-5.6886227544910128E-2</v>
      </c>
      <c r="E365" s="49"/>
    </row>
    <row r="366" spans="1:5" ht="14.4">
      <c r="A366" s="136">
        <v>43979</v>
      </c>
      <c r="B366" s="137">
        <v>60.12</v>
      </c>
      <c r="C366" s="133"/>
      <c r="D366" s="50">
        <f t="shared" si="5"/>
        <v>-1.6522165876002082E-2</v>
      </c>
      <c r="E366" s="49"/>
    </row>
    <row r="367" spans="1:5" ht="14.4">
      <c r="A367" s="136">
        <v>43978</v>
      </c>
      <c r="B367" s="137">
        <v>61.13</v>
      </c>
      <c r="C367" s="133"/>
      <c r="D367" s="50">
        <f t="shared" si="5"/>
        <v>-2.6747333227193137E-2</v>
      </c>
      <c r="E367" s="49"/>
    </row>
    <row r="368" spans="1:5" ht="14.4">
      <c r="A368" s="136">
        <v>43977</v>
      </c>
      <c r="B368" s="137">
        <v>62.81</v>
      </c>
      <c r="C368" s="133"/>
      <c r="D368" s="50">
        <f t="shared" si="5"/>
        <v>7.1111869031377895E-2</v>
      </c>
      <c r="E368" s="49"/>
    </row>
    <row r="369" spans="1:5" ht="14.4">
      <c r="A369" s="136">
        <v>43976</v>
      </c>
      <c r="B369" s="137">
        <v>58.64</v>
      </c>
      <c r="C369" s="133"/>
      <c r="D369" s="50">
        <f t="shared" si="5"/>
        <v>8.5122131754256092E-2</v>
      </c>
      <c r="E369" s="49"/>
    </row>
    <row r="370" spans="1:5" ht="14.4">
      <c r="A370" s="136">
        <v>43973</v>
      </c>
      <c r="B370" s="137">
        <v>54.04</v>
      </c>
      <c r="C370" s="133"/>
      <c r="D370" s="50">
        <f t="shared" si="5"/>
        <v>-1.1161939615736527E-2</v>
      </c>
      <c r="E370" s="49"/>
    </row>
    <row r="371" spans="1:5" ht="14.4">
      <c r="A371" s="136">
        <v>43972</v>
      </c>
      <c r="B371" s="137">
        <v>54.65</v>
      </c>
      <c r="C371" s="133"/>
      <c r="D371" s="50">
        <f t="shared" si="5"/>
        <v>-7.2661217075385975E-3</v>
      </c>
      <c r="E371" s="49"/>
    </row>
    <row r="372" spans="1:5" ht="14.4">
      <c r="A372" s="136">
        <v>43971</v>
      </c>
      <c r="B372" s="137">
        <v>55.05</v>
      </c>
      <c r="C372" s="133"/>
      <c r="D372" s="50">
        <f t="shared" si="5"/>
        <v>1.5120781855061827E-2</v>
      </c>
      <c r="E372" s="49"/>
    </row>
    <row r="373" spans="1:5" ht="14.4">
      <c r="A373" s="136">
        <v>43970</v>
      </c>
      <c r="B373" s="137">
        <v>54.23</v>
      </c>
      <c r="C373" s="133"/>
      <c r="D373" s="50">
        <f t="shared" si="5"/>
        <v>-2.0057824358511112E-2</v>
      </c>
      <c r="E373" s="49"/>
    </row>
    <row r="374" spans="1:5" ht="14.4">
      <c r="A374" s="136">
        <v>43969</v>
      </c>
      <c r="B374" s="137">
        <v>55.34</v>
      </c>
      <c r="C374" s="133"/>
      <c r="D374" s="50">
        <f t="shared" si="5"/>
        <v>0.12228756844453459</v>
      </c>
      <c r="E374" s="49"/>
    </row>
    <row r="375" spans="1:5" ht="14.4">
      <c r="A375" s="136">
        <v>43966</v>
      </c>
      <c r="B375" s="137">
        <v>49.31</v>
      </c>
      <c r="C375" s="133"/>
      <c r="D375" s="50">
        <f t="shared" si="5"/>
        <v>-1.1427425821972759E-2</v>
      </c>
      <c r="E375" s="49"/>
    </row>
    <row r="376" spans="1:5" ht="14.4">
      <c r="A376" s="136">
        <v>43965</v>
      </c>
      <c r="B376" s="137">
        <v>49.88</v>
      </c>
      <c r="C376" s="133"/>
      <c r="D376" s="50">
        <f t="shared" si="5"/>
        <v>5.6451612903225534E-3</v>
      </c>
      <c r="E376" s="49"/>
    </row>
    <row r="377" spans="1:5" ht="14.4">
      <c r="A377" s="136">
        <v>43964</v>
      </c>
      <c r="B377" s="137">
        <v>49.6</v>
      </c>
      <c r="C377" s="133"/>
      <c r="D377" s="50">
        <f t="shared" si="5"/>
        <v>-3.162827020695036E-2</v>
      </c>
      <c r="E377" s="49"/>
    </row>
    <row r="378" spans="1:5" ht="14.4">
      <c r="A378" s="136">
        <v>43963</v>
      </c>
      <c r="B378" s="137">
        <v>51.22</v>
      </c>
      <c r="C378" s="133"/>
      <c r="D378" s="50">
        <f t="shared" si="5"/>
        <v>-6.0183486238532091E-2</v>
      </c>
      <c r="E378" s="49"/>
    </row>
    <row r="379" spans="1:5" ht="14.4">
      <c r="A379" s="136">
        <v>43962</v>
      </c>
      <c r="B379" s="137">
        <v>54.5</v>
      </c>
      <c r="C379" s="133"/>
      <c r="D379" s="50">
        <f t="shared" si="5"/>
        <v>-2.800071339397181E-2</v>
      </c>
      <c r="E379" s="49"/>
    </row>
    <row r="380" spans="1:5" ht="14.4">
      <c r="A380" s="136">
        <v>43959</v>
      </c>
      <c r="B380" s="137">
        <v>56.07</v>
      </c>
      <c r="C380" s="133"/>
      <c r="D380" s="50">
        <f t="shared" si="5"/>
        <v>5.7399103139013086E-3</v>
      </c>
      <c r="E380" s="49"/>
    </row>
    <row r="381" spans="1:5" ht="14.4">
      <c r="A381" s="136">
        <v>43958</v>
      </c>
      <c r="B381" s="137">
        <v>55.75</v>
      </c>
      <c r="C381" s="133"/>
      <c r="D381" s="50">
        <f t="shared" si="5"/>
        <v>3.8175046554934866E-2</v>
      </c>
      <c r="E381" s="49"/>
    </row>
    <row r="382" spans="1:5" ht="14.4">
      <c r="A382" s="136">
        <v>43957</v>
      </c>
      <c r="B382" s="137">
        <v>53.7</v>
      </c>
      <c r="C382" s="133"/>
      <c r="D382" s="50">
        <f t="shared" si="5"/>
        <v>-4.8547129695251545E-2</v>
      </c>
      <c r="E382" s="49"/>
    </row>
    <row r="383" spans="1:5" ht="14.4">
      <c r="A383" s="136">
        <v>43956</v>
      </c>
      <c r="B383" s="137">
        <v>56.44</v>
      </c>
      <c r="C383" s="133"/>
      <c r="D383" s="50">
        <f t="shared" si="5"/>
        <v>2.6181818181818084E-2</v>
      </c>
      <c r="E383" s="49"/>
    </row>
    <row r="384" spans="1:5" ht="14.4">
      <c r="A384" s="136">
        <v>43955</v>
      </c>
      <c r="B384" s="137">
        <v>55</v>
      </c>
      <c r="C384" s="133"/>
      <c r="D384" s="50">
        <f t="shared" si="5"/>
        <v>-4.9758120248790672E-2</v>
      </c>
      <c r="E384" s="49"/>
    </row>
    <row r="385" spans="1:5" ht="14.4">
      <c r="A385" s="136">
        <v>43951</v>
      </c>
      <c r="B385" s="137">
        <v>57.88</v>
      </c>
      <c r="C385" s="133"/>
      <c r="D385" s="50">
        <f t="shared" si="5"/>
        <v>-8.7343723240280724E-3</v>
      </c>
      <c r="E385" s="49"/>
    </row>
    <row r="386" spans="1:5" ht="14.4">
      <c r="A386" s="136">
        <v>43950</v>
      </c>
      <c r="B386" s="137">
        <v>58.39</v>
      </c>
      <c r="C386" s="133"/>
      <c r="D386" s="50">
        <f t="shared" si="5"/>
        <v>0.10419818456883512</v>
      </c>
      <c r="E386" s="49"/>
    </row>
    <row r="387" spans="1:5" ht="14.4">
      <c r="A387" s="136">
        <v>43949</v>
      </c>
      <c r="B387" s="137">
        <v>52.88</v>
      </c>
      <c r="C387" s="133"/>
      <c r="D387" s="50">
        <f t="shared" si="5"/>
        <v>3.5441550812610245E-2</v>
      </c>
      <c r="E387" s="49"/>
    </row>
    <row r="388" spans="1:5" ht="14.4">
      <c r="A388" s="136">
        <v>43948</v>
      </c>
      <c r="B388" s="137">
        <v>51.07</v>
      </c>
      <c r="C388" s="133"/>
      <c r="D388" s="50">
        <f t="shared" si="5"/>
        <v>-2.4264424914023697E-2</v>
      </c>
      <c r="E388" s="49"/>
    </row>
    <row r="389" spans="1:5" ht="14.4">
      <c r="A389" s="136">
        <v>43945</v>
      </c>
      <c r="B389" s="137">
        <v>52.34</v>
      </c>
      <c r="C389" s="133"/>
      <c r="D389" s="50">
        <f t="shared" si="5"/>
        <v>-3.5207373271889386E-2</v>
      </c>
      <c r="E389" s="49"/>
    </row>
    <row r="390" spans="1:5" ht="14.4">
      <c r="A390" s="136">
        <v>43944</v>
      </c>
      <c r="B390" s="137">
        <v>54.25</v>
      </c>
      <c r="C390" s="133"/>
      <c r="D390" s="50">
        <f t="shared" si="5"/>
        <v>1.3450401643937848E-2</v>
      </c>
      <c r="E390" s="49"/>
    </row>
    <row r="391" spans="1:5" ht="14.4">
      <c r="A391" s="136">
        <v>43943</v>
      </c>
      <c r="B391" s="137">
        <v>53.53</v>
      </c>
      <c r="C391" s="133"/>
      <c r="D391" s="50">
        <f t="shared" si="5"/>
        <v>3.0215550423402515E-2</v>
      </c>
      <c r="E391" s="49"/>
    </row>
    <row r="392" spans="1:5" ht="14.4">
      <c r="A392" s="136">
        <v>43942</v>
      </c>
      <c r="B392" s="137">
        <v>51.96</v>
      </c>
      <c r="C392" s="133"/>
      <c r="D392" s="50">
        <f t="shared" ref="D392:D455" si="6">(B392-C392)/B393-1</f>
        <v>-6.580366774541524E-2</v>
      </c>
      <c r="E392" s="49"/>
    </row>
    <row r="393" spans="1:5" ht="14.4">
      <c r="A393" s="136">
        <v>43941</v>
      </c>
      <c r="B393" s="137">
        <v>55.62</v>
      </c>
      <c r="C393" s="133"/>
      <c r="D393" s="50">
        <f t="shared" si="6"/>
        <v>-2.0774647887323971E-2</v>
      </c>
      <c r="E393" s="49"/>
    </row>
    <row r="394" spans="1:5" ht="14.4">
      <c r="A394" s="136">
        <v>43938</v>
      </c>
      <c r="B394" s="137">
        <v>56.8</v>
      </c>
      <c r="C394" s="133"/>
      <c r="D394" s="50">
        <f t="shared" si="6"/>
        <v>6.7669172932330657E-2</v>
      </c>
      <c r="E394" s="49"/>
    </row>
    <row r="395" spans="1:5" ht="14.4">
      <c r="A395" s="136">
        <v>43937</v>
      </c>
      <c r="B395" s="137">
        <v>53.2</v>
      </c>
      <c r="C395" s="133"/>
      <c r="D395" s="50">
        <f t="shared" si="6"/>
        <v>-2.9197080291970656E-2</v>
      </c>
      <c r="E395" s="49"/>
    </row>
    <row r="396" spans="1:5" ht="14.4">
      <c r="A396" s="136">
        <v>43936</v>
      </c>
      <c r="B396" s="137">
        <v>54.8</v>
      </c>
      <c r="C396" s="133"/>
      <c r="D396" s="50">
        <f t="shared" si="6"/>
        <v>-8.666666666666667E-2</v>
      </c>
      <c r="E396" s="49"/>
    </row>
    <row r="397" spans="1:5" ht="14.4">
      <c r="A397" s="136">
        <v>43935</v>
      </c>
      <c r="B397" s="137">
        <v>60</v>
      </c>
      <c r="C397" s="133"/>
      <c r="D397" s="50">
        <f t="shared" si="6"/>
        <v>-1.6393442622950838E-2</v>
      </c>
      <c r="E397" s="49"/>
    </row>
    <row r="398" spans="1:5" ht="14.4">
      <c r="A398" s="136">
        <v>43930</v>
      </c>
      <c r="B398" s="137">
        <v>61</v>
      </c>
      <c r="C398" s="133"/>
      <c r="D398" s="50">
        <f t="shared" si="6"/>
        <v>1.9896338404948866E-2</v>
      </c>
      <c r="E398" s="49"/>
    </row>
    <row r="399" spans="1:5" ht="14.4">
      <c r="A399" s="136">
        <v>43929</v>
      </c>
      <c r="B399" s="137">
        <v>59.81</v>
      </c>
      <c r="C399" s="133"/>
      <c r="D399" s="50">
        <f t="shared" si="6"/>
        <v>4.8562412342216144E-2</v>
      </c>
      <c r="E399" s="49"/>
    </row>
    <row r="400" spans="1:5" ht="14.4">
      <c r="A400" s="136">
        <v>43928</v>
      </c>
      <c r="B400" s="137">
        <v>57.04</v>
      </c>
      <c r="C400" s="133"/>
      <c r="D400" s="50">
        <f t="shared" si="6"/>
        <v>6.5570708014197621E-2</v>
      </c>
      <c r="E400" s="49"/>
    </row>
    <row r="401" spans="1:5" ht="14.4">
      <c r="A401" s="136">
        <v>43927</v>
      </c>
      <c r="B401" s="137">
        <v>53.53</v>
      </c>
      <c r="C401" s="133"/>
      <c r="D401" s="50">
        <f t="shared" si="6"/>
        <v>8.1304918695081163E-2</v>
      </c>
      <c r="E401" s="49"/>
    </row>
    <row r="402" spans="1:5" ht="14.4">
      <c r="A402" s="136">
        <v>43924</v>
      </c>
      <c r="B402" s="137">
        <v>49.505000000000003</v>
      </c>
      <c r="C402" s="133"/>
      <c r="D402" s="50">
        <f t="shared" si="6"/>
        <v>-1.5217823751740633E-2</v>
      </c>
      <c r="E402" s="49"/>
    </row>
    <row r="403" spans="1:5" ht="14.4">
      <c r="A403" s="136">
        <v>43923</v>
      </c>
      <c r="B403" s="137">
        <v>50.27</v>
      </c>
      <c r="C403" s="133"/>
      <c r="D403" s="50">
        <f t="shared" si="6"/>
        <v>-3.6973180076628309E-2</v>
      </c>
      <c r="E403" s="49"/>
    </row>
    <row r="404" spans="1:5" ht="14.4">
      <c r="A404" s="136">
        <v>43922</v>
      </c>
      <c r="B404" s="137">
        <v>52.2</v>
      </c>
      <c r="C404" s="133"/>
      <c r="D404" s="50">
        <f t="shared" si="6"/>
        <v>-0.12032355915065718</v>
      </c>
      <c r="E404" s="49"/>
    </row>
    <row r="405" spans="1:5" ht="14.4">
      <c r="A405" s="136">
        <v>43921</v>
      </c>
      <c r="B405" s="137">
        <v>59.34</v>
      </c>
      <c r="C405" s="133"/>
      <c r="D405" s="50">
        <f t="shared" si="6"/>
        <v>-2.6095519448547488E-2</v>
      </c>
      <c r="E405" s="49"/>
    </row>
    <row r="406" spans="1:5" ht="14.4">
      <c r="A406" s="136">
        <v>43920</v>
      </c>
      <c r="B406" s="137">
        <v>60.93</v>
      </c>
      <c r="C406" s="133"/>
      <c r="D406" s="50">
        <f t="shared" si="6"/>
        <v>-0.10620507554642811</v>
      </c>
      <c r="E406" s="49"/>
    </row>
    <row r="407" spans="1:5" ht="14.4">
      <c r="A407" s="136">
        <v>43917</v>
      </c>
      <c r="B407" s="137">
        <v>68.17</v>
      </c>
      <c r="C407" s="133"/>
      <c r="D407" s="50">
        <f t="shared" si="6"/>
        <v>-5.699266841886852E-2</v>
      </c>
      <c r="E407" s="49"/>
    </row>
    <row r="408" spans="1:5" ht="14.4">
      <c r="A408" s="136">
        <v>43916</v>
      </c>
      <c r="B408" s="137">
        <v>72.290000000000006</v>
      </c>
      <c r="C408" s="133"/>
      <c r="D408" s="50">
        <f t="shared" si="6"/>
        <v>0.20463256123979345</v>
      </c>
      <c r="E408" s="49"/>
    </row>
    <row r="409" spans="1:5" ht="14.4">
      <c r="A409" s="136">
        <v>43915</v>
      </c>
      <c r="B409" s="137">
        <v>60.01</v>
      </c>
      <c r="C409" s="133"/>
      <c r="D409" s="50">
        <f t="shared" si="6"/>
        <v>7.1989996427295422E-2</v>
      </c>
      <c r="E409" s="49"/>
    </row>
    <row r="410" spans="1:5" ht="14.4">
      <c r="A410" s="136">
        <v>43914</v>
      </c>
      <c r="B410" s="137">
        <v>55.98</v>
      </c>
      <c r="C410" s="133"/>
      <c r="D410" s="50">
        <f t="shared" si="6"/>
        <v>1.7818181818181733E-2</v>
      </c>
      <c r="E410" s="49"/>
    </row>
    <row r="411" spans="1:5" ht="14.4">
      <c r="A411" s="136">
        <v>43913</v>
      </c>
      <c r="B411" s="137">
        <v>55</v>
      </c>
      <c r="C411" s="133"/>
      <c r="D411" s="50">
        <f t="shared" si="6"/>
        <v>-0.13766070868610847</v>
      </c>
      <c r="E411" s="49"/>
    </row>
    <row r="412" spans="1:5" ht="14.4">
      <c r="A412" s="136">
        <v>43910</v>
      </c>
      <c r="B412" s="137">
        <v>63.78</v>
      </c>
      <c r="C412" s="133"/>
      <c r="D412" s="50">
        <f t="shared" si="6"/>
        <v>0.18704634282523736</v>
      </c>
      <c r="E412" s="49"/>
    </row>
    <row r="413" spans="1:5" ht="14.4">
      <c r="A413" s="136">
        <v>43909</v>
      </c>
      <c r="B413" s="137">
        <v>53.73</v>
      </c>
      <c r="C413" s="133"/>
      <c r="D413" s="50">
        <f t="shared" si="6"/>
        <v>9.5077957811066982E-2</v>
      </c>
      <c r="E413" s="49"/>
    </row>
    <row r="414" spans="1:5" ht="14.4">
      <c r="A414" s="136">
        <v>43908</v>
      </c>
      <c r="B414" s="137">
        <v>49.064999999999998</v>
      </c>
      <c r="C414" s="133"/>
      <c r="D414" s="50">
        <f t="shared" si="6"/>
        <v>-0.22168464467005078</v>
      </c>
      <c r="E414" s="49"/>
    </row>
    <row r="415" spans="1:5" ht="14.4">
      <c r="A415" s="136">
        <v>43907</v>
      </c>
      <c r="B415" s="137">
        <v>63.04</v>
      </c>
      <c r="C415" s="133"/>
      <c r="D415" s="50">
        <f t="shared" si="6"/>
        <v>-8.6376811594202962E-2</v>
      </c>
      <c r="E415" s="49"/>
    </row>
    <row r="416" spans="1:5" ht="14.4">
      <c r="A416" s="136">
        <v>43906</v>
      </c>
      <c r="B416" s="137">
        <v>69</v>
      </c>
      <c r="C416" s="133"/>
      <c r="D416" s="50">
        <f t="shared" si="6"/>
        <v>-7.1707251446253228E-2</v>
      </c>
      <c r="E416" s="49"/>
    </row>
    <row r="417" spans="1:5" ht="14.4">
      <c r="A417" s="136">
        <v>43903</v>
      </c>
      <c r="B417" s="137">
        <v>74.33</v>
      </c>
      <c r="C417" s="133"/>
      <c r="D417" s="50">
        <f t="shared" si="6"/>
        <v>4.1619955156950716E-2</v>
      </c>
      <c r="E417" s="49"/>
    </row>
    <row r="418" spans="1:5" ht="14.4">
      <c r="A418" s="136">
        <v>43902</v>
      </c>
      <c r="B418" s="137">
        <v>71.36</v>
      </c>
      <c r="C418" s="133"/>
      <c r="D418" s="50">
        <f t="shared" si="6"/>
        <v>-0.16732788798133025</v>
      </c>
      <c r="E418" s="49"/>
    </row>
    <row r="419" spans="1:5" ht="14.4">
      <c r="A419" s="136">
        <v>43901</v>
      </c>
      <c r="B419" s="137">
        <v>85.7</v>
      </c>
      <c r="C419" s="133"/>
      <c r="D419" s="50">
        <f t="shared" si="6"/>
        <v>-4.3740236554340561E-2</v>
      </c>
      <c r="E419" s="49"/>
    </row>
    <row r="420" spans="1:5" ht="14.4">
      <c r="A420" s="136">
        <v>43900</v>
      </c>
      <c r="B420" s="137">
        <v>89.62</v>
      </c>
      <c r="C420" s="133"/>
      <c r="D420" s="50">
        <f t="shared" si="6"/>
        <v>-4.1115679519945214E-3</v>
      </c>
      <c r="E420" s="49"/>
    </row>
    <row r="421" spans="1:5" ht="14.4">
      <c r="A421" s="136">
        <v>43899</v>
      </c>
      <c r="B421" s="137">
        <v>89.99</v>
      </c>
      <c r="C421" s="133"/>
      <c r="D421" s="50">
        <f t="shared" si="6"/>
        <v>-9.5577889447236219E-2</v>
      </c>
      <c r="E421" s="49"/>
    </row>
    <row r="422" spans="1:5" ht="14.4">
      <c r="A422" s="136">
        <v>43896</v>
      </c>
      <c r="B422" s="137">
        <v>99.5</v>
      </c>
      <c r="C422" s="133"/>
      <c r="D422" s="50">
        <f t="shared" si="6"/>
        <v>-7.6308949127367187E-2</v>
      </c>
      <c r="E422" s="49"/>
    </row>
    <row r="423" spans="1:5" ht="14.4">
      <c r="A423" s="136">
        <v>43895</v>
      </c>
      <c r="B423" s="137">
        <v>107.72</v>
      </c>
      <c r="C423" s="133"/>
      <c r="D423" s="50">
        <f t="shared" si="6"/>
        <v>-2.919971160778656E-2</v>
      </c>
      <c r="E423" s="49"/>
    </row>
    <row r="424" spans="1:5" ht="14.4">
      <c r="A424" s="136">
        <v>43894</v>
      </c>
      <c r="B424" s="137">
        <v>110.96</v>
      </c>
      <c r="C424" s="133"/>
      <c r="D424" s="50">
        <f t="shared" si="6"/>
        <v>-1.0346057795219465E-2</v>
      </c>
      <c r="E424" s="49"/>
    </row>
    <row r="425" spans="1:5" ht="14.4">
      <c r="A425" s="136">
        <v>43893</v>
      </c>
      <c r="B425" s="137">
        <v>112.12</v>
      </c>
      <c r="C425" s="133"/>
      <c r="D425" s="50">
        <f t="shared" si="6"/>
        <v>4.181378925850221E-2</v>
      </c>
      <c r="E425" s="49"/>
    </row>
    <row r="426" spans="1:5" ht="14.4">
      <c r="A426" s="136">
        <v>43892</v>
      </c>
      <c r="B426" s="137">
        <v>107.62</v>
      </c>
      <c r="C426" s="133"/>
      <c r="D426" s="50">
        <f t="shared" si="6"/>
        <v>-4.4403330249768169E-3</v>
      </c>
      <c r="E426" s="49"/>
    </row>
    <row r="427" spans="1:5" ht="14.4">
      <c r="A427" s="136">
        <v>43889</v>
      </c>
      <c r="B427" s="137">
        <v>108.1</v>
      </c>
      <c r="C427" s="133"/>
      <c r="D427" s="50">
        <f t="shared" si="6"/>
        <v>-6.0000000000000053E-2</v>
      </c>
      <c r="E427" s="49"/>
    </row>
    <row r="428" spans="1:5" ht="14.4">
      <c r="A428" s="136">
        <v>43888</v>
      </c>
      <c r="B428" s="137">
        <v>115</v>
      </c>
      <c r="C428" s="133"/>
      <c r="D428" s="50">
        <f t="shared" si="6"/>
        <v>-4.6118115461181164E-2</v>
      </c>
      <c r="E428" s="49"/>
    </row>
    <row r="429" spans="1:5" ht="14.4">
      <c r="A429" s="136">
        <v>43887</v>
      </c>
      <c r="B429" s="137">
        <v>120.56</v>
      </c>
      <c r="C429" s="133"/>
      <c r="D429" s="50">
        <f t="shared" si="6"/>
        <v>-2.4121741945928421E-2</v>
      </c>
      <c r="E429" s="49"/>
    </row>
    <row r="430" spans="1:5" ht="14.4">
      <c r="A430" s="136">
        <v>43886</v>
      </c>
      <c r="B430" s="137">
        <v>123.54</v>
      </c>
      <c r="C430" s="133"/>
      <c r="D430" s="50">
        <f t="shared" si="6"/>
        <v>-6.7534973468402759E-3</v>
      </c>
      <c r="E430" s="49"/>
    </row>
    <row r="431" spans="1:5" ht="14.4">
      <c r="A431" s="136">
        <v>43885</v>
      </c>
      <c r="B431" s="137">
        <v>124.38</v>
      </c>
      <c r="C431" s="133"/>
      <c r="D431" s="50">
        <f t="shared" si="6"/>
        <v>-4.9373280342402959E-2</v>
      </c>
      <c r="E431" s="49"/>
    </row>
    <row r="432" spans="1:5" ht="14.4">
      <c r="A432" s="136">
        <v>43882</v>
      </c>
      <c r="B432" s="137">
        <v>130.84</v>
      </c>
      <c r="C432" s="133"/>
      <c r="D432" s="50">
        <f t="shared" si="6"/>
        <v>-7.1331006222491444E-3</v>
      </c>
      <c r="E432" s="49"/>
    </row>
    <row r="433" spans="1:5" ht="14.4">
      <c r="A433" s="136">
        <v>43881</v>
      </c>
      <c r="B433" s="137">
        <v>131.78</v>
      </c>
      <c r="C433" s="133"/>
      <c r="D433" s="50">
        <f t="shared" si="6"/>
        <v>-1.5174506828541379E-4</v>
      </c>
      <c r="E433" s="49"/>
    </row>
    <row r="434" spans="1:5" ht="14.4">
      <c r="A434" s="136">
        <v>43880</v>
      </c>
      <c r="B434" s="137">
        <v>131.80000000000001</v>
      </c>
      <c r="C434" s="133"/>
      <c r="D434" s="50">
        <f t="shared" si="6"/>
        <v>1.1822508828497114E-2</v>
      </c>
      <c r="E434" s="49"/>
    </row>
    <row r="435" spans="1:5" ht="14.4">
      <c r="A435" s="136">
        <v>43879</v>
      </c>
      <c r="B435" s="137">
        <v>130.26</v>
      </c>
      <c r="C435" s="133"/>
      <c r="D435" s="50">
        <f t="shared" si="6"/>
        <v>-5.4970224461750039E-3</v>
      </c>
      <c r="E435" s="49"/>
    </row>
    <row r="436" spans="1:5" ht="14.4">
      <c r="A436" s="136">
        <v>43878</v>
      </c>
      <c r="B436" s="137">
        <v>130.97999999999999</v>
      </c>
      <c r="C436" s="133"/>
      <c r="D436" s="50">
        <f t="shared" si="6"/>
        <v>8.6246727244723154E-3</v>
      </c>
      <c r="E436" s="49"/>
    </row>
    <row r="437" spans="1:5" ht="14.4">
      <c r="A437" s="136">
        <v>43875</v>
      </c>
      <c r="B437" s="137">
        <v>129.86000000000001</v>
      </c>
      <c r="C437" s="133"/>
      <c r="D437" s="50">
        <f t="shared" si="6"/>
        <v>-2.2138554216867501E-2</v>
      </c>
      <c r="E437" s="49"/>
    </row>
    <row r="438" spans="1:5" ht="14.4">
      <c r="A438" s="136">
        <v>43874</v>
      </c>
      <c r="B438" s="137">
        <v>132.80000000000001</v>
      </c>
      <c r="C438" s="133"/>
      <c r="D438" s="50">
        <f t="shared" si="6"/>
        <v>-2.7818448023425923E-2</v>
      </c>
      <c r="E438" s="49"/>
    </row>
    <row r="439" spans="1:5" ht="14.4">
      <c r="A439" s="136">
        <v>43873</v>
      </c>
      <c r="B439" s="137">
        <v>136.6</v>
      </c>
      <c r="C439" s="133"/>
      <c r="D439" s="50">
        <f t="shared" si="6"/>
        <v>-1.0144927536231974E-2</v>
      </c>
      <c r="E439" s="49"/>
    </row>
    <row r="440" spans="1:5" ht="14.4">
      <c r="A440" s="136">
        <v>43872</v>
      </c>
      <c r="B440" s="137">
        <v>138</v>
      </c>
      <c r="C440" s="133"/>
      <c r="D440" s="50">
        <f t="shared" si="6"/>
        <v>1.0101010101010166E-2</v>
      </c>
      <c r="E440" s="49"/>
    </row>
    <row r="441" spans="1:5" ht="14.4">
      <c r="A441" s="136">
        <v>43871</v>
      </c>
      <c r="B441" s="137">
        <v>136.62</v>
      </c>
      <c r="C441" s="133"/>
      <c r="D441" s="50">
        <f t="shared" si="6"/>
        <v>-1.1697616610615302E-3</v>
      </c>
      <c r="E441" s="49"/>
    </row>
    <row r="442" spans="1:5" ht="14.4">
      <c r="A442" s="136">
        <v>43868</v>
      </c>
      <c r="B442" s="137">
        <v>136.78</v>
      </c>
      <c r="C442" s="133"/>
      <c r="D442" s="50">
        <f t="shared" si="6"/>
        <v>-1.6058394160584077E-3</v>
      </c>
      <c r="E442" s="49"/>
    </row>
    <row r="443" spans="1:5" ht="14.4">
      <c r="A443" s="136">
        <v>43867</v>
      </c>
      <c r="B443" s="137">
        <v>137</v>
      </c>
      <c r="C443" s="133"/>
      <c r="D443" s="50">
        <f t="shared" si="6"/>
        <v>8.7668030391596652E-4</v>
      </c>
      <c r="E443" s="49"/>
    </row>
    <row r="444" spans="1:5" ht="14.4">
      <c r="A444" s="136">
        <v>43866</v>
      </c>
      <c r="B444" s="137">
        <v>136.88</v>
      </c>
      <c r="C444" s="133"/>
      <c r="D444" s="50">
        <f t="shared" si="6"/>
        <v>-8.1159420289855788E-3</v>
      </c>
      <c r="E444" s="49"/>
    </row>
    <row r="445" spans="1:5" ht="14.4">
      <c r="A445" s="136">
        <v>43865</v>
      </c>
      <c r="B445" s="137">
        <v>138</v>
      </c>
      <c r="C445" s="133"/>
      <c r="D445" s="50">
        <f t="shared" si="6"/>
        <v>3.2315978456014305E-2</v>
      </c>
      <c r="E445" s="49"/>
    </row>
    <row r="446" spans="1:5" ht="14.4">
      <c r="A446" s="136">
        <v>43864</v>
      </c>
      <c r="B446" s="137">
        <v>133.68</v>
      </c>
      <c r="C446" s="133"/>
      <c r="D446" s="50">
        <f t="shared" si="6"/>
        <v>3.3023116181327694E-3</v>
      </c>
      <c r="E446" s="49"/>
    </row>
    <row r="447" spans="1:5" ht="14.4">
      <c r="A447" s="136">
        <v>43861</v>
      </c>
      <c r="B447" s="137">
        <v>133.24</v>
      </c>
      <c r="C447" s="133"/>
      <c r="D447" s="50">
        <f t="shared" si="6"/>
        <v>-9.3680297397769063E-3</v>
      </c>
      <c r="E447" s="49"/>
    </row>
    <row r="448" spans="1:5" ht="14.4">
      <c r="A448" s="136">
        <v>43860</v>
      </c>
      <c r="B448" s="137">
        <v>134.5</v>
      </c>
      <c r="C448" s="133"/>
      <c r="D448" s="50">
        <f t="shared" si="6"/>
        <v>-1.5084944346807294E-2</v>
      </c>
      <c r="E448" s="49"/>
    </row>
    <row r="449" spans="1:7" ht="14.4">
      <c r="A449" s="136">
        <v>43859</v>
      </c>
      <c r="B449" s="137">
        <v>136.56</v>
      </c>
      <c r="C449" s="133"/>
      <c r="D449" s="50">
        <f t="shared" si="6"/>
        <v>1.7282479141835561E-2</v>
      </c>
      <c r="E449" s="49"/>
    </row>
    <row r="450" spans="1:7" ht="14.4">
      <c r="A450" s="136">
        <v>43858</v>
      </c>
      <c r="B450" s="137">
        <v>134.24</v>
      </c>
      <c r="C450" s="133"/>
      <c r="D450" s="50">
        <f t="shared" si="6"/>
        <v>1.0082768999247538E-2</v>
      </c>
      <c r="E450" s="49"/>
    </row>
    <row r="451" spans="1:7" ht="14.4">
      <c r="A451" s="136">
        <v>43857</v>
      </c>
      <c r="B451" s="137">
        <v>132.9</v>
      </c>
      <c r="C451" s="133"/>
      <c r="D451" s="50">
        <f t="shared" si="6"/>
        <v>-4.388489208633084E-2</v>
      </c>
      <c r="E451" s="49"/>
    </row>
    <row r="452" spans="1:7" ht="14.4">
      <c r="A452" s="136">
        <v>43854</v>
      </c>
      <c r="B452" s="137">
        <v>139</v>
      </c>
      <c r="C452" s="133"/>
      <c r="D452" s="50">
        <f t="shared" si="6"/>
        <v>2.356406480117812E-2</v>
      </c>
      <c r="E452" s="49"/>
    </row>
    <row r="453" spans="1:7" ht="14.4">
      <c r="A453" s="136">
        <v>43853</v>
      </c>
      <c r="B453" s="137">
        <v>135.80000000000001</v>
      </c>
      <c r="C453" s="133"/>
      <c r="D453" s="50">
        <f t="shared" si="6"/>
        <v>-1.5799391216118175E-2</v>
      </c>
      <c r="E453" s="49"/>
    </row>
    <row r="454" spans="1:7" ht="14.4">
      <c r="A454" s="136">
        <v>43852</v>
      </c>
      <c r="B454" s="137">
        <v>137.97999999999999</v>
      </c>
      <c r="C454" s="133"/>
      <c r="D454" s="50">
        <f t="shared" si="6"/>
        <v>1.1583577712609872E-2</v>
      </c>
      <c r="E454" s="42"/>
      <c r="F454" s="42"/>
      <c r="G454" s="42"/>
    </row>
    <row r="455" spans="1:7" ht="14.4">
      <c r="A455" s="136">
        <v>43851</v>
      </c>
      <c r="B455" s="137">
        <v>136.4</v>
      </c>
      <c r="C455" s="133"/>
      <c r="D455" s="50">
        <f t="shared" si="6"/>
        <v>-1.0877447425670761E-2</v>
      </c>
      <c r="E455" s="42"/>
      <c r="F455" s="42"/>
      <c r="G455" s="42"/>
    </row>
    <row r="456" spans="1:7" ht="14.4">
      <c r="A456" s="136">
        <v>43850</v>
      </c>
      <c r="B456" s="137">
        <v>137.9</v>
      </c>
      <c r="C456" s="133"/>
      <c r="D456" s="50">
        <f t="shared" ref="D456:D519" si="7">(B456-C456)/B457-1</f>
        <v>8.1883316274309337E-3</v>
      </c>
      <c r="E456" s="42"/>
      <c r="F456" s="42"/>
      <c r="G456" s="42"/>
    </row>
    <row r="457" spans="1:7" ht="14.4">
      <c r="A457" s="136">
        <v>43847</v>
      </c>
      <c r="B457" s="137">
        <v>136.78</v>
      </c>
      <c r="C457" s="133"/>
      <c r="D457" s="50">
        <f t="shared" si="7"/>
        <v>2.5337331334332802E-2</v>
      </c>
      <c r="E457" s="42"/>
      <c r="F457" s="42"/>
      <c r="G457" s="42"/>
    </row>
    <row r="458" spans="1:7" ht="14.4">
      <c r="A458" s="136">
        <v>43846</v>
      </c>
      <c r="B458" s="137">
        <v>133.4</v>
      </c>
      <c r="C458" s="133"/>
      <c r="D458" s="50">
        <f t="shared" si="7"/>
        <v>-6.4054819007893782E-3</v>
      </c>
      <c r="E458" s="42"/>
      <c r="F458" s="42"/>
      <c r="G458" s="42"/>
    </row>
    <row r="459" spans="1:7" ht="14.4">
      <c r="A459" s="136">
        <v>43845</v>
      </c>
      <c r="B459" s="137">
        <v>134.26</v>
      </c>
      <c r="C459" s="133"/>
      <c r="D459" s="50">
        <f t="shared" si="7"/>
        <v>-6.2176165803109473E-3</v>
      </c>
      <c r="E459" s="42"/>
      <c r="F459" s="42"/>
      <c r="G459" s="42"/>
    </row>
    <row r="460" spans="1:7" ht="14.4">
      <c r="A460" s="136">
        <v>43844</v>
      </c>
      <c r="B460" s="137">
        <v>135.1</v>
      </c>
      <c r="C460" s="133"/>
      <c r="D460" s="50">
        <f t="shared" si="7"/>
        <v>-1.4801657785679101E-4</v>
      </c>
      <c r="E460" s="42"/>
      <c r="F460" s="42"/>
      <c r="G460" s="42"/>
    </row>
    <row r="461" spans="1:7" ht="14.4">
      <c r="A461" s="136">
        <v>43843</v>
      </c>
      <c r="B461" s="137">
        <v>135.12</v>
      </c>
      <c r="C461" s="133"/>
      <c r="D461" s="50">
        <f t="shared" si="7"/>
        <v>5.2075583990478513E-3</v>
      </c>
      <c r="E461" s="42"/>
      <c r="F461" s="42"/>
      <c r="G461" s="42"/>
    </row>
    <row r="462" spans="1:7" ht="14.4">
      <c r="A462" s="136">
        <v>43840</v>
      </c>
      <c r="B462" s="137">
        <v>134.41999999999999</v>
      </c>
      <c r="C462" s="133"/>
      <c r="D462" s="50">
        <f t="shared" si="7"/>
        <v>-3.7058997924696024E-3</v>
      </c>
      <c r="E462" s="42"/>
      <c r="F462" s="42"/>
      <c r="G462" s="42"/>
    </row>
    <row r="463" spans="1:7" ht="14.4">
      <c r="A463" s="136">
        <v>43839</v>
      </c>
      <c r="B463" s="137">
        <v>134.91999999999999</v>
      </c>
      <c r="C463" s="133"/>
      <c r="D463" s="50">
        <f t="shared" si="7"/>
        <v>4.0184551272510749E-3</v>
      </c>
      <c r="E463" s="42"/>
      <c r="F463" s="42"/>
      <c r="G463" s="42"/>
    </row>
    <row r="464" spans="1:7" ht="14.4">
      <c r="A464" s="136">
        <v>43838</v>
      </c>
      <c r="B464" s="137">
        <v>134.38</v>
      </c>
      <c r="C464" s="133"/>
      <c r="D464" s="50">
        <f t="shared" si="7"/>
        <v>1.8030303030303063E-2</v>
      </c>
      <c r="E464" s="42"/>
      <c r="F464" s="42"/>
      <c r="G464" s="42"/>
    </row>
    <row r="465" spans="1:7" ht="14.4">
      <c r="A465" s="136">
        <v>43837</v>
      </c>
      <c r="B465" s="137">
        <v>132</v>
      </c>
      <c r="C465" s="133"/>
      <c r="D465" s="50">
        <f t="shared" si="7"/>
        <v>-1.0939607372995708E-2</v>
      </c>
      <c r="E465" s="42"/>
      <c r="F465" s="42"/>
      <c r="G465" s="42"/>
    </row>
    <row r="466" spans="1:7" ht="14.4">
      <c r="A466" s="136">
        <v>43836</v>
      </c>
      <c r="B466" s="137">
        <v>133.46</v>
      </c>
      <c r="C466" s="133"/>
      <c r="D466" s="50">
        <f t="shared" si="7"/>
        <v>-4.3270665472991965E-3</v>
      </c>
      <c r="E466" s="42"/>
      <c r="F466" s="42"/>
      <c r="G466" s="42"/>
    </row>
    <row r="467" spans="1:7" ht="14.4">
      <c r="A467" s="136">
        <v>43833</v>
      </c>
      <c r="B467" s="137">
        <v>134.04</v>
      </c>
      <c r="C467" s="133"/>
      <c r="D467" s="50">
        <f t="shared" si="7"/>
        <v>3.8945476333132056E-3</v>
      </c>
      <c r="E467" s="42"/>
      <c r="F467" s="42"/>
      <c r="G467" s="42"/>
    </row>
    <row r="468" spans="1:7" ht="14.4">
      <c r="A468" s="136">
        <v>43832</v>
      </c>
      <c r="B468" s="137">
        <v>133.52000000000001</v>
      </c>
      <c r="C468" s="133"/>
      <c r="D468" s="50">
        <f t="shared" si="7"/>
        <v>2.3298589822195126E-2</v>
      </c>
      <c r="E468" s="42"/>
      <c r="F468" s="42"/>
      <c r="G468" s="42"/>
    </row>
    <row r="469" spans="1:7" ht="14.4">
      <c r="A469" s="138">
        <v>43830</v>
      </c>
      <c r="B469" s="139">
        <v>130.47999999999999</v>
      </c>
      <c r="C469" s="134">
        <v>1.8</v>
      </c>
      <c r="D469" s="50">
        <f t="shared" si="7"/>
        <v>-1.0153846153846291E-2</v>
      </c>
      <c r="E469" s="46"/>
      <c r="F469" s="46"/>
      <c r="G469" s="45"/>
    </row>
    <row r="470" spans="1:7" ht="14.4">
      <c r="A470" s="136">
        <v>43829</v>
      </c>
      <c r="B470" s="137">
        <v>130</v>
      </c>
      <c r="C470" s="133"/>
      <c r="D470" s="50">
        <f t="shared" si="7"/>
        <v>-2.4609843937575038E-2</v>
      </c>
      <c r="E470" s="49"/>
    </row>
    <row r="471" spans="1:7" ht="14.4">
      <c r="A471" s="136">
        <v>43826</v>
      </c>
      <c r="B471" s="137">
        <v>133.28</v>
      </c>
      <c r="C471" s="133"/>
      <c r="D471" s="50">
        <f t="shared" si="7"/>
        <v>1.05152471083092E-3</v>
      </c>
      <c r="E471" s="49"/>
    </row>
    <row r="472" spans="1:7" ht="14.4">
      <c r="A472" s="136">
        <v>43823</v>
      </c>
      <c r="B472" s="137">
        <v>133.13999999999999</v>
      </c>
      <c r="C472" s="133"/>
      <c r="D472" s="50">
        <f t="shared" si="7"/>
        <v>2.7112516945322351E-3</v>
      </c>
      <c r="E472" s="49"/>
    </row>
    <row r="473" spans="1:7" ht="14.4">
      <c r="A473" s="136">
        <v>43822</v>
      </c>
      <c r="B473" s="137">
        <v>132.78</v>
      </c>
      <c r="C473" s="133"/>
      <c r="D473" s="50">
        <f t="shared" si="7"/>
        <v>6.8243858052776663E-3</v>
      </c>
      <c r="E473" s="49"/>
    </row>
    <row r="474" spans="1:7" ht="14.4">
      <c r="A474" s="136">
        <v>43819</v>
      </c>
      <c r="B474" s="137">
        <v>131.88</v>
      </c>
      <c r="C474" s="133"/>
      <c r="D474" s="50">
        <f t="shared" si="7"/>
        <v>8.1027365846200183E-3</v>
      </c>
      <c r="E474" s="49"/>
    </row>
    <row r="475" spans="1:7" ht="14.4">
      <c r="A475" s="136">
        <v>43818</v>
      </c>
      <c r="B475" s="137">
        <v>130.82</v>
      </c>
      <c r="C475" s="133"/>
      <c r="D475" s="50">
        <f t="shared" si="7"/>
        <v>7.6499388004891422E-4</v>
      </c>
      <c r="E475" s="49"/>
    </row>
    <row r="476" spans="1:7" ht="14.4">
      <c r="A476" s="136">
        <v>43817</v>
      </c>
      <c r="B476" s="137">
        <v>130.72</v>
      </c>
      <c r="C476" s="133"/>
      <c r="D476" s="50">
        <f t="shared" si="7"/>
        <v>-5.9315589353612364E-3</v>
      </c>
      <c r="E476" s="49"/>
    </row>
    <row r="477" spans="1:7" ht="14.4">
      <c r="A477" s="136">
        <v>43816</v>
      </c>
      <c r="B477" s="137">
        <v>131.5</v>
      </c>
      <c r="C477" s="133"/>
      <c r="D477" s="50">
        <f t="shared" si="7"/>
        <v>1.7644327503482549E-2</v>
      </c>
      <c r="E477" s="49"/>
    </row>
    <row r="478" spans="1:7" ht="14.4">
      <c r="A478" s="136">
        <v>43815</v>
      </c>
      <c r="B478" s="137">
        <v>129.22</v>
      </c>
      <c r="C478" s="133"/>
      <c r="D478" s="50">
        <f t="shared" si="7"/>
        <v>2.6370135027799835E-2</v>
      </c>
      <c r="E478" s="49"/>
    </row>
    <row r="479" spans="1:7" ht="14.4">
      <c r="A479" s="136">
        <v>43812</v>
      </c>
      <c r="B479" s="137">
        <v>125.9</v>
      </c>
      <c r="C479" s="133"/>
      <c r="D479" s="50">
        <f t="shared" si="7"/>
        <v>1.4014175257732076E-2</v>
      </c>
      <c r="E479" s="49"/>
    </row>
    <row r="480" spans="1:7" ht="14.4">
      <c r="A480" s="136">
        <v>43811</v>
      </c>
      <c r="B480" s="137">
        <v>124.16</v>
      </c>
      <c r="C480" s="133"/>
      <c r="D480" s="50">
        <f t="shared" si="7"/>
        <v>1.290322580645098E-3</v>
      </c>
      <c r="E480" s="49"/>
    </row>
    <row r="481" spans="1:5" ht="14.4">
      <c r="A481" s="136">
        <v>43810</v>
      </c>
      <c r="B481" s="137">
        <v>124</v>
      </c>
      <c r="C481" s="133"/>
      <c r="D481" s="50">
        <f t="shared" si="7"/>
        <v>-1.7710513604894951E-3</v>
      </c>
      <c r="E481" s="49"/>
    </row>
    <row r="482" spans="1:5" ht="14.4">
      <c r="A482" s="136">
        <v>43809</v>
      </c>
      <c r="B482" s="137">
        <v>124.22</v>
      </c>
      <c r="C482" s="133"/>
      <c r="D482" s="50">
        <f t="shared" si="7"/>
        <v>-5.7627661277412923E-3</v>
      </c>
      <c r="E482" s="49"/>
    </row>
    <row r="483" spans="1:5" ht="14.4">
      <c r="A483" s="136">
        <v>43808</v>
      </c>
      <c r="B483" s="137">
        <v>124.94</v>
      </c>
      <c r="C483" s="133"/>
      <c r="D483" s="50">
        <f t="shared" si="7"/>
        <v>-1.6530226700251949E-2</v>
      </c>
      <c r="E483" s="49"/>
    </row>
    <row r="484" spans="1:5" ht="14.4">
      <c r="A484" s="136">
        <v>43805</v>
      </c>
      <c r="B484" s="137">
        <v>127.04</v>
      </c>
      <c r="C484" s="133"/>
      <c r="D484" s="50">
        <f t="shared" si="7"/>
        <v>3.1496062992131257E-4</v>
      </c>
      <c r="E484" s="49"/>
    </row>
    <row r="485" spans="1:5" ht="14.4">
      <c r="A485" s="136">
        <v>43804</v>
      </c>
      <c r="B485" s="137">
        <v>127</v>
      </c>
      <c r="C485" s="133"/>
      <c r="D485" s="50">
        <f t="shared" si="7"/>
        <v>-7.6574464760118532E-3</v>
      </c>
      <c r="E485" s="49"/>
    </row>
    <row r="486" spans="1:5" ht="14.4">
      <c r="A486" s="136">
        <v>43803</v>
      </c>
      <c r="B486" s="137">
        <v>127.98</v>
      </c>
      <c r="C486" s="133"/>
      <c r="D486" s="50">
        <f t="shared" si="7"/>
        <v>3.1597614057714107E-2</v>
      </c>
      <c r="E486" s="49"/>
    </row>
    <row r="487" spans="1:5" ht="14.4">
      <c r="A487" s="136">
        <v>43802</v>
      </c>
      <c r="B487" s="137">
        <v>124.06</v>
      </c>
      <c r="C487" s="133"/>
      <c r="D487" s="50">
        <f t="shared" si="7"/>
        <v>-4.4074587763908157E-2</v>
      </c>
      <c r="E487" s="49"/>
    </row>
    <row r="488" spans="1:5" ht="14.4">
      <c r="A488" s="136">
        <v>43801</v>
      </c>
      <c r="B488" s="137">
        <v>129.78</v>
      </c>
      <c r="C488" s="133"/>
      <c r="D488" s="50">
        <f t="shared" si="7"/>
        <v>-2.7136431784107962E-2</v>
      </c>
      <c r="E488" s="49"/>
    </row>
    <row r="489" spans="1:5" ht="14.4">
      <c r="A489" s="136">
        <v>43798</v>
      </c>
      <c r="B489" s="137">
        <v>133.4</v>
      </c>
      <c r="C489" s="133"/>
      <c r="D489" s="50">
        <f t="shared" si="7"/>
        <v>-1.6464601107618604E-3</v>
      </c>
      <c r="E489" s="49"/>
    </row>
    <row r="490" spans="1:5" ht="14.4">
      <c r="A490" s="136">
        <v>43797</v>
      </c>
      <c r="B490" s="137">
        <v>133.62</v>
      </c>
      <c r="C490" s="133"/>
      <c r="D490" s="50">
        <f t="shared" si="7"/>
        <v>-2.3891294609525993E-3</v>
      </c>
      <c r="E490" s="49"/>
    </row>
    <row r="491" spans="1:5" ht="14.4">
      <c r="A491" s="136">
        <v>43796</v>
      </c>
      <c r="B491" s="137">
        <v>133.94</v>
      </c>
      <c r="C491" s="133"/>
      <c r="D491" s="50">
        <f t="shared" si="7"/>
        <v>-1.2824292452830233E-2</v>
      </c>
      <c r="E491" s="49"/>
    </row>
    <row r="492" spans="1:5" ht="14.4">
      <c r="A492" s="136">
        <v>43795</v>
      </c>
      <c r="B492" s="137">
        <v>135.68</v>
      </c>
      <c r="C492" s="133"/>
      <c r="D492" s="50">
        <f t="shared" si="7"/>
        <v>8.1735770545399156E-3</v>
      </c>
      <c r="E492" s="49"/>
    </row>
    <row r="493" spans="1:5" ht="14.4">
      <c r="A493" s="136">
        <v>43794</v>
      </c>
      <c r="B493" s="137">
        <v>134.58000000000001</v>
      </c>
      <c r="C493" s="133"/>
      <c r="D493" s="50">
        <f t="shared" si="7"/>
        <v>6.5818997756172948E-3</v>
      </c>
      <c r="E493" s="49"/>
    </row>
    <row r="494" spans="1:5" ht="14.4">
      <c r="A494" s="136">
        <v>43791</v>
      </c>
      <c r="B494" s="137">
        <v>133.69999999999999</v>
      </c>
      <c r="C494" s="133"/>
      <c r="D494" s="50">
        <f t="shared" si="7"/>
        <v>-2.5365562518651075E-3</v>
      </c>
      <c r="E494" s="49"/>
    </row>
    <row r="495" spans="1:5" ht="14.4">
      <c r="A495" s="136">
        <v>43790</v>
      </c>
      <c r="B495" s="137">
        <v>134.04</v>
      </c>
      <c r="C495" s="133"/>
      <c r="D495" s="50">
        <f t="shared" si="7"/>
        <v>-7.8460399703923489E-3</v>
      </c>
      <c r="E495" s="49"/>
    </row>
    <row r="496" spans="1:5" ht="14.4">
      <c r="A496" s="136">
        <v>43789</v>
      </c>
      <c r="B496" s="137">
        <v>135.1</v>
      </c>
      <c r="C496" s="133"/>
      <c r="D496" s="50">
        <f t="shared" si="7"/>
        <v>-1.4781966001479185E-3</v>
      </c>
      <c r="E496" s="49"/>
    </row>
    <row r="497" spans="1:5" ht="14.4">
      <c r="A497" s="136">
        <v>43788</v>
      </c>
      <c r="B497" s="137">
        <v>135.30000000000001</v>
      </c>
      <c r="C497" s="133"/>
      <c r="D497" s="50">
        <f t="shared" si="7"/>
        <v>6.6964285714286031E-3</v>
      </c>
      <c r="E497" s="49"/>
    </row>
    <row r="498" spans="1:5" ht="14.4">
      <c r="A498" s="136">
        <v>43787</v>
      </c>
      <c r="B498" s="137">
        <v>134.4</v>
      </c>
      <c r="C498" s="133"/>
      <c r="D498" s="50">
        <f t="shared" si="7"/>
        <v>-1.4662756598240456E-2</v>
      </c>
      <c r="E498" s="49"/>
    </row>
    <row r="499" spans="1:5" ht="14.4">
      <c r="A499" s="136">
        <v>43784</v>
      </c>
      <c r="B499" s="137">
        <v>136.4</v>
      </c>
      <c r="C499" s="133"/>
      <c r="D499" s="50">
        <f t="shared" si="7"/>
        <v>3.9746798174591369E-3</v>
      </c>
      <c r="E499" s="49"/>
    </row>
    <row r="500" spans="1:5" ht="14.4">
      <c r="A500" s="136">
        <v>43783</v>
      </c>
      <c r="B500" s="137">
        <v>135.86000000000001</v>
      </c>
      <c r="C500" s="133"/>
      <c r="D500" s="50">
        <f t="shared" si="7"/>
        <v>2.6568265682658243E-3</v>
      </c>
      <c r="E500" s="49"/>
    </row>
    <row r="501" spans="1:5" ht="14.4">
      <c r="A501" s="136">
        <v>43782</v>
      </c>
      <c r="B501" s="137">
        <v>135.5</v>
      </c>
      <c r="C501" s="133"/>
      <c r="D501" s="50">
        <f t="shared" si="7"/>
        <v>6.0885060885060849E-3</v>
      </c>
      <c r="E501" s="49"/>
    </row>
    <row r="502" spans="1:5" ht="14.4">
      <c r="A502" s="136">
        <v>43781</v>
      </c>
      <c r="B502" s="137">
        <v>134.68</v>
      </c>
      <c r="C502" s="133"/>
      <c r="D502" s="50">
        <f t="shared" si="7"/>
        <v>1.3698630136986356E-2</v>
      </c>
      <c r="E502" s="49"/>
    </row>
    <row r="503" spans="1:5" ht="14.4">
      <c r="A503" s="136">
        <v>43780</v>
      </c>
      <c r="B503" s="137">
        <v>132.86000000000001</v>
      </c>
      <c r="C503" s="133"/>
      <c r="D503" s="50">
        <f t="shared" si="7"/>
        <v>-7.5210589651020232E-4</v>
      </c>
      <c r="E503" s="49"/>
    </row>
    <row r="504" spans="1:5" ht="14.4">
      <c r="A504" s="136">
        <v>43777</v>
      </c>
      <c r="B504" s="137">
        <v>132.96</v>
      </c>
      <c r="C504" s="133"/>
      <c r="D504" s="50">
        <f t="shared" si="7"/>
        <v>5.1406108255216409E-3</v>
      </c>
      <c r="E504" s="49"/>
    </row>
    <row r="505" spans="1:5" ht="14.4">
      <c r="A505" s="136">
        <v>43776</v>
      </c>
      <c r="B505" s="137">
        <v>132.28</v>
      </c>
      <c r="C505" s="133"/>
      <c r="D505" s="50">
        <f t="shared" si="7"/>
        <v>9.4627594627594291E-3</v>
      </c>
      <c r="E505" s="49"/>
    </row>
    <row r="506" spans="1:5" ht="14.4">
      <c r="A506" s="136">
        <v>43775</v>
      </c>
      <c r="B506" s="137">
        <v>131.04</v>
      </c>
      <c r="C506" s="133"/>
      <c r="D506" s="50">
        <f t="shared" si="7"/>
        <v>7.0703965570242389E-3</v>
      </c>
      <c r="E506" s="49"/>
    </row>
    <row r="507" spans="1:5" ht="14.4">
      <c r="A507" s="136">
        <v>43774</v>
      </c>
      <c r="B507" s="137">
        <v>130.12</v>
      </c>
      <c r="C507" s="133"/>
      <c r="D507" s="50">
        <f t="shared" si="7"/>
        <v>-5.502904310608403E-3</v>
      </c>
      <c r="E507" s="49"/>
    </row>
    <row r="508" spans="1:5" ht="14.4">
      <c r="A508" s="136">
        <v>43773</v>
      </c>
      <c r="B508" s="137">
        <v>130.84</v>
      </c>
      <c r="C508" s="133"/>
      <c r="D508" s="50">
        <f t="shared" si="7"/>
        <v>6.6164025234651813E-3</v>
      </c>
      <c r="E508" s="49"/>
    </row>
    <row r="509" spans="1:5" ht="14.4">
      <c r="A509" s="136">
        <v>43770</v>
      </c>
      <c r="B509" s="137">
        <v>129.97999999999999</v>
      </c>
      <c r="C509" s="133"/>
      <c r="D509" s="50">
        <f t="shared" si="7"/>
        <v>1.2147640554430739E-2</v>
      </c>
      <c r="E509" s="49"/>
    </row>
    <row r="510" spans="1:5" ht="14.4">
      <c r="A510" s="136">
        <v>43769</v>
      </c>
      <c r="B510" s="137">
        <v>128.41999999999999</v>
      </c>
      <c r="C510" s="133"/>
      <c r="D510" s="50">
        <f t="shared" si="7"/>
        <v>-1.2001846437913577E-2</v>
      </c>
      <c r="E510" s="49"/>
    </row>
    <row r="511" spans="1:5" ht="14.4">
      <c r="A511" s="136">
        <v>43768</v>
      </c>
      <c r="B511" s="137">
        <v>129.97999999999999</v>
      </c>
      <c r="C511" s="133"/>
      <c r="D511" s="50">
        <f t="shared" si="7"/>
        <v>3.3555979643765887E-2</v>
      </c>
      <c r="E511" s="49"/>
    </row>
    <row r="512" spans="1:5" ht="14.4">
      <c r="A512" s="136">
        <v>43767</v>
      </c>
      <c r="B512" s="137">
        <v>125.76</v>
      </c>
      <c r="C512" s="133"/>
      <c r="D512" s="50">
        <f t="shared" si="7"/>
        <v>8.6621751684312631E-3</v>
      </c>
      <c r="E512" s="49"/>
    </row>
    <row r="513" spans="1:5" ht="14.4">
      <c r="A513" s="136">
        <v>43766</v>
      </c>
      <c r="B513" s="137">
        <v>124.68</v>
      </c>
      <c r="C513" s="133"/>
      <c r="D513" s="50">
        <f t="shared" si="7"/>
        <v>9.3911917098445929E-3</v>
      </c>
      <c r="E513" s="49"/>
    </row>
    <row r="514" spans="1:5" ht="14.4">
      <c r="A514" s="136">
        <v>43763</v>
      </c>
      <c r="B514" s="137">
        <v>123.52</v>
      </c>
      <c r="C514" s="133"/>
      <c r="D514" s="50">
        <f t="shared" si="7"/>
        <v>1.030590544740706E-2</v>
      </c>
      <c r="E514" s="49"/>
    </row>
    <row r="515" spans="1:5" ht="14.4">
      <c r="A515" s="136">
        <v>43762</v>
      </c>
      <c r="B515" s="137">
        <v>122.26</v>
      </c>
      <c r="C515" s="133"/>
      <c r="D515" s="50">
        <f t="shared" si="7"/>
        <v>1.7476697736351632E-2</v>
      </c>
      <c r="E515" s="49"/>
    </row>
    <row r="516" spans="1:5" ht="14.4">
      <c r="A516" s="136">
        <v>43761</v>
      </c>
      <c r="B516" s="137">
        <v>120.16</v>
      </c>
      <c r="C516" s="133"/>
      <c r="D516" s="50">
        <f t="shared" si="7"/>
        <v>-1.3950434925324218E-2</v>
      </c>
      <c r="E516" s="49"/>
    </row>
    <row r="517" spans="1:5" ht="14.4">
      <c r="A517" s="136">
        <v>43760</v>
      </c>
      <c r="B517" s="137">
        <v>121.86</v>
      </c>
      <c r="C517" s="133"/>
      <c r="D517" s="50">
        <f t="shared" si="7"/>
        <v>-1.1475409836065875E-3</v>
      </c>
      <c r="E517" s="49"/>
    </row>
    <row r="518" spans="1:5" ht="14.4">
      <c r="A518" s="136">
        <v>43759</v>
      </c>
      <c r="B518" s="137">
        <v>122</v>
      </c>
      <c r="C518" s="133"/>
      <c r="D518" s="50">
        <f t="shared" si="7"/>
        <v>1.3289036544850363E-2</v>
      </c>
      <c r="E518" s="49"/>
    </row>
    <row r="519" spans="1:5" ht="14.4">
      <c r="A519" s="136">
        <v>43756</v>
      </c>
      <c r="B519" s="137">
        <v>120.4</v>
      </c>
      <c r="C519" s="133"/>
      <c r="D519" s="50">
        <f t="shared" si="7"/>
        <v>4.6728971962617383E-3</v>
      </c>
      <c r="E519" s="49"/>
    </row>
    <row r="520" spans="1:5" ht="14.4">
      <c r="A520" s="136">
        <v>43755</v>
      </c>
      <c r="B520" s="137">
        <v>119.84</v>
      </c>
      <c r="C520" s="133"/>
      <c r="D520" s="50">
        <f t="shared" ref="D520:D583" si="8">(B520-C520)/B521-1</f>
        <v>4.3580288300368863E-3</v>
      </c>
      <c r="E520" s="49"/>
    </row>
    <row r="521" spans="1:5" ht="14.4">
      <c r="A521" s="136">
        <v>43754</v>
      </c>
      <c r="B521" s="137">
        <v>119.32</v>
      </c>
      <c r="C521" s="133"/>
      <c r="D521" s="50">
        <f t="shared" si="8"/>
        <v>-1.0046885465505584E-3</v>
      </c>
      <c r="E521" s="49"/>
    </row>
    <row r="522" spans="1:5" ht="14.4">
      <c r="A522" s="136">
        <v>43753</v>
      </c>
      <c r="B522" s="137">
        <v>119.44</v>
      </c>
      <c r="C522" s="133"/>
      <c r="D522" s="50">
        <f t="shared" si="8"/>
        <v>9.6365173288250894E-3</v>
      </c>
      <c r="E522" s="49"/>
    </row>
    <row r="523" spans="1:5" ht="14.4">
      <c r="A523" s="136">
        <v>43752</v>
      </c>
      <c r="B523" s="137">
        <v>118.3</v>
      </c>
      <c r="C523" s="133"/>
      <c r="D523" s="50">
        <f t="shared" si="8"/>
        <v>-4.8788694481830541E-3</v>
      </c>
      <c r="E523" s="49"/>
    </row>
    <row r="524" spans="1:5" ht="14.4">
      <c r="A524" s="136">
        <v>43749</v>
      </c>
      <c r="B524" s="137">
        <v>118.88</v>
      </c>
      <c r="C524" s="133"/>
      <c r="D524" s="50">
        <f t="shared" si="8"/>
        <v>8.141112618724522E-3</v>
      </c>
      <c r="E524" s="49"/>
    </row>
    <row r="525" spans="1:5" ht="14.4">
      <c r="A525" s="136">
        <v>43748</v>
      </c>
      <c r="B525" s="137">
        <v>117.92</v>
      </c>
      <c r="C525" s="133"/>
      <c r="D525" s="50">
        <f t="shared" si="8"/>
        <v>4.6004430056227896E-3</v>
      </c>
      <c r="E525" s="49"/>
    </row>
    <row r="526" spans="1:5" ht="14.4">
      <c r="A526" s="136">
        <v>43747</v>
      </c>
      <c r="B526" s="137">
        <v>117.38</v>
      </c>
      <c r="C526" s="133"/>
      <c r="D526" s="50">
        <f t="shared" si="8"/>
        <v>-2.7187765505523043E-3</v>
      </c>
      <c r="E526" s="49"/>
    </row>
    <row r="527" spans="1:5" ht="14.4">
      <c r="A527" s="136">
        <v>43746</v>
      </c>
      <c r="B527" s="137">
        <v>117.7</v>
      </c>
      <c r="C527" s="133"/>
      <c r="D527" s="50">
        <f t="shared" si="8"/>
        <v>4.0948643576181887E-3</v>
      </c>
      <c r="E527" s="49"/>
    </row>
    <row r="528" spans="1:5" ht="14.4">
      <c r="A528" s="136">
        <v>43745</v>
      </c>
      <c r="B528" s="137">
        <v>117.22</v>
      </c>
      <c r="C528" s="133"/>
      <c r="D528" s="50">
        <f t="shared" si="8"/>
        <v>-4.7546272711835869E-3</v>
      </c>
      <c r="E528" s="49"/>
    </row>
    <row r="529" spans="1:5" ht="14.4">
      <c r="A529" s="136">
        <v>43742</v>
      </c>
      <c r="B529" s="137">
        <v>117.78</v>
      </c>
      <c r="C529" s="133"/>
      <c r="D529" s="50">
        <f t="shared" si="8"/>
        <v>-1.2078510317060864E-2</v>
      </c>
      <c r="E529" s="49"/>
    </row>
    <row r="530" spans="1:5" ht="14.4">
      <c r="A530" s="136">
        <v>43741</v>
      </c>
      <c r="B530" s="137">
        <v>119.22</v>
      </c>
      <c r="C530" s="133"/>
      <c r="D530" s="50">
        <f t="shared" si="8"/>
        <v>4.2497376705141754E-2</v>
      </c>
      <c r="E530" s="49"/>
    </row>
    <row r="531" spans="1:5" ht="14.4">
      <c r="A531" s="136">
        <v>43740</v>
      </c>
      <c r="B531" s="137">
        <v>114.36</v>
      </c>
      <c r="C531" s="133"/>
      <c r="D531" s="50">
        <f t="shared" si="8"/>
        <v>-2.0387185197875635E-2</v>
      </c>
      <c r="E531" s="49"/>
    </row>
    <row r="532" spans="1:5" ht="14.4">
      <c r="A532" s="136">
        <v>43739</v>
      </c>
      <c r="B532" s="137">
        <v>116.74</v>
      </c>
      <c r="C532" s="133"/>
      <c r="D532" s="50">
        <f t="shared" si="8"/>
        <v>-2.0637583892617495E-2</v>
      </c>
      <c r="E532" s="49"/>
    </row>
    <row r="533" spans="1:5" ht="14.4">
      <c r="A533" s="136">
        <v>43738</v>
      </c>
      <c r="B533" s="137">
        <v>119.2</v>
      </c>
      <c r="C533" s="133"/>
      <c r="D533" s="50">
        <f t="shared" si="8"/>
        <v>1.6806722689075571E-3</v>
      </c>
      <c r="E533" s="49"/>
    </row>
    <row r="534" spans="1:5" ht="14.4">
      <c r="A534" s="136">
        <v>43735</v>
      </c>
      <c r="B534" s="137">
        <v>119</v>
      </c>
      <c r="C534" s="133"/>
      <c r="D534" s="50">
        <f t="shared" si="8"/>
        <v>-4.5173163794546278E-3</v>
      </c>
      <c r="E534" s="49"/>
    </row>
    <row r="535" spans="1:5" ht="14.4">
      <c r="A535" s="136">
        <v>43734</v>
      </c>
      <c r="B535" s="137">
        <v>119.54</v>
      </c>
      <c r="C535" s="133"/>
      <c r="D535" s="50">
        <f t="shared" si="8"/>
        <v>-1.1739417989417911E-2</v>
      </c>
      <c r="E535" s="49"/>
    </row>
    <row r="536" spans="1:5" ht="14.4">
      <c r="A536" s="136">
        <v>43733</v>
      </c>
      <c r="B536" s="137">
        <v>120.96</v>
      </c>
      <c r="C536" s="133"/>
      <c r="D536" s="50">
        <f t="shared" si="8"/>
        <v>1.8181818181818077E-2</v>
      </c>
      <c r="E536" s="49"/>
    </row>
    <row r="537" spans="1:5" ht="14.4">
      <c r="A537" s="136">
        <v>43732</v>
      </c>
      <c r="B537" s="137">
        <v>118.8</v>
      </c>
      <c r="C537" s="133"/>
      <c r="D537" s="50">
        <f t="shared" si="8"/>
        <v>-8.3472454090149917E-3</v>
      </c>
      <c r="E537" s="49"/>
    </row>
    <row r="538" spans="1:5" ht="14.4">
      <c r="A538" s="136">
        <v>43731</v>
      </c>
      <c r="B538" s="137">
        <v>119.8</v>
      </c>
      <c r="C538" s="133"/>
      <c r="D538" s="50">
        <f t="shared" si="8"/>
        <v>-2.4979184013321776E-3</v>
      </c>
      <c r="E538" s="49"/>
    </row>
    <row r="539" spans="1:5" ht="14.4">
      <c r="A539" s="136">
        <v>43728</v>
      </c>
      <c r="B539" s="137">
        <v>120.1</v>
      </c>
      <c r="C539" s="133"/>
      <c r="D539" s="50">
        <f t="shared" si="8"/>
        <v>-3.2076079948420433E-2</v>
      </c>
      <c r="E539" s="49"/>
    </row>
    <row r="540" spans="1:5" ht="14.4">
      <c r="A540" s="136">
        <v>43727</v>
      </c>
      <c r="B540" s="137">
        <v>124.08</v>
      </c>
      <c r="C540" s="133"/>
      <c r="D540" s="50">
        <f t="shared" si="8"/>
        <v>1.0258915486077269E-2</v>
      </c>
      <c r="E540" s="49"/>
    </row>
    <row r="541" spans="1:5" ht="14.4">
      <c r="A541" s="136">
        <v>43726</v>
      </c>
      <c r="B541" s="137">
        <v>122.82</v>
      </c>
      <c r="C541" s="133"/>
      <c r="D541" s="50">
        <f t="shared" si="8"/>
        <v>7.0514922925548618E-3</v>
      </c>
      <c r="E541" s="49"/>
    </row>
    <row r="542" spans="1:5" ht="14.4">
      <c r="A542" s="136">
        <v>43725</v>
      </c>
      <c r="B542" s="137">
        <v>121.96</v>
      </c>
      <c r="C542" s="133"/>
      <c r="D542" s="50">
        <f t="shared" si="8"/>
        <v>5.9386341141536292E-3</v>
      </c>
      <c r="E542" s="49"/>
    </row>
    <row r="543" spans="1:5" ht="14.4">
      <c r="A543" s="136">
        <v>43724</v>
      </c>
      <c r="B543" s="137">
        <v>121.24</v>
      </c>
      <c r="C543" s="133"/>
      <c r="D543" s="50">
        <f t="shared" si="8"/>
        <v>-3.3944223107569726E-2</v>
      </c>
      <c r="E543" s="49"/>
    </row>
    <row r="544" spans="1:5" ht="14.4">
      <c r="A544" s="136">
        <v>43721</v>
      </c>
      <c r="B544" s="137">
        <v>125.5</v>
      </c>
      <c r="C544" s="133"/>
      <c r="D544" s="50">
        <f t="shared" si="8"/>
        <v>5.4478448966512882E-3</v>
      </c>
      <c r="E544" s="49"/>
    </row>
    <row r="545" spans="1:5" ht="14.4">
      <c r="A545" s="136">
        <v>43720</v>
      </c>
      <c r="B545" s="137">
        <v>124.82</v>
      </c>
      <c r="C545" s="133"/>
      <c r="D545" s="50">
        <f t="shared" si="8"/>
        <v>1.0688259109311593E-2</v>
      </c>
      <c r="E545" s="49"/>
    </row>
    <row r="546" spans="1:5" ht="14.4">
      <c r="A546" s="136">
        <v>43719</v>
      </c>
      <c r="B546" s="137">
        <v>123.5</v>
      </c>
      <c r="C546" s="133"/>
      <c r="D546" s="50">
        <f t="shared" si="8"/>
        <v>9.8119378577268268E-3</v>
      </c>
      <c r="E546" s="49"/>
    </row>
    <row r="547" spans="1:5" ht="14.4">
      <c r="A547" s="136">
        <v>43718</v>
      </c>
      <c r="B547" s="137">
        <v>122.3</v>
      </c>
      <c r="C547" s="133"/>
      <c r="D547" s="50">
        <f t="shared" si="8"/>
        <v>-3.5793125197098763E-2</v>
      </c>
      <c r="E547" s="49"/>
    </row>
    <row r="548" spans="1:5" ht="14.4">
      <c r="A548" s="136">
        <v>43717</v>
      </c>
      <c r="B548" s="137">
        <v>126.84</v>
      </c>
      <c r="C548" s="133"/>
      <c r="D548" s="50">
        <f t="shared" si="8"/>
        <v>1.8957345971564177E-3</v>
      </c>
      <c r="E548" s="49"/>
    </row>
    <row r="549" spans="1:5" ht="14.4">
      <c r="A549" s="136">
        <v>43714</v>
      </c>
      <c r="B549" s="137">
        <v>126.6</v>
      </c>
      <c r="C549" s="133"/>
      <c r="D549" s="50">
        <f t="shared" si="8"/>
        <v>-5.655042412818112E-3</v>
      </c>
      <c r="E549" s="49"/>
    </row>
    <row r="550" spans="1:5" ht="14.4">
      <c r="A550" s="136">
        <v>43713</v>
      </c>
      <c r="B550" s="137">
        <v>127.32</v>
      </c>
      <c r="C550" s="133"/>
      <c r="D550" s="50">
        <f t="shared" si="8"/>
        <v>8.8748019017432789E-3</v>
      </c>
      <c r="E550" s="49"/>
    </row>
    <row r="551" spans="1:5" ht="14.4">
      <c r="A551" s="136">
        <v>43712</v>
      </c>
      <c r="B551" s="137">
        <v>126.2</v>
      </c>
      <c r="C551" s="133"/>
      <c r="D551" s="50">
        <f t="shared" si="8"/>
        <v>1.2678542770020895E-2</v>
      </c>
      <c r="E551" s="49"/>
    </row>
    <row r="552" spans="1:5" ht="14.4">
      <c r="A552" s="136">
        <v>43711</v>
      </c>
      <c r="B552" s="137">
        <v>124.62</v>
      </c>
      <c r="C552" s="133"/>
      <c r="D552" s="50">
        <f t="shared" si="8"/>
        <v>-1.0952380952380936E-2</v>
      </c>
      <c r="E552" s="49"/>
    </row>
    <row r="553" spans="1:5" ht="14.4">
      <c r="A553" s="136">
        <v>43710</v>
      </c>
      <c r="B553" s="137">
        <v>126</v>
      </c>
      <c r="C553" s="133"/>
      <c r="D553" s="50">
        <f t="shared" si="8"/>
        <v>5.2656773575874283E-3</v>
      </c>
      <c r="E553" s="49"/>
    </row>
    <row r="554" spans="1:5" ht="14.4">
      <c r="A554" s="136">
        <v>43707</v>
      </c>
      <c r="B554" s="137">
        <v>125.34</v>
      </c>
      <c r="C554" s="133"/>
      <c r="D554" s="50">
        <f t="shared" si="8"/>
        <v>4.7892720306519365E-4</v>
      </c>
      <c r="E554" s="49"/>
    </row>
    <row r="555" spans="1:5" ht="14.4">
      <c r="A555" s="136">
        <v>43706</v>
      </c>
      <c r="B555" s="137">
        <v>125.28</v>
      </c>
      <c r="C555" s="133"/>
      <c r="D555" s="50">
        <f t="shared" si="8"/>
        <v>3.0263157894736992E-2</v>
      </c>
      <c r="E555" s="49"/>
    </row>
    <row r="556" spans="1:5" ht="14.4">
      <c r="A556" s="136">
        <v>43705</v>
      </c>
      <c r="B556" s="137">
        <v>121.6</v>
      </c>
      <c r="C556" s="133"/>
      <c r="D556" s="50">
        <f t="shared" si="8"/>
        <v>-7.8328981723237989E-3</v>
      </c>
      <c r="E556" s="49"/>
    </row>
    <row r="557" spans="1:5" ht="14.4">
      <c r="A557" s="136">
        <v>43704</v>
      </c>
      <c r="B557" s="137">
        <v>122.56</v>
      </c>
      <c r="C557" s="133"/>
      <c r="D557" s="50">
        <f t="shared" si="8"/>
        <v>-2.2793878215564556E-3</v>
      </c>
      <c r="E557" s="49"/>
    </row>
    <row r="558" spans="1:5" ht="14.4">
      <c r="A558" s="136">
        <v>43703</v>
      </c>
      <c r="B558" s="137">
        <v>122.84</v>
      </c>
      <c r="C558" s="133"/>
      <c r="D558" s="50">
        <f t="shared" si="8"/>
        <v>1.7941608220517491E-3</v>
      </c>
      <c r="E558" s="49"/>
    </row>
    <row r="559" spans="1:5" ht="14.4">
      <c r="A559" s="136">
        <v>43700</v>
      </c>
      <c r="B559" s="137">
        <v>122.62</v>
      </c>
      <c r="C559" s="133"/>
      <c r="D559" s="50">
        <f t="shared" si="8"/>
        <v>-1.4467127471467611E-2</v>
      </c>
      <c r="E559" s="49"/>
    </row>
    <row r="560" spans="1:5" ht="14.4">
      <c r="A560" s="136">
        <v>43699</v>
      </c>
      <c r="B560" s="137">
        <v>124.42</v>
      </c>
      <c r="C560" s="133"/>
      <c r="D560" s="50">
        <f t="shared" si="8"/>
        <v>-2.7968749999999987E-2</v>
      </c>
      <c r="E560" s="49"/>
    </row>
    <row r="561" spans="1:5" ht="14.4">
      <c r="A561" s="136">
        <v>43698</v>
      </c>
      <c r="B561" s="137">
        <v>128</v>
      </c>
      <c r="C561" s="133"/>
      <c r="D561" s="50">
        <f t="shared" si="8"/>
        <v>1.4263074484944571E-2</v>
      </c>
      <c r="E561" s="49"/>
    </row>
    <row r="562" spans="1:5" ht="14.4">
      <c r="A562" s="136">
        <v>43697</v>
      </c>
      <c r="B562" s="137">
        <v>126.2</v>
      </c>
      <c r="C562" s="133"/>
      <c r="D562" s="50">
        <f t="shared" si="8"/>
        <v>1.138002885077749E-2</v>
      </c>
      <c r="E562" s="49"/>
    </row>
    <row r="563" spans="1:5" ht="14.4">
      <c r="A563" s="136">
        <v>43696</v>
      </c>
      <c r="B563" s="137">
        <v>124.78</v>
      </c>
      <c r="C563" s="133"/>
      <c r="D563" s="50">
        <f t="shared" si="8"/>
        <v>1.4306616810274786E-2</v>
      </c>
      <c r="E563" s="49"/>
    </row>
    <row r="564" spans="1:5" ht="14.4">
      <c r="A564" s="136">
        <v>43693</v>
      </c>
      <c r="B564" s="137">
        <v>123.02</v>
      </c>
      <c r="C564" s="133"/>
      <c r="D564" s="50">
        <f t="shared" si="8"/>
        <v>5.065359477124165E-3</v>
      </c>
      <c r="E564" s="49"/>
    </row>
    <row r="565" spans="1:5" ht="14.4">
      <c r="A565" s="136">
        <v>43692</v>
      </c>
      <c r="B565" s="137">
        <v>122.4</v>
      </c>
      <c r="C565" s="133"/>
      <c r="D565" s="50">
        <f t="shared" si="8"/>
        <v>4.5961917268548813E-3</v>
      </c>
      <c r="E565" s="49"/>
    </row>
    <row r="566" spans="1:5" ht="14.4">
      <c r="A566" s="136">
        <v>43691</v>
      </c>
      <c r="B566" s="137">
        <v>121.84</v>
      </c>
      <c r="C566" s="133"/>
      <c r="D566" s="50">
        <f t="shared" si="8"/>
        <v>-3.7446674040132688E-2</v>
      </c>
      <c r="E566" s="49"/>
    </row>
    <row r="567" spans="1:5" ht="14.4">
      <c r="A567" s="136">
        <v>43690</v>
      </c>
      <c r="B567" s="137">
        <v>126.58</v>
      </c>
      <c r="C567" s="133"/>
      <c r="D567" s="50">
        <f t="shared" si="8"/>
        <v>1.1022364217252445E-2</v>
      </c>
      <c r="E567" s="49"/>
    </row>
    <row r="568" spans="1:5" ht="14.4">
      <c r="A568" s="136">
        <v>43689</v>
      </c>
      <c r="B568" s="137">
        <v>125.2</v>
      </c>
      <c r="C568" s="133"/>
      <c r="D568" s="50">
        <f t="shared" si="8"/>
        <v>6.3938618925840629E-4</v>
      </c>
      <c r="E568" s="49"/>
    </row>
    <row r="569" spans="1:5" ht="14.4">
      <c r="A569" s="136">
        <v>43686</v>
      </c>
      <c r="B569" s="137">
        <v>125.12</v>
      </c>
      <c r="C569" s="133"/>
      <c r="D569" s="50">
        <f t="shared" si="8"/>
        <v>-1.6042780748663055E-2</v>
      </c>
      <c r="E569" s="49"/>
    </row>
    <row r="570" spans="1:5" ht="14.4">
      <c r="A570" s="136">
        <v>43685</v>
      </c>
      <c r="B570" s="137">
        <v>127.16</v>
      </c>
      <c r="C570" s="133"/>
      <c r="D570" s="50">
        <f t="shared" si="8"/>
        <v>4.2295081967212989E-2</v>
      </c>
      <c r="E570" s="49"/>
    </row>
    <row r="571" spans="1:5" ht="14.4">
      <c r="A571" s="136">
        <v>43684</v>
      </c>
      <c r="B571" s="137">
        <v>122</v>
      </c>
      <c r="C571" s="133"/>
      <c r="D571" s="50">
        <f t="shared" si="8"/>
        <v>1.7344896597731863E-2</v>
      </c>
      <c r="E571" s="49"/>
    </row>
    <row r="572" spans="1:5" ht="14.4">
      <c r="A572" s="136">
        <v>43683</v>
      </c>
      <c r="B572" s="137">
        <v>119.92</v>
      </c>
      <c r="C572" s="133"/>
      <c r="D572" s="50">
        <f t="shared" si="8"/>
        <v>-6.4623032311516004E-3</v>
      </c>
      <c r="E572" s="49"/>
    </row>
    <row r="573" spans="1:5" ht="14.4">
      <c r="A573" s="136">
        <v>43682</v>
      </c>
      <c r="B573" s="137">
        <v>120.7</v>
      </c>
      <c r="C573" s="133"/>
      <c r="D573" s="50">
        <f t="shared" si="8"/>
        <v>-2.1404248419004346E-2</v>
      </c>
      <c r="E573" s="49"/>
    </row>
    <row r="574" spans="1:5" ht="14.4">
      <c r="A574" s="136">
        <v>43679</v>
      </c>
      <c r="B574" s="137">
        <v>123.34</v>
      </c>
      <c r="C574" s="133"/>
      <c r="D574" s="50">
        <f t="shared" si="8"/>
        <v>-4.6978828619996804E-2</v>
      </c>
      <c r="E574" s="49"/>
    </row>
    <row r="575" spans="1:5" ht="14.4">
      <c r="A575" s="136">
        <v>43678</v>
      </c>
      <c r="B575" s="137">
        <v>129.41999999999999</v>
      </c>
      <c r="C575" s="133"/>
      <c r="D575" s="50">
        <f t="shared" si="8"/>
        <v>1.062002186475075E-2</v>
      </c>
      <c r="E575" s="49"/>
    </row>
    <row r="576" spans="1:5" ht="14.4">
      <c r="A576" s="136">
        <v>43677</v>
      </c>
      <c r="B576" s="137">
        <v>128.06</v>
      </c>
      <c r="C576" s="133"/>
      <c r="D576" s="50">
        <f t="shared" si="8"/>
        <v>2.6620732853115392E-3</v>
      </c>
      <c r="E576" s="49"/>
    </row>
    <row r="577" spans="1:5" ht="14.4">
      <c r="A577" s="136">
        <v>43676</v>
      </c>
      <c r="B577" s="137">
        <v>127.72</v>
      </c>
      <c r="C577" s="133"/>
      <c r="D577" s="50">
        <f t="shared" si="8"/>
        <v>-1.8142681426814411E-2</v>
      </c>
      <c r="E577" s="49"/>
    </row>
    <row r="578" spans="1:5" ht="14.4">
      <c r="A578" s="136">
        <v>43675</v>
      </c>
      <c r="B578" s="137">
        <v>130.08000000000001</v>
      </c>
      <c r="C578" s="133"/>
      <c r="D578" s="50">
        <f t="shared" si="8"/>
        <v>-7.0229007633586527E-3</v>
      </c>
      <c r="E578" s="49"/>
    </row>
    <row r="579" spans="1:5" ht="14.4">
      <c r="A579" s="136">
        <v>43672</v>
      </c>
      <c r="B579" s="137">
        <v>131</v>
      </c>
      <c r="C579" s="133"/>
      <c r="D579" s="50">
        <f t="shared" si="8"/>
        <v>3.8314176245211051E-3</v>
      </c>
      <c r="E579" s="49"/>
    </row>
    <row r="580" spans="1:5" ht="14.4">
      <c r="A580" s="136">
        <v>43671</v>
      </c>
      <c r="B580" s="137">
        <v>130.5</v>
      </c>
      <c r="C580" s="133"/>
      <c r="D580" s="50">
        <f t="shared" si="8"/>
        <v>-1.1063958775386573E-2</v>
      </c>
      <c r="E580" s="49"/>
    </row>
    <row r="581" spans="1:5" ht="14.4">
      <c r="A581" s="136">
        <v>43670</v>
      </c>
      <c r="B581" s="137">
        <v>131.96</v>
      </c>
      <c r="C581" s="133"/>
      <c r="D581" s="50">
        <f t="shared" si="8"/>
        <v>-4.9766249434474163E-3</v>
      </c>
      <c r="E581" s="49"/>
    </row>
    <row r="582" spans="1:5" ht="14.4">
      <c r="A582" s="136">
        <v>43669</v>
      </c>
      <c r="B582" s="137">
        <v>132.62</v>
      </c>
      <c r="C582" s="133"/>
      <c r="D582" s="50">
        <f t="shared" si="8"/>
        <v>1.4224533496482117E-2</v>
      </c>
      <c r="E582" s="49"/>
    </row>
    <row r="583" spans="1:5" ht="14.4">
      <c r="A583" s="136">
        <v>43668</v>
      </c>
      <c r="B583" s="137">
        <v>130.76</v>
      </c>
      <c r="C583" s="133"/>
      <c r="D583" s="50">
        <f t="shared" si="8"/>
        <v>-5.6273764258555348E-3</v>
      </c>
      <c r="E583" s="49"/>
    </row>
    <row r="584" spans="1:5" ht="14.4">
      <c r="A584" s="136">
        <v>43665</v>
      </c>
      <c r="B584" s="137">
        <v>131.5</v>
      </c>
      <c r="C584" s="133"/>
      <c r="D584" s="50">
        <f t="shared" ref="D584:D647" si="9">(B584-C584)/B585-1</f>
        <v>-4.5420136260407862E-3</v>
      </c>
      <c r="E584" s="49"/>
    </row>
    <row r="585" spans="1:5" ht="14.4">
      <c r="A585" s="136">
        <v>43664</v>
      </c>
      <c r="B585" s="137">
        <v>132.1</v>
      </c>
      <c r="C585" s="133"/>
      <c r="D585" s="50">
        <f t="shared" si="9"/>
        <v>1.0609275538040475E-3</v>
      </c>
      <c r="E585" s="49"/>
    </row>
    <row r="586" spans="1:5" ht="14.4">
      <c r="A586" s="136">
        <v>43663</v>
      </c>
      <c r="B586" s="137">
        <v>131.96</v>
      </c>
      <c r="C586" s="133"/>
      <c r="D586" s="50">
        <f t="shared" si="9"/>
        <v>6.2528595394237829E-3</v>
      </c>
      <c r="E586" s="49"/>
    </row>
    <row r="587" spans="1:5" ht="14.4">
      <c r="A587" s="136">
        <v>43662</v>
      </c>
      <c r="B587" s="137">
        <v>131.13999999999999</v>
      </c>
      <c r="C587" s="133"/>
      <c r="D587" s="50">
        <f t="shared" si="9"/>
        <v>1.5015479876161031E-2</v>
      </c>
      <c r="E587" s="49"/>
    </row>
    <row r="588" spans="1:5" ht="14.4">
      <c r="A588" s="136">
        <v>43661</v>
      </c>
      <c r="B588" s="137">
        <v>129.19999999999999</v>
      </c>
      <c r="C588" s="133"/>
      <c r="D588" s="50">
        <f t="shared" si="9"/>
        <v>1.1904761904761862E-2</v>
      </c>
      <c r="E588" s="49"/>
    </row>
    <row r="589" spans="1:5" ht="14.4">
      <c r="A589" s="136">
        <v>43658</v>
      </c>
      <c r="B589" s="137">
        <v>127.68</v>
      </c>
      <c r="C589" s="133"/>
      <c r="D589" s="50">
        <f t="shared" si="9"/>
        <v>1.3494205429433359E-2</v>
      </c>
      <c r="E589" s="49"/>
    </row>
    <row r="590" spans="1:5" ht="14.4">
      <c r="A590" s="136">
        <v>43657</v>
      </c>
      <c r="B590" s="137">
        <v>125.98</v>
      </c>
      <c r="C590" s="133"/>
      <c r="D590" s="50">
        <f t="shared" si="9"/>
        <v>1.112523839796653E-3</v>
      </c>
      <c r="E590" s="49"/>
    </row>
    <row r="591" spans="1:5" ht="14.4">
      <c r="A591" s="136">
        <v>43656</v>
      </c>
      <c r="B591" s="137">
        <v>125.84</v>
      </c>
      <c r="C591" s="133"/>
      <c r="D591" s="50">
        <f t="shared" si="9"/>
        <v>1.4020950846092006E-2</v>
      </c>
      <c r="E591" s="49"/>
    </row>
    <row r="592" spans="1:5" ht="14.4">
      <c r="A592" s="136">
        <v>43655</v>
      </c>
      <c r="B592" s="137">
        <v>124.1</v>
      </c>
      <c r="C592" s="133"/>
      <c r="D592" s="50">
        <f t="shared" si="9"/>
        <v>1.4525500322788432E-3</v>
      </c>
      <c r="E592" s="49"/>
    </row>
    <row r="593" spans="1:5" ht="14.4">
      <c r="A593" s="136">
        <v>43654</v>
      </c>
      <c r="B593" s="137">
        <v>123.92</v>
      </c>
      <c r="C593" s="133"/>
      <c r="D593" s="50">
        <f t="shared" si="9"/>
        <v>-5.2978006100496966E-3</v>
      </c>
      <c r="E593" s="49"/>
    </row>
    <row r="594" spans="1:5" ht="14.4">
      <c r="A594" s="136">
        <v>43651</v>
      </c>
      <c r="B594" s="137">
        <v>124.58</v>
      </c>
      <c r="C594" s="133"/>
      <c r="D594" s="50">
        <f t="shared" si="9"/>
        <v>-6.3806029669803976E-3</v>
      </c>
      <c r="E594" s="49"/>
    </row>
    <row r="595" spans="1:5" ht="14.4">
      <c r="A595" s="136">
        <v>43650</v>
      </c>
      <c r="B595" s="137">
        <v>125.38</v>
      </c>
      <c r="C595" s="133"/>
      <c r="D595" s="50">
        <f t="shared" si="9"/>
        <v>-2.0694046482012673E-3</v>
      </c>
      <c r="E595" s="49"/>
    </row>
    <row r="596" spans="1:5" ht="14.4">
      <c r="A596" s="136">
        <v>43649</v>
      </c>
      <c r="B596" s="137">
        <v>125.64</v>
      </c>
      <c r="C596" s="133"/>
      <c r="D596" s="50">
        <f t="shared" si="9"/>
        <v>1.3552758954501476E-2</v>
      </c>
      <c r="E596" s="49"/>
    </row>
    <row r="597" spans="1:5" ht="14.4">
      <c r="A597" s="136">
        <v>43648</v>
      </c>
      <c r="B597" s="137">
        <v>123.96</v>
      </c>
      <c r="C597" s="133"/>
      <c r="D597" s="50">
        <f t="shared" si="9"/>
        <v>-2.7353177795655936E-3</v>
      </c>
      <c r="E597" s="49"/>
    </row>
    <row r="598" spans="1:5" ht="14.4">
      <c r="A598" s="136">
        <v>43647</v>
      </c>
      <c r="B598" s="137">
        <v>124.3</v>
      </c>
      <c r="C598" s="133"/>
      <c r="D598" s="50">
        <f t="shared" si="9"/>
        <v>-3.0478023740777571E-3</v>
      </c>
      <c r="E598" s="49"/>
    </row>
    <row r="599" spans="1:5" ht="14.4">
      <c r="A599" s="136">
        <v>43644</v>
      </c>
      <c r="B599" s="137">
        <v>124.68</v>
      </c>
      <c r="C599" s="133"/>
      <c r="D599" s="50">
        <f t="shared" si="9"/>
        <v>6.4578624475299939E-3</v>
      </c>
      <c r="E599" s="49"/>
    </row>
    <row r="600" spans="1:5" ht="14.4">
      <c r="A600" s="136">
        <v>43643</v>
      </c>
      <c r="B600" s="137">
        <v>123.88</v>
      </c>
      <c r="C600" s="133"/>
      <c r="D600" s="50">
        <f t="shared" si="9"/>
        <v>-1.3222877170622982E-2</v>
      </c>
      <c r="E600" s="49"/>
    </row>
    <row r="601" spans="1:5" ht="14.4">
      <c r="A601" s="136">
        <v>43642</v>
      </c>
      <c r="B601" s="137">
        <v>125.54</v>
      </c>
      <c r="C601" s="133"/>
      <c r="D601" s="50">
        <f t="shared" si="9"/>
        <v>2.8758587633808119E-3</v>
      </c>
      <c r="E601" s="49"/>
    </row>
    <row r="602" spans="1:5" ht="14.4">
      <c r="A602" s="136">
        <v>43641</v>
      </c>
      <c r="B602" s="137">
        <v>125.18</v>
      </c>
      <c r="C602" s="133"/>
      <c r="D602" s="50">
        <f t="shared" si="9"/>
        <v>1.5576829466169118E-2</v>
      </c>
      <c r="E602" s="49"/>
    </row>
    <row r="603" spans="1:5" ht="14.4">
      <c r="A603" s="136">
        <v>43640</v>
      </c>
      <c r="B603" s="137">
        <v>123.26</v>
      </c>
      <c r="C603" s="133"/>
      <c r="D603" s="50">
        <f t="shared" si="9"/>
        <v>3.9094315035022031E-3</v>
      </c>
      <c r="E603" s="49"/>
    </row>
    <row r="604" spans="1:5" ht="14.4">
      <c r="A604" s="136">
        <v>43637</v>
      </c>
      <c r="B604" s="137">
        <v>122.78</v>
      </c>
      <c r="C604" s="133"/>
      <c r="D604" s="50">
        <f t="shared" si="9"/>
        <v>-5.5078567957232982E-3</v>
      </c>
      <c r="E604" s="49"/>
    </row>
    <row r="605" spans="1:5" ht="14.4">
      <c r="A605" s="136">
        <v>43636</v>
      </c>
      <c r="B605" s="137">
        <v>123.46</v>
      </c>
      <c r="C605" s="133"/>
      <c r="D605" s="50">
        <f t="shared" si="9"/>
        <v>3.739837398373913E-3</v>
      </c>
      <c r="E605" s="49"/>
    </row>
    <row r="606" spans="1:5" ht="14.4">
      <c r="A606" s="136">
        <v>43635</v>
      </c>
      <c r="B606" s="137">
        <v>123</v>
      </c>
      <c r="C606" s="133"/>
      <c r="D606" s="50">
        <f t="shared" si="9"/>
        <v>-1.9607843137254832E-2</v>
      </c>
      <c r="E606" s="49"/>
    </row>
    <row r="607" spans="1:5" ht="14.4">
      <c r="A607" s="136">
        <v>43634</v>
      </c>
      <c r="B607" s="137">
        <v>125.46</v>
      </c>
      <c r="C607" s="133"/>
      <c r="D607" s="50">
        <f t="shared" si="9"/>
        <v>3.6799999999999056E-3</v>
      </c>
      <c r="E607" s="49"/>
    </row>
    <row r="608" spans="1:5" ht="14.4">
      <c r="A608" s="136">
        <v>43633</v>
      </c>
      <c r="B608" s="137">
        <v>125</v>
      </c>
      <c r="C608" s="133"/>
      <c r="D608" s="50">
        <f t="shared" si="9"/>
        <v>2.1074987747100149E-2</v>
      </c>
      <c r="E608" s="49"/>
    </row>
    <row r="609" spans="1:5" ht="14.4">
      <c r="A609" s="136">
        <v>43630</v>
      </c>
      <c r="B609" s="137">
        <v>122.42</v>
      </c>
      <c r="C609" s="133"/>
      <c r="D609" s="50">
        <f t="shared" si="9"/>
        <v>-1.9566280776128764E-3</v>
      </c>
      <c r="E609" s="49"/>
    </row>
    <row r="610" spans="1:5" ht="14.4">
      <c r="A610" s="136">
        <v>43629</v>
      </c>
      <c r="B610" s="137">
        <v>122.66</v>
      </c>
      <c r="C610" s="133"/>
      <c r="D610" s="50">
        <f t="shared" si="9"/>
        <v>3.1076218514882736E-3</v>
      </c>
      <c r="E610" s="49"/>
    </row>
    <row r="611" spans="1:5" ht="14.4">
      <c r="A611" s="136">
        <v>43628</v>
      </c>
      <c r="B611" s="137">
        <v>122.28</v>
      </c>
      <c r="C611" s="133"/>
      <c r="D611" s="50">
        <f t="shared" si="9"/>
        <v>-9.0761750405187192E-3</v>
      </c>
      <c r="E611" s="49"/>
    </row>
    <row r="612" spans="1:5" ht="14.4">
      <c r="A612" s="136">
        <v>43627</v>
      </c>
      <c r="B612" s="137">
        <v>123.4</v>
      </c>
      <c r="C612" s="133"/>
      <c r="D612" s="50">
        <f t="shared" si="9"/>
        <v>1.9329258219064949E-2</v>
      </c>
      <c r="E612" s="49"/>
    </row>
    <row r="613" spans="1:5" ht="14.4">
      <c r="A613" s="136">
        <v>43626</v>
      </c>
      <c r="B613" s="137">
        <v>121.06</v>
      </c>
      <c r="C613" s="133"/>
      <c r="D613" s="50">
        <f t="shared" si="9"/>
        <v>1.1577902745616431E-3</v>
      </c>
      <c r="E613" s="49"/>
    </row>
    <row r="614" spans="1:5" ht="14.4">
      <c r="A614" s="136">
        <v>43623</v>
      </c>
      <c r="B614" s="137">
        <v>120.92</v>
      </c>
      <c r="C614" s="133"/>
      <c r="D614" s="50">
        <f t="shared" si="9"/>
        <v>2.5093251949813489E-2</v>
      </c>
      <c r="E614" s="49"/>
    </row>
    <row r="615" spans="1:5" ht="14.4">
      <c r="A615" s="136">
        <v>43622</v>
      </c>
      <c r="B615" s="137">
        <v>117.96</v>
      </c>
      <c r="C615" s="133"/>
      <c r="D615" s="50">
        <f t="shared" si="9"/>
        <v>-6.2342038753160356E-3</v>
      </c>
      <c r="E615" s="49"/>
    </row>
    <row r="616" spans="1:5" ht="14.4">
      <c r="A616" s="136">
        <v>43621</v>
      </c>
      <c r="B616" s="137">
        <v>118.7</v>
      </c>
      <c r="C616" s="133"/>
      <c r="D616" s="50">
        <f t="shared" si="9"/>
        <v>1.8568534773801826E-3</v>
      </c>
      <c r="E616" s="49"/>
    </row>
    <row r="617" spans="1:5" ht="14.4">
      <c r="A617" s="136">
        <v>43620</v>
      </c>
      <c r="B617" s="137">
        <v>118.48</v>
      </c>
      <c r="C617" s="133"/>
      <c r="D617" s="50">
        <f t="shared" si="9"/>
        <v>1.1266643905770035E-2</v>
      </c>
      <c r="E617" s="49"/>
    </row>
    <row r="618" spans="1:5" ht="14.4">
      <c r="A618" s="136">
        <v>43619</v>
      </c>
      <c r="B618" s="137">
        <v>117.16</v>
      </c>
      <c r="C618" s="133"/>
      <c r="D618" s="50">
        <f t="shared" si="9"/>
        <v>2.0024377503047086E-2</v>
      </c>
      <c r="E618" s="49"/>
    </row>
    <row r="619" spans="1:5" ht="14.4">
      <c r="A619" s="136">
        <v>43616</v>
      </c>
      <c r="B619" s="137">
        <v>114.86</v>
      </c>
      <c r="C619" s="133"/>
      <c r="D619" s="50">
        <f t="shared" si="9"/>
        <v>-3.2974661575840836E-3</v>
      </c>
      <c r="E619" s="49"/>
    </row>
    <row r="620" spans="1:5" ht="14.4">
      <c r="A620" s="136">
        <v>43615</v>
      </c>
      <c r="B620" s="137">
        <v>115.24</v>
      </c>
      <c r="C620" s="133"/>
      <c r="D620" s="50">
        <f t="shared" si="9"/>
        <v>7.5187969924812581E-3</v>
      </c>
      <c r="E620" s="49"/>
    </row>
    <row r="621" spans="1:5" ht="14.4">
      <c r="A621" s="136">
        <v>43614</v>
      </c>
      <c r="B621" s="137">
        <v>114.38</v>
      </c>
      <c r="C621" s="133"/>
      <c r="D621" s="50">
        <f t="shared" si="9"/>
        <v>-1.6678129298486888E-2</v>
      </c>
      <c r="E621" s="49"/>
    </row>
    <row r="622" spans="1:5" ht="14.4">
      <c r="A622" s="136">
        <v>43613</v>
      </c>
      <c r="B622" s="137">
        <v>116.32</v>
      </c>
      <c r="C622" s="133"/>
      <c r="D622" s="50">
        <f t="shared" si="9"/>
        <v>-4.4505306401918521E-3</v>
      </c>
      <c r="E622" s="49"/>
    </row>
    <row r="623" spans="1:5" ht="14.4">
      <c r="A623" s="136">
        <v>43612</v>
      </c>
      <c r="B623" s="137">
        <v>116.84</v>
      </c>
      <c r="C623" s="133"/>
      <c r="D623" s="50">
        <f t="shared" si="9"/>
        <v>2.5742234425947252E-3</v>
      </c>
      <c r="E623" s="49"/>
    </row>
    <row r="624" spans="1:5" ht="14.4">
      <c r="A624" s="136">
        <v>43609</v>
      </c>
      <c r="B624" s="137">
        <v>116.54</v>
      </c>
      <c r="C624" s="133"/>
      <c r="D624" s="50">
        <f t="shared" si="9"/>
        <v>1.4449860724234043E-2</v>
      </c>
      <c r="E624" s="49"/>
    </row>
    <row r="625" spans="1:5" ht="14.4">
      <c r="A625" s="136">
        <v>43608</v>
      </c>
      <c r="B625" s="137">
        <v>114.88</v>
      </c>
      <c r="C625" s="133"/>
      <c r="D625" s="50">
        <f t="shared" si="9"/>
        <v>-2.8252410759600721E-2</v>
      </c>
      <c r="E625" s="49"/>
    </row>
    <row r="626" spans="1:5" ht="14.4">
      <c r="A626" s="136">
        <v>43607</v>
      </c>
      <c r="B626" s="137">
        <v>118.22</v>
      </c>
      <c r="C626" s="133"/>
      <c r="D626" s="50">
        <f t="shared" si="9"/>
        <v>-3.3823778116015557E-4</v>
      </c>
      <c r="E626" s="49"/>
    </row>
    <row r="627" spans="1:5" ht="14.4">
      <c r="A627" s="136">
        <v>43606</v>
      </c>
      <c r="B627" s="137">
        <v>118.26</v>
      </c>
      <c r="C627" s="133"/>
      <c r="D627" s="50">
        <f t="shared" si="9"/>
        <v>-6.8861269734631358E-3</v>
      </c>
      <c r="E627" s="49"/>
    </row>
    <row r="628" spans="1:5" ht="14.4">
      <c r="A628" s="136">
        <v>43605</v>
      </c>
      <c r="B628" s="137">
        <v>119.08</v>
      </c>
      <c r="C628" s="133"/>
      <c r="D628" s="50">
        <f t="shared" si="9"/>
        <v>-1.5867768595041354E-2</v>
      </c>
      <c r="E628" s="49"/>
    </row>
    <row r="629" spans="1:5" ht="14.4">
      <c r="A629" s="136">
        <v>43602</v>
      </c>
      <c r="B629" s="137">
        <v>121</v>
      </c>
      <c r="C629" s="133"/>
      <c r="D629" s="50">
        <f t="shared" si="9"/>
        <v>-1.2244897959183709E-2</v>
      </c>
      <c r="E629" s="49"/>
    </row>
    <row r="630" spans="1:5" ht="14.4">
      <c r="A630" s="136">
        <v>43601</v>
      </c>
      <c r="B630" s="137">
        <v>122.5</v>
      </c>
      <c r="C630" s="133"/>
      <c r="D630" s="50">
        <f t="shared" si="9"/>
        <v>1.3401720714758536E-2</v>
      </c>
      <c r="E630" s="49"/>
    </row>
    <row r="631" spans="1:5" ht="14.4">
      <c r="A631" s="136">
        <v>43600</v>
      </c>
      <c r="B631" s="137">
        <v>120.88</v>
      </c>
      <c r="C631" s="133"/>
      <c r="D631" s="50">
        <f t="shared" si="9"/>
        <v>1.5798319327731125E-2</v>
      </c>
      <c r="E631" s="49"/>
    </row>
    <row r="632" spans="1:5" ht="14.4">
      <c r="A632" s="136">
        <v>43599</v>
      </c>
      <c r="B632" s="137">
        <v>119</v>
      </c>
      <c r="C632" s="133"/>
      <c r="D632" s="50">
        <f t="shared" si="9"/>
        <v>3.0124653739612262E-2</v>
      </c>
      <c r="E632" s="49"/>
    </row>
    <row r="633" spans="1:5" ht="14.4">
      <c r="A633" s="136">
        <v>43598</v>
      </c>
      <c r="B633" s="137">
        <v>115.52</v>
      </c>
      <c r="C633" s="133"/>
      <c r="D633" s="50">
        <f t="shared" si="9"/>
        <v>-1.6851063829787294E-2</v>
      </c>
      <c r="E633" s="49"/>
    </row>
    <row r="634" spans="1:5" ht="14.4">
      <c r="A634" s="136">
        <v>43595</v>
      </c>
      <c r="B634" s="137">
        <v>117.5</v>
      </c>
      <c r="C634" s="133"/>
      <c r="D634" s="50">
        <f t="shared" si="9"/>
        <v>5.9931506849315586E-3</v>
      </c>
      <c r="E634" s="49"/>
    </row>
    <row r="635" spans="1:5" ht="14.4">
      <c r="A635" s="136">
        <v>43594</v>
      </c>
      <c r="B635" s="137">
        <v>116.8</v>
      </c>
      <c r="C635" s="133"/>
      <c r="D635" s="50">
        <f t="shared" si="9"/>
        <v>-1.6835016835016869E-2</v>
      </c>
      <c r="E635" s="49"/>
    </row>
    <row r="636" spans="1:5" ht="14.4">
      <c r="A636" s="136">
        <v>43593</v>
      </c>
      <c r="B636" s="137">
        <v>118.8</v>
      </c>
      <c r="C636" s="133"/>
      <c r="D636" s="50">
        <f t="shared" si="9"/>
        <v>1.0719754977029039E-2</v>
      </c>
      <c r="E636" s="49"/>
    </row>
    <row r="637" spans="1:5" ht="14.4">
      <c r="A637" s="136">
        <v>43592</v>
      </c>
      <c r="B637" s="137">
        <v>117.54</v>
      </c>
      <c r="C637" s="133"/>
      <c r="D637" s="50">
        <f t="shared" si="9"/>
        <v>-1.8045112781954864E-2</v>
      </c>
      <c r="E637" s="49"/>
    </row>
    <row r="638" spans="1:5" ht="14.4">
      <c r="A638" s="136">
        <v>43591</v>
      </c>
      <c r="B638" s="137">
        <v>119.7</v>
      </c>
      <c r="C638" s="133"/>
      <c r="D638" s="50">
        <f t="shared" si="9"/>
        <v>1.1709601873537423E-3</v>
      </c>
      <c r="E638" s="49"/>
    </row>
    <row r="639" spans="1:5" ht="14.4">
      <c r="A639" s="136">
        <v>43588</v>
      </c>
      <c r="B639" s="137">
        <v>119.56</v>
      </c>
      <c r="C639" s="133"/>
      <c r="D639" s="50">
        <f t="shared" si="9"/>
        <v>-3.500583430571802E-3</v>
      </c>
      <c r="E639" s="49"/>
    </row>
    <row r="640" spans="1:5" ht="14.4">
      <c r="A640" s="136">
        <v>43587</v>
      </c>
      <c r="B640" s="137">
        <v>119.98</v>
      </c>
      <c r="C640" s="133"/>
      <c r="D640" s="50">
        <f t="shared" si="9"/>
        <v>-1.5589104036757395E-2</v>
      </c>
      <c r="E640" s="49"/>
    </row>
    <row r="641" spans="1:5" ht="14.4">
      <c r="A641" s="136">
        <v>43585</v>
      </c>
      <c r="B641" s="137">
        <v>121.88</v>
      </c>
      <c r="C641" s="133"/>
      <c r="D641" s="50">
        <f t="shared" si="9"/>
        <v>-9.2667858884734056E-3</v>
      </c>
      <c r="E641" s="49"/>
    </row>
    <row r="642" spans="1:5" ht="14.4">
      <c r="A642" s="136">
        <v>43584</v>
      </c>
      <c r="B642" s="137">
        <v>123.02</v>
      </c>
      <c r="C642" s="133"/>
      <c r="D642" s="50">
        <f t="shared" si="9"/>
        <v>9.5191203019857618E-3</v>
      </c>
      <c r="E642" s="49"/>
    </row>
    <row r="643" spans="1:5" ht="14.4">
      <c r="A643" s="136">
        <v>43581</v>
      </c>
      <c r="B643" s="137">
        <v>121.86</v>
      </c>
      <c r="C643" s="133"/>
      <c r="D643" s="50">
        <f t="shared" si="9"/>
        <v>-3.2813781788354479E-4</v>
      </c>
      <c r="E643" s="49"/>
    </row>
    <row r="644" spans="1:5" ht="14.4">
      <c r="A644" s="136">
        <v>43580</v>
      </c>
      <c r="B644" s="137">
        <v>121.9</v>
      </c>
      <c r="C644" s="133"/>
      <c r="D644" s="50">
        <f t="shared" si="9"/>
        <v>-2.4549918166939522E-3</v>
      </c>
      <c r="E644" s="49"/>
    </row>
    <row r="645" spans="1:5" ht="14.4">
      <c r="A645" s="136">
        <v>43579</v>
      </c>
      <c r="B645" s="137">
        <v>122.2</v>
      </c>
      <c r="C645" s="133"/>
      <c r="D645" s="50">
        <f t="shared" si="9"/>
        <v>-4.8859934853420217E-3</v>
      </c>
      <c r="E645" s="49"/>
    </row>
    <row r="646" spans="1:5" ht="14.4">
      <c r="A646" s="136">
        <v>43578</v>
      </c>
      <c r="B646" s="137">
        <v>122.8</v>
      </c>
      <c r="C646" s="133"/>
      <c r="D646" s="50">
        <f t="shared" si="9"/>
        <v>2.1290751829674104E-2</v>
      </c>
      <c r="E646" s="49"/>
    </row>
    <row r="647" spans="1:5" ht="14.4">
      <c r="A647" s="136">
        <v>43573</v>
      </c>
      <c r="B647" s="137">
        <v>120.24</v>
      </c>
      <c r="C647" s="133"/>
      <c r="D647" s="50">
        <f t="shared" si="9"/>
        <v>1.0080645161290258E-2</v>
      </c>
      <c r="E647" s="49"/>
    </row>
    <row r="648" spans="1:5" ht="14.4">
      <c r="A648" s="136">
        <v>43572</v>
      </c>
      <c r="B648" s="137">
        <v>119.04</v>
      </c>
      <c r="C648" s="133"/>
      <c r="D648" s="50">
        <f t="shared" ref="D648:D711" si="10">(B648-C648)/B649-1</f>
        <v>9.4979647218453866E-3</v>
      </c>
      <c r="E648" s="49"/>
    </row>
    <row r="649" spans="1:5" ht="14.4">
      <c r="A649" s="136">
        <v>43571</v>
      </c>
      <c r="B649" s="137">
        <v>117.92</v>
      </c>
      <c r="C649" s="133"/>
      <c r="D649" s="50">
        <f t="shared" si="10"/>
        <v>5.8000682360970224E-3</v>
      </c>
      <c r="E649" s="49"/>
    </row>
    <row r="650" spans="1:5" ht="14.4">
      <c r="A650" s="136">
        <v>43570</v>
      </c>
      <c r="B650" s="137">
        <v>117.24</v>
      </c>
      <c r="C650" s="133"/>
      <c r="D650" s="50">
        <f t="shared" si="10"/>
        <v>-1.1467116357504192E-2</v>
      </c>
      <c r="E650" s="49"/>
    </row>
    <row r="651" spans="1:5" ht="14.4">
      <c r="A651" s="136">
        <v>43567</v>
      </c>
      <c r="B651" s="137">
        <v>118.6</v>
      </c>
      <c r="C651" s="133"/>
      <c r="D651" s="50">
        <f t="shared" si="10"/>
        <v>9.3617021276595214E-3</v>
      </c>
      <c r="E651" s="49"/>
    </row>
    <row r="652" spans="1:5" ht="14.4">
      <c r="A652" s="136">
        <v>43566</v>
      </c>
      <c r="B652" s="137">
        <v>117.5</v>
      </c>
      <c r="C652" s="133"/>
      <c r="D652" s="50">
        <f t="shared" si="10"/>
        <v>8.5836909871244149E-3</v>
      </c>
      <c r="E652" s="49"/>
    </row>
    <row r="653" spans="1:5" ht="14.4">
      <c r="A653" s="136">
        <v>43565</v>
      </c>
      <c r="B653" s="137">
        <v>116.5</v>
      </c>
      <c r="C653" s="133"/>
      <c r="D653" s="50">
        <f t="shared" si="10"/>
        <v>-1.6877637130801704E-2</v>
      </c>
      <c r="E653" s="49"/>
    </row>
    <row r="654" spans="1:5" ht="14.4">
      <c r="A654" s="136">
        <v>43564</v>
      </c>
      <c r="B654" s="137">
        <v>118.5</v>
      </c>
      <c r="C654" s="133"/>
      <c r="D654" s="50">
        <f t="shared" si="10"/>
        <v>-1.8552261056816288E-2</v>
      </c>
      <c r="E654" s="49"/>
    </row>
    <row r="655" spans="1:5" ht="14.4">
      <c r="A655" s="136">
        <v>43563</v>
      </c>
      <c r="B655" s="137">
        <v>120.74</v>
      </c>
      <c r="C655" s="133"/>
      <c r="D655" s="50">
        <f t="shared" si="10"/>
        <v>1.7357600269632512E-2</v>
      </c>
      <c r="E655" s="49"/>
    </row>
    <row r="656" spans="1:5" ht="14.4">
      <c r="A656" s="136">
        <v>43560</v>
      </c>
      <c r="B656" s="137">
        <v>118.68</v>
      </c>
      <c r="C656" s="133"/>
      <c r="D656" s="50">
        <f t="shared" si="10"/>
        <v>7.2992700729928028E-3</v>
      </c>
      <c r="E656" s="49"/>
    </row>
    <row r="657" spans="1:5" ht="14.4">
      <c r="A657" s="136">
        <v>43559</v>
      </c>
      <c r="B657" s="137">
        <v>117.82</v>
      </c>
      <c r="C657" s="133"/>
      <c r="D657" s="50">
        <f t="shared" si="10"/>
        <v>-6.0738991057871505E-3</v>
      </c>
      <c r="E657" s="49"/>
    </row>
    <row r="658" spans="1:5" ht="14.4">
      <c r="A658" s="136">
        <v>43558</v>
      </c>
      <c r="B658" s="137">
        <v>118.54</v>
      </c>
      <c r="C658" s="133"/>
      <c r="D658" s="50">
        <f t="shared" si="10"/>
        <v>1.1260876983449908E-2</v>
      </c>
      <c r="E658" s="49"/>
    </row>
    <row r="659" spans="1:5" ht="14.4">
      <c r="A659" s="136">
        <v>43557</v>
      </c>
      <c r="B659" s="137">
        <v>117.22</v>
      </c>
      <c r="C659" s="133"/>
      <c r="D659" s="50">
        <f t="shared" si="10"/>
        <v>-4.5855978260870289E-3</v>
      </c>
      <c r="E659" s="49"/>
    </row>
    <row r="660" spans="1:5" ht="14.4">
      <c r="A660" s="136">
        <v>43556</v>
      </c>
      <c r="B660" s="137">
        <v>117.76</v>
      </c>
      <c r="C660" s="133"/>
      <c r="D660" s="50">
        <f t="shared" si="10"/>
        <v>-1.1874469889736616E-3</v>
      </c>
      <c r="E660" s="49"/>
    </row>
    <row r="661" spans="1:5" ht="14.4">
      <c r="A661" s="136">
        <v>43553</v>
      </c>
      <c r="B661" s="137">
        <v>117.9</v>
      </c>
      <c r="C661" s="133"/>
      <c r="D661" s="50">
        <f t="shared" si="10"/>
        <v>1.4106313435403361E-2</v>
      </c>
      <c r="E661" s="49"/>
    </row>
    <row r="662" spans="1:5" ht="14.4">
      <c r="A662" s="136">
        <v>43552</v>
      </c>
      <c r="B662" s="137">
        <v>116.26</v>
      </c>
      <c r="C662" s="133"/>
      <c r="D662" s="50">
        <f t="shared" si="10"/>
        <v>6.7544163491513043E-3</v>
      </c>
      <c r="E662" s="49"/>
    </row>
    <row r="663" spans="1:5" ht="14.4">
      <c r="A663" s="136">
        <v>43551</v>
      </c>
      <c r="B663" s="137">
        <v>115.48</v>
      </c>
      <c r="C663" s="133"/>
      <c r="D663" s="50">
        <f t="shared" si="10"/>
        <v>-7.3921265257005375E-3</v>
      </c>
      <c r="E663" s="49"/>
    </row>
    <row r="664" spans="1:5" ht="14.4">
      <c r="A664" s="136">
        <v>43550</v>
      </c>
      <c r="B664" s="137">
        <v>116.34</v>
      </c>
      <c r="C664" s="133"/>
      <c r="D664" s="50">
        <f t="shared" si="10"/>
        <v>2.0168361978253113E-2</v>
      </c>
      <c r="E664" s="49"/>
    </row>
    <row r="665" spans="1:5" ht="14.4">
      <c r="A665" s="136">
        <v>43549</v>
      </c>
      <c r="B665" s="137">
        <v>114.04</v>
      </c>
      <c r="C665" s="133"/>
      <c r="D665" s="50">
        <f t="shared" si="10"/>
        <v>-4.8865619546246686E-3</v>
      </c>
      <c r="E665" s="49"/>
    </row>
    <row r="666" spans="1:5" ht="14.4">
      <c r="A666" s="136">
        <v>43546</v>
      </c>
      <c r="B666" s="137">
        <v>114.6</v>
      </c>
      <c r="C666" s="133"/>
      <c r="D666" s="50">
        <f t="shared" si="10"/>
        <v>-3.3400809716599311E-2</v>
      </c>
      <c r="E666" s="49"/>
    </row>
    <row r="667" spans="1:5" ht="14.4">
      <c r="A667" s="136">
        <v>43545</v>
      </c>
      <c r="B667" s="137">
        <v>118.56</v>
      </c>
      <c r="C667" s="133"/>
      <c r="D667" s="50">
        <f t="shared" si="10"/>
        <v>5.9392499575767754E-3</v>
      </c>
      <c r="E667" s="49"/>
    </row>
    <row r="668" spans="1:5" ht="14.4">
      <c r="A668" s="136">
        <v>43544</v>
      </c>
      <c r="B668" s="137">
        <v>117.86</v>
      </c>
      <c r="C668" s="133"/>
      <c r="D668" s="50">
        <f t="shared" si="10"/>
        <v>-9.5798319327731196E-3</v>
      </c>
      <c r="E668" s="49"/>
    </row>
    <row r="669" spans="1:5" ht="14.4">
      <c r="A669" s="136">
        <v>43543</v>
      </c>
      <c r="B669" s="137">
        <v>119</v>
      </c>
      <c r="C669" s="133"/>
      <c r="D669" s="50">
        <f t="shared" si="10"/>
        <v>8.4745762711864181E-3</v>
      </c>
      <c r="E669" s="49"/>
    </row>
    <row r="670" spans="1:5" ht="14.4">
      <c r="A670" s="136">
        <v>43542</v>
      </c>
      <c r="B670" s="137">
        <v>118</v>
      </c>
      <c r="C670" s="133"/>
      <c r="D670" s="50">
        <f t="shared" si="10"/>
        <v>2.7192386131882351E-3</v>
      </c>
      <c r="E670" s="49"/>
    </row>
    <row r="671" spans="1:5" ht="14.4">
      <c r="A671" s="136">
        <v>43539</v>
      </c>
      <c r="B671" s="137">
        <v>117.68</v>
      </c>
      <c r="C671" s="133"/>
      <c r="D671" s="50">
        <f t="shared" si="10"/>
        <v>5.811965811965969E-3</v>
      </c>
      <c r="E671" s="49"/>
    </row>
    <row r="672" spans="1:5" ht="14.4">
      <c r="A672" s="136">
        <v>43538</v>
      </c>
      <c r="B672" s="137">
        <v>117</v>
      </c>
      <c r="C672" s="133"/>
      <c r="D672" s="50">
        <f t="shared" si="10"/>
        <v>1.0266940451746365E-3</v>
      </c>
      <c r="E672" s="49"/>
    </row>
    <row r="673" spans="1:5" ht="14.4">
      <c r="A673" s="136">
        <v>43537</v>
      </c>
      <c r="B673" s="137">
        <v>116.88</v>
      </c>
      <c r="C673" s="133"/>
      <c r="D673" s="50">
        <f t="shared" si="10"/>
        <v>2.0073311223599122E-2</v>
      </c>
      <c r="E673" s="49"/>
    </row>
    <row r="674" spans="1:5" ht="14.4">
      <c r="A674" s="136">
        <v>43536</v>
      </c>
      <c r="B674" s="137">
        <v>114.58</v>
      </c>
      <c r="C674" s="133"/>
      <c r="D674" s="50">
        <f t="shared" si="10"/>
        <v>1.4341359773371254E-2</v>
      </c>
      <c r="E674" s="49"/>
    </row>
    <row r="675" spans="1:5" ht="14.4">
      <c r="A675" s="136">
        <v>43535</v>
      </c>
      <c r="B675" s="137">
        <v>112.96</v>
      </c>
      <c r="C675" s="133"/>
      <c r="D675" s="50">
        <f t="shared" si="10"/>
        <v>1.2912482065997155E-2</v>
      </c>
      <c r="E675" s="49"/>
    </row>
    <row r="676" spans="1:5" ht="14.4">
      <c r="A676" s="136">
        <v>43532</v>
      </c>
      <c r="B676" s="137">
        <v>111.52</v>
      </c>
      <c r="C676" s="133"/>
      <c r="D676" s="50">
        <f t="shared" si="10"/>
        <v>-1.0821358878836285E-2</v>
      </c>
      <c r="E676" s="49"/>
    </row>
    <row r="677" spans="1:5" ht="14.4">
      <c r="A677" s="136">
        <v>43531</v>
      </c>
      <c r="B677" s="137">
        <v>112.74</v>
      </c>
      <c r="C677" s="133"/>
      <c r="D677" s="50">
        <f t="shared" si="10"/>
        <v>-8.6176574041505472E-3</v>
      </c>
      <c r="E677" s="49"/>
    </row>
    <row r="678" spans="1:5" ht="14.4">
      <c r="A678" s="136">
        <v>43530</v>
      </c>
      <c r="B678" s="137">
        <v>113.72</v>
      </c>
      <c r="C678" s="133"/>
      <c r="D678" s="50">
        <f t="shared" si="10"/>
        <v>4.2387848816674012E-3</v>
      </c>
      <c r="E678" s="49"/>
    </row>
    <row r="679" spans="1:5" ht="14.4">
      <c r="A679" s="136">
        <v>43529</v>
      </c>
      <c r="B679" s="137">
        <v>113.24</v>
      </c>
      <c r="C679" s="133"/>
      <c r="D679" s="50">
        <f t="shared" si="10"/>
        <v>-6.8409051043676339E-3</v>
      </c>
      <c r="E679" s="49"/>
    </row>
    <row r="680" spans="1:5" ht="14.4">
      <c r="A680" s="136">
        <v>43528</v>
      </c>
      <c r="B680" s="137">
        <v>114.02</v>
      </c>
      <c r="C680" s="133"/>
      <c r="D680" s="50">
        <f t="shared" si="10"/>
        <v>1.0535557506583526E-3</v>
      </c>
      <c r="E680" s="49"/>
    </row>
    <row r="681" spans="1:5" ht="14.4">
      <c r="A681" s="136">
        <v>43525</v>
      </c>
      <c r="B681" s="137">
        <v>113.9</v>
      </c>
      <c r="C681" s="133"/>
      <c r="D681" s="50">
        <f t="shared" si="10"/>
        <v>2.640845070422726E-3</v>
      </c>
      <c r="E681" s="49"/>
    </row>
    <row r="682" spans="1:5" ht="14.4">
      <c r="A682" s="136">
        <v>43524</v>
      </c>
      <c r="B682" s="137">
        <v>113.6</v>
      </c>
      <c r="C682" s="133"/>
      <c r="D682" s="50">
        <f t="shared" si="10"/>
        <v>1.2339150361360129E-3</v>
      </c>
      <c r="E682" s="49"/>
    </row>
    <row r="683" spans="1:5" ht="14.4">
      <c r="A683" s="136">
        <v>43523</v>
      </c>
      <c r="B683" s="137">
        <v>113.46</v>
      </c>
      <c r="C683" s="133"/>
      <c r="D683" s="50">
        <f t="shared" si="10"/>
        <v>3.005657708627929E-3</v>
      </c>
      <c r="E683" s="49"/>
    </row>
    <row r="684" spans="1:5" ht="14.4">
      <c r="A684" s="136">
        <v>43522</v>
      </c>
      <c r="B684" s="137">
        <v>113.12</v>
      </c>
      <c r="C684" s="133"/>
      <c r="D684" s="50">
        <f t="shared" si="10"/>
        <v>-1.9410622904535435E-3</v>
      </c>
      <c r="E684" s="49"/>
    </row>
    <row r="685" spans="1:5" ht="14.4">
      <c r="A685" s="136">
        <v>43521</v>
      </c>
      <c r="B685" s="137">
        <v>113.34</v>
      </c>
      <c r="C685" s="133"/>
      <c r="D685" s="50">
        <f t="shared" si="10"/>
        <v>-3.1662269129287823E-3</v>
      </c>
      <c r="E685" s="49"/>
    </row>
    <row r="686" spans="1:5" ht="14.4">
      <c r="A686" s="136">
        <v>43518</v>
      </c>
      <c r="B686" s="137">
        <v>113.7</v>
      </c>
      <c r="C686" s="133"/>
      <c r="D686" s="50">
        <f t="shared" si="10"/>
        <v>2.1012931034482873E-2</v>
      </c>
      <c r="E686" s="49"/>
    </row>
    <row r="687" spans="1:5" ht="14.4">
      <c r="A687" s="136">
        <v>43517</v>
      </c>
      <c r="B687" s="137">
        <v>111.36</v>
      </c>
      <c r="C687" s="133"/>
      <c r="D687" s="50">
        <f t="shared" si="10"/>
        <v>2.1598272138227959E-3</v>
      </c>
      <c r="E687" s="49"/>
    </row>
    <row r="688" spans="1:5" ht="14.4">
      <c r="A688" s="136">
        <v>43516</v>
      </c>
      <c r="B688" s="137">
        <v>111.12</v>
      </c>
      <c r="C688" s="133"/>
      <c r="D688" s="50">
        <f t="shared" si="10"/>
        <v>-1.7995321216479621E-4</v>
      </c>
      <c r="E688" s="49"/>
    </row>
    <row r="689" spans="1:5" ht="14.4">
      <c r="A689" s="136">
        <v>43515</v>
      </c>
      <c r="B689" s="137">
        <v>111.14</v>
      </c>
      <c r="C689" s="133"/>
      <c r="D689" s="50">
        <f t="shared" si="10"/>
        <v>-1.0785547366529702E-3</v>
      </c>
      <c r="E689" s="49"/>
    </row>
    <row r="690" spans="1:5" ht="14.4">
      <c r="A690" s="136">
        <v>43514</v>
      </c>
      <c r="B690" s="137">
        <v>111.26</v>
      </c>
      <c r="C690" s="133"/>
      <c r="D690" s="50">
        <f t="shared" si="10"/>
        <v>2.5229771129933187E-3</v>
      </c>
      <c r="E690" s="49"/>
    </row>
    <row r="691" spans="1:5" ht="14.4">
      <c r="A691" s="136">
        <v>43511</v>
      </c>
      <c r="B691" s="137">
        <v>110.98</v>
      </c>
      <c r="C691" s="133"/>
      <c r="D691" s="50">
        <f t="shared" si="10"/>
        <v>3.5454375816383665E-2</v>
      </c>
      <c r="E691" s="49"/>
    </row>
    <row r="692" spans="1:5" ht="14.4">
      <c r="A692" s="136">
        <v>43510</v>
      </c>
      <c r="B692" s="137">
        <v>107.18</v>
      </c>
      <c r="C692" s="133"/>
      <c r="D692" s="50">
        <f t="shared" si="10"/>
        <v>2.6825062272466171E-2</v>
      </c>
      <c r="E692" s="49"/>
    </row>
    <row r="693" spans="1:5" ht="14.4">
      <c r="A693" s="136">
        <v>43509</v>
      </c>
      <c r="B693" s="137">
        <v>104.38</v>
      </c>
      <c r="C693" s="133"/>
      <c r="D693" s="50">
        <f t="shared" si="10"/>
        <v>1.5567230978789537E-2</v>
      </c>
      <c r="E693" s="49"/>
    </row>
    <row r="694" spans="1:5" ht="14.4">
      <c r="A694" s="136">
        <v>43508</v>
      </c>
      <c r="B694" s="137">
        <v>102.78</v>
      </c>
      <c r="C694" s="133"/>
      <c r="D694" s="50">
        <f t="shared" si="10"/>
        <v>7.6470588235293402E-3</v>
      </c>
      <c r="E694" s="49"/>
    </row>
    <row r="695" spans="1:5" ht="14.4">
      <c r="A695" s="136">
        <v>43507</v>
      </c>
      <c r="B695" s="137">
        <v>102</v>
      </c>
      <c r="C695" s="133"/>
      <c r="D695" s="50">
        <f t="shared" si="10"/>
        <v>2.061236742045236E-2</v>
      </c>
      <c r="E695" s="49"/>
    </row>
    <row r="696" spans="1:5" ht="14.4">
      <c r="A696" s="136">
        <v>43504</v>
      </c>
      <c r="B696" s="137">
        <v>99.94</v>
      </c>
      <c r="C696" s="133"/>
      <c r="D696" s="50">
        <f t="shared" si="10"/>
        <v>1.1018731844134599E-3</v>
      </c>
      <c r="E696" s="49"/>
    </row>
    <row r="697" spans="1:5" ht="14.4">
      <c r="A697" s="136">
        <v>43503</v>
      </c>
      <c r="B697" s="137">
        <v>99.83</v>
      </c>
      <c r="C697" s="133"/>
      <c r="D697" s="50">
        <f t="shared" si="10"/>
        <v>-2.2041536050156685E-2</v>
      </c>
      <c r="E697" s="49"/>
    </row>
    <row r="698" spans="1:5" ht="14.4">
      <c r="A698" s="136">
        <v>43502</v>
      </c>
      <c r="B698" s="137">
        <v>102.08</v>
      </c>
      <c r="C698" s="133"/>
      <c r="D698" s="50">
        <f t="shared" si="10"/>
        <v>7.8431372549014888E-4</v>
      </c>
      <c r="E698" s="49"/>
    </row>
    <row r="699" spans="1:5" ht="14.4">
      <c r="A699" s="136">
        <v>43501</v>
      </c>
      <c r="B699" s="137">
        <v>102</v>
      </c>
      <c r="C699" s="133"/>
      <c r="D699" s="50">
        <f t="shared" si="10"/>
        <v>5.9171597633136397E-3</v>
      </c>
      <c r="E699" s="49"/>
    </row>
    <row r="700" spans="1:5" ht="14.4">
      <c r="A700" s="136">
        <v>43500</v>
      </c>
      <c r="B700" s="137">
        <v>101.4</v>
      </c>
      <c r="C700" s="133"/>
      <c r="D700" s="50">
        <f t="shared" si="10"/>
        <v>2.7689873417722222E-3</v>
      </c>
      <c r="E700" s="49"/>
    </row>
    <row r="701" spans="1:5" ht="14.4">
      <c r="A701" s="136">
        <v>43497</v>
      </c>
      <c r="B701" s="137">
        <v>101.12</v>
      </c>
      <c r="C701" s="133"/>
      <c r="D701" s="50">
        <f t="shared" si="10"/>
        <v>8.9802434643784235E-3</v>
      </c>
      <c r="E701" s="49"/>
    </row>
    <row r="702" spans="1:5" ht="14.4">
      <c r="A702" s="136">
        <v>43496</v>
      </c>
      <c r="B702" s="137">
        <v>100.22</v>
      </c>
      <c r="C702" s="133"/>
      <c r="D702" s="50">
        <f t="shared" si="10"/>
        <v>1.2323232323232292E-2</v>
      </c>
      <c r="E702" s="49"/>
    </row>
    <row r="703" spans="1:5" ht="14.4">
      <c r="A703" s="136">
        <v>43495</v>
      </c>
      <c r="B703" s="137">
        <v>99</v>
      </c>
      <c r="C703" s="133"/>
      <c r="D703" s="50">
        <f t="shared" si="10"/>
        <v>3.0713170223841679E-2</v>
      </c>
      <c r="E703" s="49"/>
    </row>
    <row r="704" spans="1:5" ht="14.4">
      <c r="A704" s="136">
        <v>43494</v>
      </c>
      <c r="B704" s="137">
        <v>96.05</v>
      </c>
      <c r="C704" s="133"/>
      <c r="D704" s="50">
        <f t="shared" si="10"/>
        <v>6.6023894361768587E-3</v>
      </c>
      <c r="E704" s="49"/>
    </row>
    <row r="705" spans="1:7" ht="14.4">
      <c r="A705" s="136">
        <v>43493</v>
      </c>
      <c r="B705" s="137">
        <v>95.42</v>
      </c>
      <c r="C705" s="133"/>
      <c r="D705" s="50">
        <f t="shared" si="10"/>
        <v>-1.1294166407626149E-2</v>
      </c>
      <c r="E705" s="49"/>
    </row>
    <row r="706" spans="1:7" ht="14.4">
      <c r="A706" s="136">
        <v>43490</v>
      </c>
      <c r="B706" s="137">
        <v>96.51</v>
      </c>
      <c r="C706" s="133"/>
      <c r="D706" s="50">
        <f t="shared" si="10"/>
        <v>6.1509591326105451E-3</v>
      </c>
      <c r="E706" s="49"/>
    </row>
    <row r="707" spans="1:7" ht="14.4">
      <c r="A707" s="136">
        <v>43489</v>
      </c>
      <c r="B707" s="137">
        <v>95.92</v>
      </c>
      <c r="C707" s="133"/>
      <c r="D707" s="50">
        <f t="shared" si="10"/>
        <v>2.2492271612834402E-2</v>
      </c>
      <c r="E707" s="49"/>
    </row>
    <row r="708" spans="1:7" ht="14.4">
      <c r="A708" s="136">
        <v>43488</v>
      </c>
      <c r="B708" s="137">
        <v>93.81</v>
      </c>
      <c r="C708" s="133"/>
      <c r="D708" s="50">
        <f t="shared" si="10"/>
        <v>-9.9208443271767699E-3</v>
      </c>
      <c r="E708" s="49"/>
    </row>
    <row r="709" spans="1:7" ht="14.4">
      <c r="A709" s="136">
        <v>43487</v>
      </c>
      <c r="B709" s="137">
        <v>94.75</v>
      </c>
      <c r="C709" s="133"/>
      <c r="D709" s="50">
        <f t="shared" si="10"/>
        <v>2.6455026455025621E-3</v>
      </c>
      <c r="E709" s="49"/>
    </row>
    <row r="710" spans="1:7" ht="14.4">
      <c r="A710" s="136">
        <v>43486</v>
      </c>
      <c r="B710" s="137">
        <v>94.5</v>
      </c>
      <c r="C710" s="133"/>
      <c r="D710" s="50">
        <f t="shared" si="10"/>
        <v>8.9686098654708779E-3</v>
      </c>
      <c r="E710" s="42"/>
      <c r="F710" s="42"/>
      <c r="G710" s="42"/>
    </row>
    <row r="711" spans="1:7" ht="14.4">
      <c r="A711" s="136">
        <v>43483</v>
      </c>
      <c r="B711" s="137">
        <v>93.66</v>
      </c>
      <c r="C711" s="133"/>
      <c r="D711" s="50">
        <f t="shared" si="10"/>
        <v>2.0706190061028584E-2</v>
      </c>
      <c r="E711" s="42"/>
      <c r="F711" s="42"/>
      <c r="G711" s="42"/>
    </row>
    <row r="712" spans="1:7" ht="14.4">
      <c r="A712" s="136">
        <v>43482</v>
      </c>
      <c r="B712" s="137">
        <v>91.76</v>
      </c>
      <c r="C712" s="133"/>
      <c r="D712" s="50">
        <f t="shared" ref="D712:D775" si="11">(B712-C712)/B713-1</f>
        <v>-8.4287875513291421E-3</v>
      </c>
      <c r="E712" s="42"/>
      <c r="F712" s="42"/>
      <c r="G712" s="42"/>
    </row>
    <row r="713" spans="1:7" ht="14.4">
      <c r="A713" s="136">
        <v>43481</v>
      </c>
      <c r="B713" s="137">
        <v>92.54</v>
      </c>
      <c r="C713" s="133"/>
      <c r="D713" s="50">
        <f t="shared" si="11"/>
        <v>2.491604376557266E-3</v>
      </c>
      <c r="E713" s="42"/>
      <c r="F713" s="42"/>
      <c r="G713" s="42"/>
    </row>
    <row r="714" spans="1:7" ht="14.4">
      <c r="A714" s="136">
        <v>43480</v>
      </c>
      <c r="B714" s="137">
        <v>92.31</v>
      </c>
      <c r="C714" s="133"/>
      <c r="D714" s="50">
        <f t="shared" si="11"/>
        <v>2.6693360026693425E-2</v>
      </c>
      <c r="E714" s="42"/>
      <c r="F714" s="42"/>
      <c r="G714" s="42"/>
    </row>
    <row r="715" spans="1:7" ht="14.4">
      <c r="A715" s="136">
        <v>43479</v>
      </c>
      <c r="B715" s="137">
        <v>89.91</v>
      </c>
      <c r="C715" s="133"/>
      <c r="D715" s="50">
        <f t="shared" si="11"/>
        <v>1.731160896130346E-2</v>
      </c>
      <c r="E715" s="42"/>
      <c r="F715" s="42"/>
      <c r="G715" s="42"/>
    </row>
    <row r="716" spans="1:7" ht="14.4">
      <c r="A716" s="136">
        <v>43476</v>
      </c>
      <c r="B716" s="137">
        <v>88.38</v>
      </c>
      <c r="C716" s="133"/>
      <c r="D716" s="50">
        <f t="shared" si="11"/>
        <v>-1.3726146635420156E-2</v>
      </c>
      <c r="E716" s="42"/>
      <c r="F716" s="42"/>
      <c r="G716" s="42"/>
    </row>
    <row r="717" spans="1:7" ht="14.4">
      <c r="A717" s="136">
        <v>43475</v>
      </c>
      <c r="B717" s="137">
        <v>89.61</v>
      </c>
      <c r="C717" s="133"/>
      <c r="D717" s="50">
        <f t="shared" si="11"/>
        <v>-7.8055307760938053E-4</v>
      </c>
      <c r="E717" s="42"/>
      <c r="F717" s="42"/>
      <c r="G717" s="42"/>
    </row>
    <row r="718" spans="1:7" ht="14.4">
      <c r="A718" s="136">
        <v>43474</v>
      </c>
      <c r="B718" s="137">
        <v>89.68</v>
      </c>
      <c r="C718" s="133"/>
      <c r="D718" s="50">
        <f t="shared" si="11"/>
        <v>3.4968263127524546E-2</v>
      </c>
      <c r="E718" s="42"/>
      <c r="F718" s="42"/>
      <c r="G718" s="42"/>
    </row>
    <row r="719" spans="1:7" ht="14.4">
      <c r="A719" s="136">
        <v>43473</v>
      </c>
      <c r="B719" s="137">
        <v>86.65</v>
      </c>
      <c r="C719" s="133"/>
      <c r="D719" s="50">
        <f t="shared" si="11"/>
        <v>3.6979415988511288E-2</v>
      </c>
      <c r="E719" s="42"/>
      <c r="F719" s="42"/>
      <c r="G719" s="42"/>
    </row>
    <row r="720" spans="1:7" ht="14.4">
      <c r="A720" s="136">
        <v>43472</v>
      </c>
      <c r="B720" s="137">
        <v>83.56</v>
      </c>
      <c r="C720" s="133"/>
      <c r="D720" s="50">
        <f t="shared" si="11"/>
        <v>-1.8327067669172914E-2</v>
      </c>
      <c r="E720" s="42"/>
      <c r="F720" s="42"/>
      <c r="G720" s="42"/>
    </row>
    <row r="721" spans="1:7" ht="14.4">
      <c r="A721" s="136">
        <v>43469</v>
      </c>
      <c r="B721" s="137">
        <v>85.12</v>
      </c>
      <c r="C721" s="133"/>
      <c r="D721" s="50">
        <f t="shared" si="11"/>
        <v>4.8146779953207819E-2</v>
      </c>
      <c r="E721" s="42"/>
      <c r="F721" s="42"/>
      <c r="G721" s="42"/>
    </row>
    <row r="722" spans="1:7" ht="14.4">
      <c r="A722" s="136">
        <v>43468</v>
      </c>
      <c r="B722" s="137">
        <v>81.209999999999994</v>
      </c>
      <c r="C722" s="133"/>
      <c r="D722" s="50">
        <f t="shared" si="11"/>
        <v>-3.5166924082214668E-2</v>
      </c>
      <c r="E722" s="42"/>
      <c r="F722" s="42"/>
      <c r="G722" s="42"/>
    </row>
    <row r="723" spans="1:7" ht="14.4">
      <c r="A723" s="136">
        <v>43467</v>
      </c>
      <c r="B723" s="137">
        <v>84.17</v>
      </c>
      <c r="C723" s="133"/>
      <c r="D723" s="50">
        <f t="shared" si="11"/>
        <v>2.5011910433541118E-3</v>
      </c>
      <c r="E723" s="42"/>
      <c r="F723" s="42"/>
      <c r="G723" s="42"/>
    </row>
    <row r="724" spans="1:7" ht="14.4">
      <c r="A724" s="138">
        <v>43465</v>
      </c>
      <c r="B724" s="139">
        <v>83.96</v>
      </c>
      <c r="C724" s="134">
        <v>1.65</v>
      </c>
      <c r="D724" s="50">
        <f t="shared" si="11"/>
        <v>-1.7311365807068047E-2</v>
      </c>
      <c r="E724" s="46"/>
      <c r="F724" s="46"/>
      <c r="G724" s="45" t="e">
        <v>#REF!</v>
      </c>
    </row>
    <row r="725" spans="1:7" ht="14.4">
      <c r="A725" s="136">
        <v>43462</v>
      </c>
      <c r="B725" s="137">
        <v>83.76</v>
      </c>
      <c r="C725" s="133"/>
      <c r="D725" s="50">
        <f t="shared" si="11"/>
        <v>2.0219244823386218E-2</v>
      </c>
      <c r="E725" s="42"/>
      <c r="F725" s="42"/>
      <c r="G725" s="42"/>
    </row>
    <row r="726" spans="1:7" ht="14.4">
      <c r="A726" s="136">
        <v>43461</v>
      </c>
      <c r="B726" s="137">
        <v>82.1</v>
      </c>
      <c r="C726" s="133"/>
      <c r="D726" s="50">
        <f t="shared" si="11"/>
        <v>5.7576871248314898E-3</v>
      </c>
      <c r="E726" s="49"/>
    </row>
    <row r="727" spans="1:7" ht="14.4">
      <c r="A727" s="136">
        <v>43458</v>
      </c>
      <c r="B727" s="137">
        <v>81.63</v>
      </c>
      <c r="C727" s="133"/>
      <c r="D727" s="50">
        <f t="shared" si="11"/>
        <v>-1.7689530685920607E-2</v>
      </c>
      <c r="E727" s="49"/>
    </row>
    <row r="728" spans="1:7" ht="14.4">
      <c r="A728" s="136">
        <v>43455</v>
      </c>
      <c r="B728" s="137">
        <v>83.1</v>
      </c>
      <c r="C728" s="133"/>
      <c r="D728" s="50">
        <f t="shared" si="11"/>
        <v>-2.7601104044162605E-3</v>
      </c>
      <c r="E728" s="49"/>
    </row>
    <row r="729" spans="1:7" ht="14.4">
      <c r="A729" s="136">
        <v>43454</v>
      </c>
      <c r="B729" s="137">
        <v>83.33</v>
      </c>
      <c r="C729" s="133"/>
      <c r="D729" s="50">
        <f t="shared" si="11"/>
        <v>-4.4380733944954232E-2</v>
      </c>
      <c r="E729" s="49"/>
    </row>
    <row r="730" spans="1:7" ht="14.4">
      <c r="A730" s="136">
        <v>43453</v>
      </c>
      <c r="B730" s="137">
        <v>87.2</v>
      </c>
      <c r="C730" s="133"/>
      <c r="D730" s="50">
        <f t="shared" si="11"/>
        <v>-1.6356457980823524E-2</v>
      </c>
      <c r="E730" s="49"/>
    </row>
    <row r="731" spans="1:7" ht="14.4">
      <c r="A731" s="136">
        <v>43452</v>
      </c>
      <c r="B731" s="137">
        <v>88.65</v>
      </c>
      <c r="C731" s="133"/>
      <c r="D731" s="50">
        <f t="shared" si="11"/>
        <v>1.1409013120365019E-2</v>
      </c>
      <c r="E731" s="49"/>
    </row>
    <row r="732" spans="1:7" ht="14.4">
      <c r="A732" s="136">
        <v>43451</v>
      </c>
      <c r="B732" s="137">
        <v>87.65</v>
      </c>
      <c r="C732" s="133"/>
      <c r="D732" s="50">
        <f t="shared" si="11"/>
        <v>-1.1503326942596148E-2</v>
      </c>
      <c r="E732" s="49"/>
    </row>
    <row r="733" spans="1:7" ht="14.4">
      <c r="A733" s="136">
        <v>43448</v>
      </c>
      <c r="B733" s="137">
        <v>88.67</v>
      </c>
      <c r="C733" s="133"/>
      <c r="D733" s="50">
        <f t="shared" si="11"/>
        <v>-1.4449260864732638E-2</v>
      </c>
      <c r="E733" s="49"/>
    </row>
    <row r="734" spans="1:7" ht="14.4">
      <c r="A734" s="136">
        <v>43447</v>
      </c>
      <c r="B734" s="137">
        <v>89.97</v>
      </c>
      <c r="C734" s="133"/>
      <c r="D734" s="50">
        <f t="shared" si="11"/>
        <v>-1.6506340183646717E-2</v>
      </c>
      <c r="E734" s="49"/>
    </row>
    <row r="735" spans="1:7" ht="14.4">
      <c r="A735" s="136">
        <v>43446</v>
      </c>
      <c r="B735" s="137">
        <v>91.48</v>
      </c>
      <c r="C735" s="133"/>
      <c r="D735" s="50">
        <f t="shared" si="11"/>
        <v>3.2505643340857926E-2</v>
      </c>
      <c r="E735" s="49"/>
    </row>
    <row r="736" spans="1:7" ht="14.4">
      <c r="A736" s="136">
        <v>43445</v>
      </c>
      <c r="B736" s="137">
        <v>88.6</v>
      </c>
      <c r="C736" s="133"/>
      <c r="D736" s="50">
        <f t="shared" si="11"/>
        <v>1.2687164247342508E-2</v>
      </c>
      <c r="E736" s="49"/>
    </row>
    <row r="737" spans="1:5" ht="14.4">
      <c r="A737" s="136">
        <v>43444</v>
      </c>
      <c r="B737" s="137">
        <v>87.49</v>
      </c>
      <c r="C737" s="133"/>
      <c r="D737" s="50">
        <f t="shared" si="11"/>
        <v>-1.7738857078702153E-2</v>
      </c>
      <c r="E737" s="49"/>
    </row>
    <row r="738" spans="1:5" ht="14.4">
      <c r="A738" s="136">
        <v>43441</v>
      </c>
      <c r="B738" s="137">
        <v>89.07</v>
      </c>
      <c r="C738" s="133"/>
      <c r="D738" s="50">
        <f t="shared" si="11"/>
        <v>4.8510830324908216E-3</v>
      </c>
      <c r="E738" s="49"/>
    </row>
    <row r="739" spans="1:5" ht="14.4">
      <c r="A739" s="136">
        <v>43440</v>
      </c>
      <c r="B739" s="137">
        <v>88.64</v>
      </c>
      <c r="C739" s="133"/>
      <c r="D739" s="50">
        <f t="shared" si="11"/>
        <v>-3.9757339399848379E-2</v>
      </c>
      <c r="E739" s="49"/>
    </row>
    <row r="740" spans="1:5" ht="14.4">
      <c r="A740" s="136">
        <v>43439</v>
      </c>
      <c r="B740" s="137">
        <v>92.31</v>
      </c>
      <c r="C740" s="133"/>
      <c r="D740" s="50">
        <f t="shared" si="11"/>
        <v>-2.0791344011880653E-2</v>
      </c>
      <c r="E740" s="49"/>
    </row>
    <row r="741" spans="1:5" ht="14.4">
      <c r="A741" s="136">
        <v>43438</v>
      </c>
      <c r="B741" s="137">
        <v>94.27</v>
      </c>
      <c r="C741" s="133"/>
      <c r="D741" s="50">
        <f t="shared" si="11"/>
        <v>-1.4942528735632288E-2</v>
      </c>
      <c r="E741" s="49"/>
    </row>
    <row r="742" spans="1:5" ht="14.4">
      <c r="A742" s="136">
        <v>43437</v>
      </c>
      <c r="B742" s="137">
        <v>95.7</v>
      </c>
      <c r="C742" s="133"/>
      <c r="D742" s="50">
        <f t="shared" si="11"/>
        <v>1.1414077362079889E-2</v>
      </c>
      <c r="E742" s="49"/>
    </row>
    <row r="743" spans="1:5" ht="14.4">
      <c r="A743" s="136">
        <v>43434</v>
      </c>
      <c r="B743" s="137">
        <v>94.62</v>
      </c>
      <c r="C743" s="133"/>
      <c r="D743" s="50">
        <f t="shared" si="11"/>
        <v>-2.5300442757747454E-3</v>
      </c>
      <c r="E743" s="49"/>
    </row>
    <row r="744" spans="1:5" ht="14.4">
      <c r="A744" s="136">
        <v>43433</v>
      </c>
      <c r="B744" s="137">
        <v>94.86</v>
      </c>
      <c r="C744" s="133"/>
      <c r="D744" s="50">
        <f t="shared" si="11"/>
        <v>1.4545454545454639E-2</v>
      </c>
      <c r="E744" s="49"/>
    </row>
    <row r="745" spans="1:5" ht="14.4">
      <c r="A745" s="136">
        <v>43432</v>
      </c>
      <c r="B745" s="137">
        <v>93.5</v>
      </c>
      <c r="C745" s="133"/>
      <c r="D745" s="50">
        <f t="shared" si="11"/>
        <v>-2.1344717182497641E-3</v>
      </c>
      <c r="E745" s="49"/>
    </row>
    <row r="746" spans="1:5" ht="14.4">
      <c r="A746" s="136">
        <v>43431</v>
      </c>
      <c r="B746" s="137">
        <v>93.7</v>
      </c>
      <c r="C746" s="133"/>
      <c r="D746" s="50">
        <f t="shared" si="11"/>
        <v>1.2823252831801746E-3</v>
      </c>
      <c r="E746" s="49"/>
    </row>
    <row r="747" spans="1:5" ht="14.4">
      <c r="A747" s="136">
        <v>43430</v>
      </c>
      <c r="B747" s="137">
        <v>93.58</v>
      </c>
      <c r="C747" s="133"/>
      <c r="D747" s="50">
        <f t="shared" si="11"/>
        <v>1.8199336259501209E-3</v>
      </c>
      <c r="E747" s="49"/>
    </row>
    <row r="748" spans="1:5" ht="14.4">
      <c r="A748" s="136">
        <v>43427</v>
      </c>
      <c r="B748" s="137">
        <v>93.41</v>
      </c>
      <c r="C748" s="133"/>
      <c r="D748" s="50">
        <f t="shared" si="11"/>
        <v>1.1697173183147447E-2</v>
      </c>
      <c r="E748" s="49"/>
    </row>
    <row r="749" spans="1:5" ht="14.4">
      <c r="A749" s="136">
        <v>43426</v>
      </c>
      <c r="B749" s="137">
        <v>92.33</v>
      </c>
      <c r="C749" s="133"/>
      <c r="D749" s="50">
        <f t="shared" si="11"/>
        <v>-9.0157776108189536E-3</v>
      </c>
      <c r="E749" s="49"/>
    </row>
    <row r="750" spans="1:5" ht="14.4">
      <c r="A750" s="136">
        <v>43425</v>
      </c>
      <c r="B750" s="137">
        <v>93.17</v>
      </c>
      <c r="C750" s="133"/>
      <c r="D750" s="50">
        <f t="shared" si="11"/>
        <v>2.3059185242121583E-2</v>
      </c>
      <c r="E750" s="49"/>
    </row>
    <row r="751" spans="1:5" ht="14.4">
      <c r="A751" s="136">
        <v>43424</v>
      </c>
      <c r="B751" s="137">
        <v>91.07</v>
      </c>
      <c r="C751" s="133"/>
      <c r="D751" s="50">
        <f t="shared" si="11"/>
        <v>-1.6203953764718615E-2</v>
      </c>
      <c r="E751" s="49"/>
    </row>
    <row r="752" spans="1:5" ht="14.4">
      <c r="A752" s="136">
        <v>43423</v>
      </c>
      <c r="B752" s="137">
        <v>92.57</v>
      </c>
      <c r="C752" s="133"/>
      <c r="D752" s="50">
        <f t="shared" si="11"/>
        <v>-3.4449348692001669E-3</v>
      </c>
      <c r="E752" s="49"/>
    </row>
    <row r="753" spans="1:5" ht="14.4">
      <c r="A753" s="136">
        <v>43420</v>
      </c>
      <c r="B753" s="137">
        <v>92.89</v>
      </c>
      <c r="C753" s="133"/>
      <c r="D753" s="50">
        <f t="shared" si="11"/>
        <v>-1.0334540805454928E-2</v>
      </c>
      <c r="E753" s="49"/>
    </row>
    <row r="754" spans="1:5" ht="14.4">
      <c r="A754" s="136">
        <v>43419</v>
      </c>
      <c r="B754" s="137">
        <v>93.86</v>
      </c>
      <c r="C754" s="133"/>
      <c r="D754" s="50">
        <f t="shared" si="11"/>
        <v>-1.7481419449387636E-2</v>
      </c>
      <c r="E754" s="49"/>
    </row>
    <row r="755" spans="1:5" ht="14.4">
      <c r="A755" s="136">
        <v>43418</v>
      </c>
      <c r="B755" s="137">
        <v>95.53</v>
      </c>
      <c r="C755" s="133"/>
      <c r="D755" s="50">
        <f t="shared" si="11"/>
        <v>-9.2304501140841877E-3</v>
      </c>
      <c r="E755" s="49"/>
    </row>
    <row r="756" spans="1:5" ht="14.4">
      <c r="A756" s="136">
        <v>43417</v>
      </c>
      <c r="B756" s="137">
        <v>96.42</v>
      </c>
      <c r="C756" s="133"/>
      <c r="D756" s="50">
        <f t="shared" si="11"/>
        <v>2.1506515520711922E-2</v>
      </c>
      <c r="E756" s="49"/>
    </row>
    <row r="757" spans="1:5" ht="14.4">
      <c r="A757" s="136">
        <v>43416</v>
      </c>
      <c r="B757" s="137">
        <v>94.39</v>
      </c>
      <c r="C757" s="133"/>
      <c r="D757" s="50">
        <f t="shared" si="11"/>
        <v>-3.0629488804394533E-3</v>
      </c>
      <c r="E757" s="49"/>
    </row>
    <row r="758" spans="1:5" ht="14.4">
      <c r="A758" s="136">
        <v>43413</v>
      </c>
      <c r="B758" s="137">
        <v>94.68</v>
      </c>
      <c r="C758" s="133"/>
      <c r="D758" s="50">
        <f t="shared" si="11"/>
        <v>-1.0141139571353874E-2</v>
      </c>
      <c r="E758" s="49"/>
    </row>
    <row r="759" spans="1:5" ht="14.4">
      <c r="A759" s="136">
        <v>43412</v>
      </c>
      <c r="B759" s="137">
        <v>95.65</v>
      </c>
      <c r="C759" s="133"/>
      <c r="D759" s="50">
        <f t="shared" si="11"/>
        <v>-4.5790404828806031E-3</v>
      </c>
      <c r="E759" s="49"/>
    </row>
    <row r="760" spans="1:5" ht="14.4">
      <c r="A760" s="136">
        <v>43411</v>
      </c>
      <c r="B760" s="137">
        <v>96.09</v>
      </c>
      <c r="C760" s="133"/>
      <c r="D760" s="50">
        <f t="shared" si="11"/>
        <v>2.503912363067462E-3</v>
      </c>
      <c r="E760" s="49"/>
    </row>
    <row r="761" spans="1:5" ht="14.4">
      <c r="A761" s="136">
        <v>43410</v>
      </c>
      <c r="B761" s="137">
        <v>95.85</v>
      </c>
      <c r="C761" s="133"/>
      <c r="D761" s="50">
        <f t="shared" si="11"/>
        <v>4.9276577898931251E-3</v>
      </c>
      <c r="E761" s="49"/>
    </row>
    <row r="762" spans="1:5" ht="14.4">
      <c r="A762" s="136">
        <v>43409</v>
      </c>
      <c r="B762" s="137">
        <v>95.38</v>
      </c>
      <c r="C762" s="133"/>
      <c r="D762" s="50">
        <f t="shared" si="11"/>
        <v>-2.4056061081477731E-3</v>
      </c>
      <c r="E762" s="49"/>
    </row>
    <row r="763" spans="1:5" ht="14.4">
      <c r="A763" s="136">
        <v>43406</v>
      </c>
      <c r="B763" s="137">
        <v>95.61</v>
      </c>
      <c r="C763" s="133"/>
      <c r="D763" s="50">
        <f t="shared" si="11"/>
        <v>-9.2227979274611682E-3</v>
      </c>
      <c r="E763" s="49"/>
    </row>
    <row r="764" spans="1:5" ht="14.4">
      <c r="A764" s="136">
        <v>43405</v>
      </c>
      <c r="B764" s="137">
        <v>96.5</v>
      </c>
      <c r="C764" s="133"/>
      <c r="D764" s="50">
        <f t="shared" si="11"/>
        <v>-1.2383584075324916E-2</v>
      </c>
      <c r="E764" s="49"/>
    </row>
    <row r="765" spans="1:5" ht="14.4">
      <c r="A765" s="136">
        <v>43404</v>
      </c>
      <c r="B765" s="137">
        <v>97.71</v>
      </c>
      <c r="C765" s="133"/>
      <c r="D765" s="50">
        <f t="shared" si="11"/>
        <v>4.0575079872204434E-2</v>
      </c>
      <c r="E765" s="49"/>
    </row>
    <row r="766" spans="1:5" ht="14.4">
      <c r="A766" s="136">
        <v>43403</v>
      </c>
      <c r="B766" s="137">
        <v>93.9</v>
      </c>
      <c r="C766" s="133"/>
      <c r="D766" s="50">
        <f t="shared" si="11"/>
        <v>-2.0139830950641646E-2</v>
      </c>
      <c r="E766" s="49"/>
    </row>
    <row r="767" spans="1:5" ht="14.4">
      <c r="A767" s="136">
        <v>43402</v>
      </c>
      <c r="B767" s="137">
        <v>95.83</v>
      </c>
      <c r="C767" s="133"/>
      <c r="D767" s="50">
        <f t="shared" si="11"/>
        <v>-3.3281331253250945E-3</v>
      </c>
      <c r="E767" s="49"/>
    </row>
    <row r="768" spans="1:5" ht="14.4">
      <c r="A768" s="136">
        <v>43399</v>
      </c>
      <c r="B768" s="137">
        <v>96.15</v>
      </c>
      <c r="C768" s="133"/>
      <c r="D768" s="50">
        <f t="shared" si="11"/>
        <v>-1.8276495813763449E-2</v>
      </c>
      <c r="E768" s="49"/>
    </row>
    <row r="769" spans="1:5" ht="14.4">
      <c r="A769" s="136">
        <v>43398</v>
      </c>
      <c r="B769" s="137">
        <v>97.94</v>
      </c>
      <c r="C769" s="133"/>
      <c r="D769" s="50">
        <f t="shared" si="11"/>
        <v>2.7594166404364628E-2</v>
      </c>
      <c r="E769" s="49"/>
    </row>
    <row r="770" spans="1:5" ht="14.4">
      <c r="A770" s="136">
        <v>43397</v>
      </c>
      <c r="B770" s="137">
        <v>95.31</v>
      </c>
      <c r="C770" s="133"/>
      <c r="D770" s="50">
        <f t="shared" si="11"/>
        <v>1.2428298279158811E-2</v>
      </c>
      <c r="E770" s="49"/>
    </row>
    <row r="771" spans="1:5" ht="14.4">
      <c r="A771" s="136">
        <v>43396</v>
      </c>
      <c r="B771" s="137">
        <v>94.14</v>
      </c>
      <c r="C771" s="133"/>
      <c r="D771" s="50">
        <f t="shared" si="11"/>
        <v>-2.2531408991797286E-2</v>
      </c>
      <c r="E771" s="49"/>
    </row>
    <row r="772" spans="1:5" ht="14.4">
      <c r="A772" s="136">
        <v>43395</v>
      </c>
      <c r="B772" s="137">
        <v>96.31</v>
      </c>
      <c r="C772" s="133"/>
      <c r="D772" s="50">
        <f t="shared" si="11"/>
        <v>-1.674323634507402E-2</v>
      </c>
      <c r="E772" s="49"/>
    </row>
    <row r="773" spans="1:5" ht="14.4">
      <c r="A773" s="136">
        <v>43392</v>
      </c>
      <c r="B773" s="137">
        <v>97.95</v>
      </c>
      <c r="C773" s="133"/>
      <c r="D773" s="50">
        <f t="shared" si="11"/>
        <v>-1.3694491994763913E-2</v>
      </c>
      <c r="E773" s="49"/>
    </row>
    <row r="774" spans="1:5" ht="14.4">
      <c r="A774" s="136">
        <v>43391</v>
      </c>
      <c r="B774" s="137">
        <v>99.31</v>
      </c>
      <c r="C774" s="133"/>
      <c r="D774" s="50">
        <f t="shared" si="11"/>
        <v>-1.5367836605195251E-2</v>
      </c>
      <c r="E774" s="49"/>
    </row>
    <row r="775" spans="1:5" ht="14.4">
      <c r="A775" s="136">
        <v>43390</v>
      </c>
      <c r="B775" s="137">
        <v>100.86</v>
      </c>
      <c r="C775" s="133"/>
      <c r="D775" s="50">
        <f t="shared" si="11"/>
        <v>-8.4545812033032242E-3</v>
      </c>
      <c r="E775" s="49"/>
    </row>
    <row r="776" spans="1:5" ht="14.4">
      <c r="A776" s="136">
        <v>43389</v>
      </c>
      <c r="B776" s="137">
        <v>101.72</v>
      </c>
      <c r="C776" s="133"/>
      <c r="D776" s="50">
        <f t="shared" ref="D776:D839" si="12">(B776-C776)/B777-1</f>
        <v>3.9975462631632652E-2</v>
      </c>
      <c r="E776" s="49"/>
    </row>
    <row r="777" spans="1:5" ht="14.4">
      <c r="A777" s="136">
        <v>43388</v>
      </c>
      <c r="B777" s="137">
        <v>97.81</v>
      </c>
      <c r="C777" s="133"/>
      <c r="D777" s="50">
        <f t="shared" si="12"/>
        <v>-2.4436465190504686E-2</v>
      </c>
      <c r="E777" s="49"/>
    </row>
    <row r="778" spans="1:5" ht="14.4">
      <c r="A778" s="136">
        <v>43385</v>
      </c>
      <c r="B778" s="137">
        <v>100.26</v>
      </c>
      <c r="C778" s="133"/>
      <c r="D778" s="50">
        <f t="shared" si="12"/>
        <v>3.0103770677078145E-2</v>
      </c>
      <c r="E778" s="49"/>
    </row>
    <row r="779" spans="1:5" ht="14.4">
      <c r="A779" s="136">
        <v>43384</v>
      </c>
      <c r="B779" s="137">
        <v>97.33</v>
      </c>
      <c r="C779" s="133"/>
      <c r="D779" s="50">
        <f t="shared" si="12"/>
        <v>-1.676937064349926E-2</v>
      </c>
      <c r="E779" s="49"/>
    </row>
    <row r="780" spans="1:5" ht="14.4">
      <c r="A780" s="136">
        <v>43383</v>
      </c>
      <c r="B780" s="137">
        <v>98.99</v>
      </c>
      <c r="C780" s="133"/>
      <c r="D780" s="50">
        <f t="shared" si="12"/>
        <v>-3.4243902439024421E-2</v>
      </c>
      <c r="E780" s="49"/>
    </row>
    <row r="781" spans="1:5" ht="14.4">
      <c r="A781" s="136">
        <v>43382</v>
      </c>
      <c r="B781" s="137">
        <v>102.5</v>
      </c>
      <c r="C781" s="133"/>
      <c r="D781" s="50">
        <f t="shared" si="12"/>
        <v>-1.0808724184520391E-2</v>
      </c>
      <c r="E781" s="49"/>
    </row>
    <row r="782" spans="1:5" ht="14.4">
      <c r="A782" s="136">
        <v>43381</v>
      </c>
      <c r="B782" s="137">
        <v>103.62</v>
      </c>
      <c r="C782" s="133"/>
      <c r="D782" s="50">
        <f t="shared" si="12"/>
        <v>-3.6538461538461187E-3</v>
      </c>
      <c r="E782" s="49"/>
    </row>
    <row r="783" spans="1:5" ht="14.4">
      <c r="A783" s="136">
        <v>43378</v>
      </c>
      <c r="B783" s="137">
        <v>104</v>
      </c>
      <c r="C783" s="133"/>
      <c r="D783" s="50">
        <f t="shared" si="12"/>
        <v>-1.1970359110773376E-2</v>
      </c>
      <c r="E783" s="49"/>
    </row>
    <row r="784" spans="1:5" ht="14.4">
      <c r="A784" s="136">
        <v>43377</v>
      </c>
      <c r="B784" s="137">
        <v>105.26</v>
      </c>
      <c r="C784" s="133"/>
      <c r="D784" s="50">
        <f t="shared" si="12"/>
        <v>-1.6813002054922421E-2</v>
      </c>
      <c r="E784" s="49"/>
    </row>
    <row r="785" spans="1:5" ht="14.4">
      <c r="A785" s="136">
        <v>43376</v>
      </c>
      <c r="B785" s="137">
        <v>107.06</v>
      </c>
      <c r="C785" s="133"/>
      <c r="D785" s="50">
        <f t="shared" si="12"/>
        <v>1.3058289174867399E-2</v>
      </c>
      <c r="E785" s="49"/>
    </row>
    <row r="786" spans="1:5" ht="14.4">
      <c r="A786" s="136">
        <v>43375</v>
      </c>
      <c r="B786" s="137">
        <v>105.68</v>
      </c>
      <c r="C786" s="133"/>
      <c r="D786" s="50">
        <f t="shared" si="12"/>
        <v>-1.6014897579143428E-2</v>
      </c>
      <c r="E786" s="49"/>
    </row>
    <row r="787" spans="1:5" ht="14.4">
      <c r="A787" s="136">
        <v>43374</v>
      </c>
      <c r="B787" s="137">
        <v>107.4</v>
      </c>
      <c r="C787" s="133"/>
      <c r="D787" s="50">
        <f t="shared" si="12"/>
        <v>-7.2102052135329942E-3</v>
      </c>
      <c r="E787" s="49"/>
    </row>
    <row r="788" spans="1:5" ht="14.4">
      <c r="A788" s="136">
        <v>43371</v>
      </c>
      <c r="B788" s="137">
        <v>108.18</v>
      </c>
      <c r="C788" s="133"/>
      <c r="D788" s="50">
        <f t="shared" si="12"/>
        <v>-6.6115702479339067E-3</v>
      </c>
      <c r="E788" s="49"/>
    </row>
    <row r="789" spans="1:5" ht="14.4">
      <c r="A789" s="136">
        <v>43370</v>
      </c>
      <c r="B789" s="137">
        <v>108.9</v>
      </c>
      <c r="C789" s="133"/>
      <c r="D789" s="50">
        <f t="shared" si="12"/>
        <v>3.8716814159291957E-3</v>
      </c>
      <c r="E789" s="49"/>
    </row>
    <row r="790" spans="1:5" ht="14.4">
      <c r="A790" s="136">
        <v>43369</v>
      </c>
      <c r="B790" s="137">
        <v>108.48</v>
      </c>
      <c r="C790" s="133"/>
      <c r="D790" s="50">
        <f t="shared" si="12"/>
        <v>3.2356299961933788E-2</v>
      </c>
      <c r="E790" s="49"/>
    </row>
    <row r="791" spans="1:5" ht="14.4">
      <c r="A791" s="136">
        <v>43368</v>
      </c>
      <c r="B791" s="137">
        <v>105.08</v>
      </c>
      <c r="C791" s="133"/>
      <c r="D791" s="50">
        <f t="shared" si="12"/>
        <v>-8.4921683336479648E-3</v>
      </c>
      <c r="E791" s="49"/>
    </row>
    <row r="792" spans="1:5" ht="14.4">
      <c r="A792" s="136">
        <v>43367</v>
      </c>
      <c r="B792" s="137">
        <v>105.98</v>
      </c>
      <c r="C792" s="133"/>
      <c r="D792" s="50">
        <f t="shared" si="12"/>
        <v>-7.6779026217227431E-3</v>
      </c>
      <c r="E792" s="49"/>
    </row>
    <row r="793" spans="1:5" ht="14.4">
      <c r="A793" s="136">
        <v>43364</v>
      </c>
      <c r="B793" s="137">
        <v>106.8</v>
      </c>
      <c r="C793" s="133"/>
      <c r="D793" s="50">
        <f t="shared" si="12"/>
        <v>3.1936877700544652E-3</v>
      </c>
      <c r="E793" s="49"/>
    </row>
    <row r="794" spans="1:5" ht="14.4">
      <c r="A794" s="136">
        <v>43363</v>
      </c>
      <c r="B794" s="137">
        <v>106.46</v>
      </c>
      <c r="C794" s="133"/>
      <c r="D794" s="50">
        <f t="shared" si="12"/>
        <v>9.4020308386610907E-4</v>
      </c>
      <c r="E794" s="49"/>
    </row>
    <row r="795" spans="1:5" ht="14.4">
      <c r="A795" s="136">
        <v>43362</v>
      </c>
      <c r="B795" s="137">
        <v>106.36</v>
      </c>
      <c r="C795" s="133"/>
      <c r="D795" s="50">
        <f t="shared" si="12"/>
        <v>1.3531541833428751E-2</v>
      </c>
      <c r="E795" s="49"/>
    </row>
    <row r="796" spans="1:5" ht="14.4">
      <c r="A796" s="136">
        <v>43361</v>
      </c>
      <c r="B796" s="137">
        <v>104.94</v>
      </c>
      <c r="C796" s="133"/>
      <c r="D796" s="50">
        <f t="shared" si="12"/>
        <v>-1.279397930385695E-2</v>
      </c>
      <c r="E796" s="49"/>
    </row>
    <row r="797" spans="1:5" ht="14.4">
      <c r="A797" s="136">
        <v>43360</v>
      </c>
      <c r="B797" s="137">
        <v>106.3</v>
      </c>
      <c r="C797" s="133"/>
      <c r="D797" s="50">
        <f t="shared" si="12"/>
        <v>9.416195856872811E-4</v>
      </c>
      <c r="E797" s="49"/>
    </row>
    <row r="798" spans="1:5" ht="14.4">
      <c r="A798" s="136">
        <v>43357</v>
      </c>
      <c r="B798" s="137">
        <v>106.2</v>
      </c>
      <c r="C798" s="133"/>
      <c r="D798" s="50">
        <f t="shared" si="12"/>
        <v>5.3010223400227208E-3</v>
      </c>
      <c r="E798" s="49"/>
    </row>
    <row r="799" spans="1:5" ht="14.4">
      <c r="A799" s="136">
        <v>43356</v>
      </c>
      <c r="B799" s="137">
        <v>105.64</v>
      </c>
      <c r="C799" s="133"/>
      <c r="D799" s="50">
        <f t="shared" si="12"/>
        <v>-9.934395501405846E-3</v>
      </c>
      <c r="E799" s="49"/>
    </row>
    <row r="800" spans="1:5" ht="14.4">
      <c r="A800" s="136">
        <v>43355</v>
      </c>
      <c r="B800" s="137">
        <v>106.7</v>
      </c>
      <c r="C800" s="133"/>
      <c r="D800" s="50">
        <f t="shared" si="12"/>
        <v>-5.6200824278762607E-4</v>
      </c>
      <c r="E800" s="49"/>
    </row>
    <row r="801" spans="1:5" ht="14.4">
      <c r="A801" s="136">
        <v>43354</v>
      </c>
      <c r="B801" s="137">
        <v>106.76</v>
      </c>
      <c r="C801" s="133"/>
      <c r="D801" s="50">
        <f t="shared" si="12"/>
        <v>1.8702290076336059E-2</v>
      </c>
      <c r="E801" s="49"/>
    </row>
    <row r="802" spans="1:5" ht="14.4">
      <c r="A802" s="136">
        <v>43353</v>
      </c>
      <c r="B802" s="137">
        <v>104.8</v>
      </c>
      <c r="C802" s="133"/>
      <c r="D802" s="50">
        <f t="shared" si="12"/>
        <v>-3.8153376573835107E-4</v>
      </c>
      <c r="E802" s="49"/>
    </row>
    <row r="803" spans="1:5" ht="14.4">
      <c r="A803" s="136">
        <v>43350</v>
      </c>
      <c r="B803" s="137">
        <v>104.84</v>
      </c>
      <c r="C803" s="133"/>
      <c r="D803" s="50">
        <f t="shared" si="12"/>
        <v>5.3701572688915622E-3</v>
      </c>
      <c r="E803" s="49"/>
    </row>
    <row r="804" spans="1:5" ht="14.4">
      <c r="A804" s="136">
        <v>43349</v>
      </c>
      <c r="B804" s="137">
        <v>104.28</v>
      </c>
      <c r="C804" s="133"/>
      <c r="D804" s="50">
        <f t="shared" si="12"/>
        <v>1.2427184466019536E-2</v>
      </c>
      <c r="E804" s="49"/>
    </row>
    <row r="805" spans="1:5" ht="14.4">
      <c r="A805" s="136">
        <v>43348</v>
      </c>
      <c r="B805" s="137">
        <v>103</v>
      </c>
      <c r="C805" s="133"/>
      <c r="D805" s="50">
        <f t="shared" si="12"/>
        <v>-2.0540129326740209E-2</v>
      </c>
      <c r="E805" s="49"/>
    </row>
    <row r="806" spans="1:5" ht="14.4">
      <c r="A806" s="136">
        <v>43347</v>
      </c>
      <c r="B806" s="137">
        <v>105.16</v>
      </c>
      <c r="C806" s="133"/>
      <c r="D806" s="50">
        <f t="shared" si="12"/>
        <v>-2.1767441860465198E-2</v>
      </c>
      <c r="E806" s="49"/>
    </row>
    <row r="807" spans="1:5" ht="14.4">
      <c r="A807" s="136">
        <v>43346</v>
      </c>
      <c r="B807" s="137">
        <v>107.5</v>
      </c>
      <c r="C807" s="133"/>
      <c r="D807" s="50">
        <f t="shared" si="12"/>
        <v>1.1669489930359545E-2</v>
      </c>
      <c r="E807" s="49"/>
    </row>
    <row r="808" spans="1:5" ht="14.4">
      <c r="A808" s="136">
        <v>43343</v>
      </c>
      <c r="B808" s="137">
        <v>106.26</v>
      </c>
      <c r="C808" s="133"/>
      <c r="D808" s="50">
        <f t="shared" si="12"/>
        <v>-2.4958708019820142E-2</v>
      </c>
      <c r="E808" s="49"/>
    </row>
    <row r="809" spans="1:5" ht="14.4">
      <c r="A809" s="136">
        <v>43342</v>
      </c>
      <c r="B809" s="137">
        <v>108.98</v>
      </c>
      <c r="C809" s="133"/>
      <c r="D809" s="50">
        <f t="shared" si="12"/>
        <v>-9.8128293658004129E-3</v>
      </c>
      <c r="E809" s="49"/>
    </row>
    <row r="810" spans="1:5" ht="14.4">
      <c r="A810" s="136">
        <v>43341</v>
      </c>
      <c r="B810" s="137">
        <v>110.06</v>
      </c>
      <c r="C810" s="133"/>
      <c r="D810" s="50">
        <f t="shared" si="12"/>
        <v>1.0095447870778429E-2</v>
      </c>
      <c r="E810" s="49"/>
    </row>
    <row r="811" spans="1:5" ht="14.4">
      <c r="A811" s="136">
        <v>43340</v>
      </c>
      <c r="B811" s="137">
        <v>108.96</v>
      </c>
      <c r="C811" s="133"/>
      <c r="D811" s="50">
        <f t="shared" si="12"/>
        <v>8.8888888888887241E-3</v>
      </c>
      <c r="E811" s="49"/>
    </row>
    <row r="812" spans="1:5" ht="14.4">
      <c r="A812" s="136">
        <v>43339</v>
      </c>
      <c r="B812" s="137">
        <v>108</v>
      </c>
      <c r="C812" s="133"/>
      <c r="D812" s="50">
        <f t="shared" si="12"/>
        <v>4.6511627906977715E-3</v>
      </c>
      <c r="E812" s="49"/>
    </row>
    <row r="813" spans="1:5" ht="14.4">
      <c r="A813" s="136">
        <v>43336</v>
      </c>
      <c r="B813" s="137">
        <v>107.5</v>
      </c>
      <c r="C813" s="133"/>
      <c r="D813" s="50">
        <f t="shared" si="12"/>
        <v>-2.2275849266752967E-3</v>
      </c>
      <c r="E813" s="49"/>
    </row>
    <row r="814" spans="1:5" ht="14.4">
      <c r="A814" s="136">
        <v>43335</v>
      </c>
      <c r="B814" s="137">
        <v>107.74</v>
      </c>
      <c r="C814" s="133"/>
      <c r="D814" s="50">
        <f t="shared" si="12"/>
        <v>3.9135296310099932E-3</v>
      </c>
      <c r="E814" s="49"/>
    </row>
    <row r="815" spans="1:5" ht="14.4">
      <c r="A815" s="136">
        <v>43334</v>
      </c>
      <c r="B815" s="137">
        <v>107.32</v>
      </c>
      <c r="C815" s="133"/>
      <c r="D815" s="50">
        <f t="shared" si="12"/>
        <v>-1.3028103480364761E-3</v>
      </c>
      <c r="E815" s="49"/>
    </row>
    <row r="816" spans="1:5" ht="14.4">
      <c r="A816" s="136">
        <v>43333</v>
      </c>
      <c r="B816" s="137">
        <v>107.46</v>
      </c>
      <c r="C816" s="133"/>
      <c r="D816" s="50">
        <f t="shared" si="12"/>
        <v>-3.8932146829810943E-3</v>
      </c>
      <c r="E816" s="49"/>
    </row>
    <row r="817" spans="1:5" ht="14.4">
      <c r="A817" s="136">
        <v>43332</v>
      </c>
      <c r="B817" s="137">
        <v>107.88</v>
      </c>
      <c r="C817" s="133"/>
      <c r="D817" s="50">
        <f t="shared" si="12"/>
        <v>1.4853323431116561E-3</v>
      </c>
      <c r="E817" s="49"/>
    </row>
    <row r="818" spans="1:5" ht="14.4">
      <c r="A818" s="136">
        <v>43329</v>
      </c>
      <c r="B818" s="137">
        <v>107.72</v>
      </c>
      <c r="C818" s="133"/>
      <c r="D818" s="50">
        <f t="shared" si="12"/>
        <v>1.4875418371140814E-3</v>
      </c>
      <c r="E818" s="49"/>
    </row>
    <row r="819" spans="1:5" ht="14.4">
      <c r="A819" s="136">
        <v>43328</v>
      </c>
      <c r="B819" s="137">
        <v>107.56</v>
      </c>
      <c r="C819" s="133"/>
      <c r="D819" s="50">
        <f t="shared" si="12"/>
        <v>2.2239118038395844E-2</v>
      </c>
      <c r="E819" s="49"/>
    </row>
    <row r="820" spans="1:5" ht="14.4">
      <c r="A820" s="136">
        <v>43327</v>
      </c>
      <c r="B820" s="137">
        <v>105.22</v>
      </c>
      <c r="C820" s="133"/>
      <c r="D820" s="50">
        <f t="shared" si="12"/>
        <v>-2.5740740740740731E-2</v>
      </c>
      <c r="E820" s="49"/>
    </row>
    <row r="821" spans="1:5" ht="14.4">
      <c r="A821" s="136">
        <v>43326</v>
      </c>
      <c r="B821" s="137">
        <v>108</v>
      </c>
      <c r="C821" s="133"/>
      <c r="D821" s="50">
        <f t="shared" si="12"/>
        <v>-9.2506938020342488E-4</v>
      </c>
      <c r="E821" s="49"/>
    </row>
    <row r="822" spans="1:5" ht="14.4">
      <c r="A822" s="136">
        <v>43325</v>
      </c>
      <c r="B822" s="137">
        <v>108.1</v>
      </c>
      <c r="C822" s="133"/>
      <c r="D822" s="50">
        <f t="shared" si="12"/>
        <v>5.3943452380951218E-3</v>
      </c>
      <c r="E822" s="49"/>
    </row>
    <row r="823" spans="1:5" ht="14.4">
      <c r="A823" s="136">
        <v>43322</v>
      </c>
      <c r="B823" s="137">
        <v>107.52</v>
      </c>
      <c r="C823" s="133"/>
      <c r="D823" s="50">
        <f t="shared" si="12"/>
        <v>-1.0491441192711171E-2</v>
      </c>
      <c r="E823" s="49"/>
    </row>
    <row r="824" spans="1:5" ht="14.4">
      <c r="A824" s="136">
        <v>43321</v>
      </c>
      <c r="B824" s="137">
        <v>108.66</v>
      </c>
      <c r="C824" s="133"/>
      <c r="D824" s="50">
        <f t="shared" si="12"/>
        <v>7.0435588507877789E-3</v>
      </c>
      <c r="E824" s="49"/>
    </row>
    <row r="825" spans="1:5" ht="14.4">
      <c r="A825" s="136">
        <v>43320</v>
      </c>
      <c r="B825" s="137">
        <v>107.9</v>
      </c>
      <c r="C825" s="133"/>
      <c r="D825" s="50">
        <f t="shared" si="12"/>
        <v>-1.0091743119265972E-2</v>
      </c>
      <c r="E825" s="49"/>
    </row>
    <row r="826" spans="1:5" ht="14.4">
      <c r="A826" s="136">
        <v>43319</v>
      </c>
      <c r="B826" s="137">
        <v>109</v>
      </c>
      <c r="C826" s="133"/>
      <c r="D826" s="50">
        <f t="shared" si="12"/>
        <v>1.0944166202930816E-2</v>
      </c>
      <c r="E826" s="49"/>
    </row>
    <row r="827" spans="1:5" ht="14.4">
      <c r="A827" s="136">
        <v>43318</v>
      </c>
      <c r="B827" s="137">
        <v>107.82</v>
      </c>
      <c r="C827" s="133"/>
      <c r="D827" s="50">
        <f t="shared" si="12"/>
        <v>5.5679287305121505E-4</v>
      </c>
      <c r="E827" s="49"/>
    </row>
    <row r="828" spans="1:5" ht="14.4">
      <c r="A828" s="136">
        <v>43315</v>
      </c>
      <c r="B828" s="137">
        <v>107.76</v>
      </c>
      <c r="C828" s="133"/>
      <c r="D828" s="50">
        <f t="shared" si="12"/>
        <v>1.2021036814425345E-2</v>
      </c>
      <c r="E828" s="49"/>
    </row>
    <row r="829" spans="1:5" ht="14.4">
      <c r="A829" s="136">
        <v>43314</v>
      </c>
      <c r="B829" s="137">
        <v>106.48</v>
      </c>
      <c r="C829" s="133"/>
      <c r="D829" s="50">
        <f t="shared" si="12"/>
        <v>-1.1257035647278535E-3</v>
      </c>
      <c r="E829" s="49"/>
    </row>
    <row r="830" spans="1:5" ht="14.4">
      <c r="A830" s="136">
        <v>43313</v>
      </c>
      <c r="B830" s="137">
        <v>106.6</v>
      </c>
      <c r="C830" s="133"/>
      <c r="D830" s="50">
        <f t="shared" si="12"/>
        <v>5.6603773584904538E-3</v>
      </c>
      <c r="E830" s="49"/>
    </row>
    <row r="831" spans="1:5" ht="14.4">
      <c r="A831" s="136">
        <v>43312</v>
      </c>
      <c r="B831" s="137">
        <v>106</v>
      </c>
      <c r="C831" s="133"/>
      <c r="D831" s="50">
        <f t="shared" si="12"/>
        <v>-1.0085917071348538E-2</v>
      </c>
      <c r="E831" s="49"/>
    </row>
    <row r="832" spans="1:5" ht="14.4">
      <c r="A832" s="136">
        <v>43311</v>
      </c>
      <c r="B832" s="137">
        <v>107.08</v>
      </c>
      <c r="C832" s="133"/>
      <c r="D832" s="50">
        <f t="shared" si="12"/>
        <v>-1.9413919413919456E-2</v>
      </c>
      <c r="E832" s="49"/>
    </row>
    <row r="833" spans="1:5" ht="14.4">
      <c r="A833" s="136">
        <v>43308</v>
      </c>
      <c r="B833" s="137">
        <v>109.2</v>
      </c>
      <c r="C833" s="133"/>
      <c r="D833" s="50">
        <f t="shared" si="12"/>
        <v>-3.8314176245211051E-3</v>
      </c>
      <c r="E833" s="49"/>
    </row>
    <row r="834" spans="1:5" ht="14.4">
      <c r="A834" s="136">
        <v>43307</v>
      </c>
      <c r="B834" s="137">
        <v>109.62</v>
      </c>
      <c r="C834" s="133"/>
      <c r="D834" s="50">
        <f t="shared" si="12"/>
        <v>4.4995233555767289E-2</v>
      </c>
      <c r="E834" s="49"/>
    </row>
    <row r="835" spans="1:5" ht="14.4">
      <c r="A835" s="136">
        <v>43306</v>
      </c>
      <c r="B835" s="137">
        <v>104.9</v>
      </c>
      <c r="C835" s="133"/>
      <c r="D835" s="50">
        <f t="shared" si="12"/>
        <v>-1.0190602000377358E-2</v>
      </c>
      <c r="E835" s="49"/>
    </row>
    <row r="836" spans="1:5" ht="14.4">
      <c r="A836" s="136">
        <v>43305</v>
      </c>
      <c r="B836" s="137">
        <v>105.98</v>
      </c>
      <c r="C836" s="133"/>
      <c r="D836" s="50">
        <f t="shared" si="12"/>
        <v>5.312084993359889E-3</v>
      </c>
      <c r="E836" s="49"/>
    </row>
    <row r="837" spans="1:5" ht="14.4">
      <c r="A837" s="136">
        <v>43304</v>
      </c>
      <c r="B837" s="137">
        <v>105.42</v>
      </c>
      <c r="C837" s="133"/>
      <c r="D837" s="50">
        <f t="shared" si="12"/>
        <v>-3.2148260211800617E-3</v>
      </c>
      <c r="E837" s="49"/>
    </row>
    <row r="838" spans="1:5" ht="14.4">
      <c r="A838" s="136">
        <v>43301</v>
      </c>
      <c r="B838" s="137">
        <v>105.76</v>
      </c>
      <c r="C838" s="133"/>
      <c r="D838" s="50">
        <f t="shared" si="12"/>
        <v>-1.2327231976092534E-2</v>
      </c>
      <c r="E838" s="49"/>
    </row>
    <row r="839" spans="1:5" ht="14.4">
      <c r="A839" s="136">
        <v>43300</v>
      </c>
      <c r="B839" s="137">
        <v>107.08</v>
      </c>
      <c r="C839" s="133"/>
      <c r="D839" s="50">
        <f t="shared" si="12"/>
        <v>-1.1194029850746245E-3</v>
      </c>
      <c r="E839" s="49"/>
    </row>
    <row r="840" spans="1:5" ht="14.4">
      <c r="A840" s="136">
        <v>43299</v>
      </c>
      <c r="B840" s="137">
        <v>107.2</v>
      </c>
      <c r="C840" s="133"/>
      <c r="D840" s="50">
        <f t="shared" ref="D840:D903" si="13">(B840-C840)/B841-1</f>
        <v>-4.2727103845439096E-3</v>
      </c>
      <c r="E840" s="49"/>
    </row>
    <row r="841" spans="1:5" ht="14.4">
      <c r="A841" s="136">
        <v>43298</v>
      </c>
      <c r="B841" s="137">
        <v>107.66</v>
      </c>
      <c r="C841" s="133"/>
      <c r="D841" s="50">
        <f t="shared" si="13"/>
        <v>6.7327473349541034E-3</v>
      </c>
      <c r="E841" s="49"/>
    </row>
    <row r="842" spans="1:5" ht="14.4">
      <c r="A842" s="136">
        <v>43297</v>
      </c>
      <c r="B842" s="137">
        <v>106.94</v>
      </c>
      <c r="C842" s="133"/>
      <c r="D842" s="50">
        <f t="shared" si="13"/>
        <v>-4.283054003724418E-3</v>
      </c>
      <c r="E842" s="49"/>
    </row>
    <row r="843" spans="1:5" ht="14.4">
      <c r="A843" s="136">
        <v>43294</v>
      </c>
      <c r="B843" s="137">
        <v>107.4</v>
      </c>
      <c r="C843" s="133"/>
      <c r="D843" s="50">
        <f t="shared" si="13"/>
        <v>2.1495149324709972E-2</v>
      </c>
      <c r="E843" s="49"/>
    </row>
    <row r="844" spans="1:5" ht="14.4">
      <c r="A844" s="136">
        <v>43293</v>
      </c>
      <c r="B844" s="137">
        <v>105.14</v>
      </c>
      <c r="C844" s="133"/>
      <c r="D844" s="50">
        <f t="shared" si="13"/>
        <v>1.9391118867558621E-2</v>
      </c>
      <c r="E844" s="49"/>
    </row>
    <row r="845" spans="1:5" ht="14.4">
      <c r="A845" s="136">
        <v>43292</v>
      </c>
      <c r="B845" s="137">
        <v>103.14</v>
      </c>
      <c r="C845" s="133"/>
      <c r="D845" s="50">
        <f t="shared" si="13"/>
        <v>-1.9353590090962491E-3</v>
      </c>
      <c r="E845" s="49"/>
    </row>
    <row r="846" spans="1:5" ht="14.4">
      <c r="A846" s="136">
        <v>43291</v>
      </c>
      <c r="B846" s="137">
        <v>103.34</v>
      </c>
      <c r="C846" s="133"/>
      <c r="D846" s="50">
        <f t="shared" si="13"/>
        <v>3.9637826961770539E-2</v>
      </c>
      <c r="E846" s="49"/>
    </row>
    <row r="847" spans="1:5" ht="14.4">
      <c r="A847" s="136">
        <v>43290</v>
      </c>
      <c r="B847" s="137">
        <v>99.4</v>
      </c>
      <c r="C847" s="133"/>
      <c r="D847" s="50">
        <f t="shared" si="13"/>
        <v>9.1370558375634126E-3</v>
      </c>
      <c r="E847" s="49"/>
    </row>
    <row r="848" spans="1:5" ht="14.4">
      <c r="A848" s="136">
        <v>43287</v>
      </c>
      <c r="B848" s="137">
        <v>98.5</v>
      </c>
      <c r="C848" s="133"/>
      <c r="D848" s="50">
        <f t="shared" si="13"/>
        <v>7.7757315326376641E-3</v>
      </c>
      <c r="E848" s="49"/>
    </row>
    <row r="849" spans="1:5" ht="14.4">
      <c r="A849" s="136">
        <v>43286</v>
      </c>
      <c r="B849" s="137">
        <v>97.74</v>
      </c>
      <c r="C849" s="133"/>
      <c r="D849" s="50">
        <f t="shared" si="13"/>
        <v>-2.6530612244898277E-3</v>
      </c>
      <c r="E849" s="49"/>
    </row>
    <row r="850" spans="1:5" ht="14.4">
      <c r="A850" s="136">
        <v>43285</v>
      </c>
      <c r="B850" s="137">
        <v>98</v>
      </c>
      <c r="C850" s="133"/>
      <c r="D850" s="50">
        <f t="shared" si="13"/>
        <v>2.4549918166938411E-3</v>
      </c>
      <c r="E850" s="49"/>
    </row>
    <row r="851" spans="1:5" ht="14.4">
      <c r="A851" s="136">
        <v>43284</v>
      </c>
      <c r="B851" s="137">
        <v>97.76</v>
      </c>
      <c r="C851" s="133"/>
      <c r="D851" s="50">
        <f t="shared" si="13"/>
        <v>5.1171835022012502E-4</v>
      </c>
      <c r="E851" s="49"/>
    </row>
    <row r="852" spans="1:5" ht="14.4">
      <c r="A852" s="136">
        <v>43283</v>
      </c>
      <c r="B852" s="137">
        <v>97.71</v>
      </c>
      <c r="C852" s="133"/>
      <c r="D852" s="50">
        <f t="shared" si="13"/>
        <v>-2.5433871932974417E-2</v>
      </c>
      <c r="E852" s="49"/>
    </row>
    <row r="853" spans="1:5" ht="14.4">
      <c r="A853" s="136">
        <v>43280</v>
      </c>
      <c r="B853" s="137">
        <v>100.26</v>
      </c>
      <c r="C853" s="133"/>
      <c r="D853" s="50">
        <f t="shared" si="13"/>
        <v>2.1810028536485948E-2</v>
      </c>
      <c r="E853" s="49"/>
    </row>
    <row r="854" spans="1:5" ht="14.4">
      <c r="A854" s="136">
        <v>43279</v>
      </c>
      <c r="B854" s="137">
        <v>98.12</v>
      </c>
      <c r="C854" s="133"/>
      <c r="D854" s="50">
        <f t="shared" si="13"/>
        <v>-9.8890010090816327E-3</v>
      </c>
      <c r="E854" s="49"/>
    </row>
    <row r="855" spans="1:5" ht="14.4">
      <c r="A855" s="136">
        <v>43278</v>
      </c>
      <c r="B855" s="137">
        <v>99.1</v>
      </c>
      <c r="C855" s="133"/>
      <c r="D855" s="50">
        <f t="shared" si="13"/>
        <v>2.7155887230513986E-2</v>
      </c>
      <c r="E855" s="49"/>
    </row>
    <row r="856" spans="1:5" ht="14.4">
      <c r="A856" s="136">
        <v>43277</v>
      </c>
      <c r="B856" s="137">
        <v>96.48</v>
      </c>
      <c r="C856" s="133"/>
      <c r="D856" s="50">
        <f t="shared" si="13"/>
        <v>-3.923188106545461E-3</v>
      </c>
      <c r="E856" s="49"/>
    </row>
    <row r="857" spans="1:5" ht="14.4">
      <c r="A857" s="136">
        <v>43276</v>
      </c>
      <c r="B857" s="137">
        <v>96.86</v>
      </c>
      <c r="C857" s="133"/>
      <c r="D857" s="50">
        <f t="shared" si="13"/>
        <v>-3.7559618441971421E-2</v>
      </c>
      <c r="E857" s="49"/>
    </row>
    <row r="858" spans="1:5" ht="14.4">
      <c r="A858" s="136">
        <v>43273</v>
      </c>
      <c r="B858" s="137">
        <v>100.64</v>
      </c>
      <c r="C858" s="133"/>
      <c r="D858" s="50">
        <f t="shared" si="13"/>
        <v>2.0793183892889644E-2</v>
      </c>
      <c r="E858" s="49"/>
    </row>
    <row r="859" spans="1:5" ht="14.4">
      <c r="A859" s="136">
        <v>43272</v>
      </c>
      <c r="B859" s="137">
        <v>98.59</v>
      </c>
      <c r="C859" s="133"/>
      <c r="D859" s="50">
        <f t="shared" si="13"/>
        <v>-1.2915498598317865E-2</v>
      </c>
      <c r="E859" s="49"/>
    </row>
    <row r="860" spans="1:5" ht="14.4">
      <c r="A860" s="136">
        <v>43271</v>
      </c>
      <c r="B860" s="137">
        <v>99.88</v>
      </c>
      <c r="C860" s="133"/>
      <c r="D860" s="50">
        <f t="shared" si="13"/>
        <v>-4.5844129958143576E-3</v>
      </c>
      <c r="E860" s="49"/>
    </row>
    <row r="861" spans="1:5" ht="14.4">
      <c r="A861" s="136">
        <v>43270</v>
      </c>
      <c r="B861" s="137">
        <v>100.34</v>
      </c>
      <c r="C861" s="133"/>
      <c r="D861" s="50">
        <f t="shared" si="13"/>
        <v>-1.5309126594700739E-2</v>
      </c>
      <c r="E861" s="49"/>
    </row>
    <row r="862" spans="1:5" ht="14.4">
      <c r="A862" s="136">
        <v>43269</v>
      </c>
      <c r="B862" s="137">
        <v>101.9</v>
      </c>
      <c r="C862" s="133"/>
      <c r="D862" s="50">
        <f t="shared" si="13"/>
        <v>-1.6409266409266321E-2</v>
      </c>
      <c r="E862" s="49"/>
    </row>
    <row r="863" spans="1:5" ht="14.4">
      <c r="A863" s="136">
        <v>43266</v>
      </c>
      <c r="B863" s="137">
        <v>103.6</v>
      </c>
      <c r="C863" s="133"/>
      <c r="D863" s="50">
        <f t="shared" si="13"/>
        <v>-9.1813312930375535E-3</v>
      </c>
      <c r="E863" s="49"/>
    </row>
    <row r="864" spans="1:5" ht="14.4">
      <c r="A864" s="136">
        <v>43265</v>
      </c>
      <c r="B864" s="137">
        <v>104.56</v>
      </c>
      <c r="C864" s="133"/>
      <c r="D864" s="50">
        <f t="shared" si="13"/>
        <v>4.3721301657017264E-2</v>
      </c>
      <c r="E864" s="49"/>
    </row>
    <row r="865" spans="1:5" ht="14.4">
      <c r="A865" s="136">
        <v>43264</v>
      </c>
      <c r="B865" s="137">
        <v>100.18</v>
      </c>
      <c r="C865" s="133"/>
      <c r="D865" s="50">
        <f t="shared" si="13"/>
        <v>-2.9856687898088818E-3</v>
      </c>
      <c r="E865" s="49"/>
    </row>
    <row r="866" spans="1:5" ht="14.4">
      <c r="A866" s="136">
        <v>43263</v>
      </c>
      <c r="B866" s="137">
        <v>100.48</v>
      </c>
      <c r="C866" s="133"/>
      <c r="D866" s="50">
        <f t="shared" si="13"/>
        <v>-4.1625371655104049E-3</v>
      </c>
      <c r="E866" s="49"/>
    </row>
    <row r="867" spans="1:5" ht="14.4">
      <c r="A867" s="136">
        <v>43262</v>
      </c>
      <c r="B867" s="137">
        <v>100.9</v>
      </c>
      <c r="C867" s="133"/>
      <c r="D867" s="50">
        <f t="shared" si="13"/>
        <v>0</v>
      </c>
      <c r="E867" s="49"/>
    </row>
    <row r="868" spans="1:5" ht="14.4">
      <c r="A868" s="136">
        <v>43259</v>
      </c>
      <c r="B868" s="137">
        <v>100.9</v>
      </c>
      <c r="C868" s="133"/>
      <c r="D868" s="50">
        <f t="shared" si="13"/>
        <v>1.2543903662819877E-2</v>
      </c>
      <c r="E868" s="49"/>
    </row>
    <row r="869" spans="1:5" ht="14.4">
      <c r="A869" s="136">
        <v>43258</v>
      </c>
      <c r="B869" s="137">
        <v>99.65</v>
      </c>
      <c r="C869" s="133"/>
      <c r="D869" s="50">
        <f t="shared" si="13"/>
        <v>-3.4999999999999476E-3</v>
      </c>
      <c r="E869" s="49"/>
    </row>
    <row r="870" spans="1:5" ht="14.4">
      <c r="A870" s="136">
        <v>43257</v>
      </c>
      <c r="B870" s="137">
        <v>100</v>
      </c>
      <c r="C870" s="133"/>
      <c r="D870" s="50">
        <f t="shared" si="13"/>
        <v>1.0305112143867312E-2</v>
      </c>
      <c r="E870" s="49"/>
    </row>
    <row r="871" spans="1:5" ht="14.4">
      <c r="A871" s="136">
        <v>43256</v>
      </c>
      <c r="B871" s="137">
        <v>98.98</v>
      </c>
      <c r="C871" s="133"/>
      <c r="D871" s="50">
        <f t="shared" si="13"/>
        <v>-5.8256327842506339E-3</v>
      </c>
      <c r="E871" s="49"/>
    </row>
    <row r="872" spans="1:5" ht="14.4">
      <c r="A872" s="136">
        <v>43255</v>
      </c>
      <c r="B872" s="137">
        <v>99.56</v>
      </c>
      <c r="C872" s="133"/>
      <c r="D872" s="50">
        <f t="shared" si="13"/>
        <v>1.7104336452360425E-3</v>
      </c>
      <c r="E872" s="49"/>
    </row>
    <row r="873" spans="1:5" ht="14.4">
      <c r="A873" s="136">
        <v>43252</v>
      </c>
      <c r="B873" s="137">
        <v>99.39</v>
      </c>
      <c r="C873" s="133"/>
      <c r="D873" s="50">
        <f t="shared" si="13"/>
        <v>2.137498715445485E-2</v>
      </c>
      <c r="E873" s="49"/>
    </row>
    <row r="874" spans="1:5" ht="14.4">
      <c r="A874" s="136">
        <v>43251</v>
      </c>
      <c r="B874" s="137">
        <v>97.31</v>
      </c>
      <c r="C874" s="133"/>
      <c r="D874" s="50">
        <f t="shared" si="13"/>
        <v>5.9960715393363451E-3</v>
      </c>
      <c r="E874" s="49"/>
    </row>
    <row r="875" spans="1:5" ht="14.4">
      <c r="A875" s="136">
        <v>43250</v>
      </c>
      <c r="B875" s="137">
        <v>96.73</v>
      </c>
      <c r="C875" s="133"/>
      <c r="D875" s="50">
        <f t="shared" si="13"/>
        <v>-6.0624743115493818E-3</v>
      </c>
      <c r="E875" s="49"/>
    </row>
    <row r="876" spans="1:5" ht="14.4">
      <c r="A876" s="136">
        <v>43249</v>
      </c>
      <c r="B876" s="137">
        <v>97.32</v>
      </c>
      <c r="C876" s="133"/>
      <c r="D876" s="50">
        <f t="shared" si="13"/>
        <v>1.2345679012344402E-3</v>
      </c>
      <c r="E876" s="49"/>
    </row>
    <row r="877" spans="1:5" ht="14.4">
      <c r="A877" s="136">
        <v>43248</v>
      </c>
      <c r="B877" s="137">
        <v>97.2</v>
      </c>
      <c r="C877" s="133"/>
      <c r="D877" s="50">
        <f t="shared" si="13"/>
        <v>-1.028408512371437E-2</v>
      </c>
      <c r="E877" s="49"/>
    </row>
    <row r="878" spans="1:5" ht="14.4">
      <c r="A878" s="136">
        <v>43245</v>
      </c>
      <c r="B878" s="137">
        <v>98.21</v>
      </c>
      <c r="C878" s="133"/>
      <c r="D878" s="50">
        <f t="shared" si="13"/>
        <v>-1.423487544483959E-3</v>
      </c>
      <c r="E878" s="49"/>
    </row>
    <row r="879" spans="1:5" ht="14.4">
      <c r="A879" s="136">
        <v>43244</v>
      </c>
      <c r="B879" s="137">
        <v>98.35</v>
      </c>
      <c r="C879" s="133"/>
      <c r="D879" s="50">
        <f t="shared" si="13"/>
        <v>-6.1641067097817359E-3</v>
      </c>
      <c r="E879" s="49"/>
    </row>
    <row r="880" spans="1:5" ht="14.4">
      <c r="A880" s="136">
        <v>43243</v>
      </c>
      <c r="B880" s="137">
        <v>98.96</v>
      </c>
      <c r="C880" s="133"/>
      <c r="D880" s="50">
        <f t="shared" si="13"/>
        <v>-1.6888535664613569E-2</v>
      </c>
      <c r="E880" s="49"/>
    </row>
    <row r="881" spans="1:5" ht="14.4">
      <c r="A881" s="136">
        <v>43242</v>
      </c>
      <c r="B881" s="137">
        <v>100.66</v>
      </c>
      <c r="C881" s="133"/>
      <c r="D881" s="50">
        <f t="shared" si="13"/>
        <v>-1.586986708986271E-3</v>
      </c>
      <c r="E881" s="49"/>
    </row>
    <row r="882" spans="1:5" ht="14.4">
      <c r="A882" s="136">
        <v>43241</v>
      </c>
      <c r="B882" s="137">
        <v>100.82</v>
      </c>
      <c r="C882" s="133"/>
      <c r="D882" s="50">
        <f t="shared" si="13"/>
        <v>3.0457890433360557E-2</v>
      </c>
      <c r="E882" s="49"/>
    </row>
    <row r="883" spans="1:5" ht="14.4">
      <c r="A883" s="136">
        <v>43238</v>
      </c>
      <c r="B883" s="137">
        <v>97.84</v>
      </c>
      <c r="C883" s="133"/>
      <c r="D883" s="50">
        <f t="shared" si="13"/>
        <v>-1.4288630332720542E-3</v>
      </c>
      <c r="E883" s="49"/>
    </row>
    <row r="884" spans="1:5" ht="14.4">
      <c r="A884" s="136">
        <v>43237</v>
      </c>
      <c r="B884" s="137">
        <v>97.98</v>
      </c>
      <c r="C884" s="133"/>
      <c r="D884" s="50">
        <f t="shared" si="13"/>
        <v>1.6495487083722393E-2</v>
      </c>
      <c r="E884" s="49"/>
    </row>
    <row r="885" spans="1:5" ht="14.4">
      <c r="A885" s="136">
        <v>43236</v>
      </c>
      <c r="B885" s="137">
        <v>96.39</v>
      </c>
      <c r="C885" s="133"/>
      <c r="D885" s="50">
        <f t="shared" si="13"/>
        <v>1.4545454545453751E-3</v>
      </c>
      <c r="E885" s="49"/>
    </row>
    <row r="886" spans="1:5" ht="14.4">
      <c r="A886" s="136">
        <v>43235</v>
      </c>
      <c r="B886" s="137">
        <v>96.25</v>
      </c>
      <c r="C886" s="133"/>
      <c r="D886" s="50">
        <f t="shared" si="13"/>
        <v>-8.5496497733827947E-3</v>
      </c>
      <c r="E886" s="49"/>
    </row>
    <row r="887" spans="1:5" ht="14.4">
      <c r="A887" s="136">
        <v>43234</v>
      </c>
      <c r="B887" s="137">
        <v>97.08</v>
      </c>
      <c r="C887" s="133"/>
      <c r="D887" s="50">
        <f t="shared" si="13"/>
        <v>-2.3831070889894446E-2</v>
      </c>
      <c r="E887" s="49"/>
    </row>
    <row r="888" spans="1:5" ht="14.4">
      <c r="A888" s="136">
        <v>43231</v>
      </c>
      <c r="B888" s="137">
        <v>99.45</v>
      </c>
      <c r="C888" s="133"/>
      <c r="D888" s="50">
        <f t="shared" si="13"/>
        <v>-1.8066847335139746E-3</v>
      </c>
      <c r="E888" s="49"/>
    </row>
    <row r="889" spans="1:5" ht="14.4">
      <c r="A889" s="136">
        <v>43230</v>
      </c>
      <c r="B889" s="137">
        <v>99.63</v>
      </c>
      <c r="C889" s="133"/>
      <c r="D889" s="50">
        <f t="shared" si="13"/>
        <v>4.7398144413068888E-3</v>
      </c>
      <c r="E889" s="49"/>
    </row>
    <row r="890" spans="1:5" ht="14.4">
      <c r="A890" s="136">
        <v>43229</v>
      </c>
      <c r="B890" s="137">
        <v>99.16</v>
      </c>
      <c r="C890" s="133"/>
      <c r="D890" s="50">
        <f t="shared" si="13"/>
        <v>-1.0774142059058245E-2</v>
      </c>
      <c r="E890" s="49"/>
    </row>
    <row r="891" spans="1:5" ht="14.4">
      <c r="A891" s="136">
        <v>43228</v>
      </c>
      <c r="B891" s="137">
        <v>100.24</v>
      </c>
      <c r="C891" s="133"/>
      <c r="D891" s="50">
        <f t="shared" si="13"/>
        <v>-1.7924716191993761E-3</v>
      </c>
      <c r="E891" s="49"/>
    </row>
    <row r="892" spans="1:5" ht="14.4">
      <c r="A892" s="136">
        <v>43227</v>
      </c>
      <c r="B892" s="137">
        <v>100.42</v>
      </c>
      <c r="C892" s="133"/>
      <c r="D892" s="50">
        <f t="shared" si="13"/>
        <v>1.7529638261222003E-2</v>
      </c>
      <c r="E892" s="49"/>
    </row>
    <row r="893" spans="1:5" ht="14.4">
      <c r="A893" s="136">
        <v>43224</v>
      </c>
      <c r="B893" s="137">
        <v>98.69</v>
      </c>
      <c r="C893" s="133"/>
      <c r="D893" s="50">
        <f t="shared" si="13"/>
        <v>6.4246379767489703E-3</v>
      </c>
      <c r="E893" s="49"/>
    </row>
    <row r="894" spans="1:5" ht="14.4">
      <c r="A894" s="136">
        <v>43223</v>
      </c>
      <c r="B894" s="137">
        <v>98.06</v>
      </c>
      <c r="C894" s="133"/>
      <c r="D894" s="50">
        <f t="shared" si="13"/>
        <v>-1.0196798205353019E-4</v>
      </c>
      <c r="E894" s="49"/>
    </row>
    <row r="895" spans="1:5" ht="14.4">
      <c r="A895" s="136">
        <v>43222</v>
      </c>
      <c r="B895" s="137">
        <v>98.07</v>
      </c>
      <c r="C895" s="133"/>
      <c r="D895" s="50">
        <f t="shared" si="13"/>
        <v>6.8788501026693094E-3</v>
      </c>
      <c r="E895" s="49"/>
    </row>
    <row r="896" spans="1:5" ht="14.4">
      <c r="A896" s="136">
        <v>43220</v>
      </c>
      <c r="B896" s="137">
        <v>97.4</v>
      </c>
      <c r="C896" s="133"/>
      <c r="D896" s="50">
        <f t="shared" si="13"/>
        <v>4.8488600020633044E-3</v>
      </c>
      <c r="E896" s="49"/>
    </row>
    <row r="897" spans="1:5" ht="14.4">
      <c r="A897" s="136">
        <v>43217</v>
      </c>
      <c r="B897" s="137">
        <v>96.93</v>
      </c>
      <c r="C897" s="133"/>
      <c r="D897" s="50">
        <f t="shared" si="13"/>
        <v>1.4973821989528791E-2</v>
      </c>
      <c r="E897" s="49"/>
    </row>
    <row r="898" spans="1:5" ht="14.4">
      <c r="A898" s="136">
        <v>43216</v>
      </c>
      <c r="B898" s="137">
        <v>95.5</v>
      </c>
      <c r="C898" s="133"/>
      <c r="D898" s="50">
        <f t="shared" si="13"/>
        <v>5.5807096977993353E-3</v>
      </c>
      <c r="E898" s="49"/>
    </row>
    <row r="899" spans="1:5" ht="14.4">
      <c r="A899" s="136">
        <v>43215</v>
      </c>
      <c r="B899" s="137">
        <v>94.97</v>
      </c>
      <c r="C899" s="133"/>
      <c r="D899" s="50">
        <f t="shared" si="13"/>
        <v>-1.7991934649984387E-2</v>
      </c>
      <c r="E899" s="49"/>
    </row>
    <row r="900" spans="1:5" ht="14.4">
      <c r="A900" s="136">
        <v>43214</v>
      </c>
      <c r="B900" s="137">
        <v>96.71</v>
      </c>
      <c r="C900" s="133"/>
      <c r="D900" s="50">
        <f t="shared" si="13"/>
        <v>5.71963394342756E-3</v>
      </c>
      <c r="E900" s="49"/>
    </row>
    <row r="901" spans="1:5" ht="14.4">
      <c r="A901" s="136">
        <v>43213</v>
      </c>
      <c r="B901" s="137">
        <v>96.16</v>
      </c>
      <c r="C901" s="133"/>
      <c r="D901" s="50">
        <f t="shared" si="13"/>
        <v>2.1131995327599018E-2</v>
      </c>
      <c r="E901" s="49"/>
    </row>
    <row r="902" spans="1:5" ht="14.4">
      <c r="A902" s="136">
        <v>43210</v>
      </c>
      <c r="B902" s="137">
        <v>94.17</v>
      </c>
      <c r="C902" s="133"/>
      <c r="D902" s="50">
        <f t="shared" si="13"/>
        <v>-7.4278438030550564E-4</v>
      </c>
      <c r="E902" s="49"/>
    </row>
    <row r="903" spans="1:5" ht="14.4">
      <c r="A903" s="136">
        <v>43209</v>
      </c>
      <c r="B903" s="137">
        <v>94.24</v>
      </c>
      <c r="C903" s="133"/>
      <c r="D903" s="50">
        <f t="shared" si="13"/>
        <v>-3.8054968287526414E-3</v>
      </c>
      <c r="E903" s="49"/>
    </row>
    <row r="904" spans="1:5" ht="14.4">
      <c r="A904" s="136">
        <v>43208</v>
      </c>
      <c r="B904" s="137">
        <v>94.6</v>
      </c>
      <c r="C904" s="133"/>
      <c r="D904" s="50">
        <f t="shared" ref="D904:D967" si="14">(B904-C904)/B905-1</f>
        <v>1.6330038676407366E-2</v>
      </c>
      <c r="E904" s="49"/>
    </row>
    <row r="905" spans="1:5" ht="14.4">
      <c r="A905" s="136">
        <v>43207</v>
      </c>
      <c r="B905" s="137">
        <v>93.08</v>
      </c>
      <c r="C905" s="133"/>
      <c r="D905" s="50">
        <f t="shared" si="14"/>
        <v>2.9873865899535224E-2</v>
      </c>
      <c r="E905" s="49"/>
    </row>
    <row r="906" spans="1:5" ht="14.4">
      <c r="A906" s="136">
        <v>43206</v>
      </c>
      <c r="B906" s="137">
        <v>90.38</v>
      </c>
      <c r="C906" s="133"/>
      <c r="D906" s="50">
        <f t="shared" si="14"/>
        <v>-1.2240437158470008E-2</v>
      </c>
      <c r="E906" s="49"/>
    </row>
    <row r="907" spans="1:5" ht="14.4">
      <c r="A907" s="136">
        <v>43203</v>
      </c>
      <c r="B907" s="137">
        <v>91.5</v>
      </c>
      <c r="C907" s="133"/>
      <c r="D907" s="50">
        <f t="shared" si="14"/>
        <v>-1.570567986230631E-2</v>
      </c>
      <c r="E907" s="49"/>
    </row>
    <row r="908" spans="1:5" ht="14.4">
      <c r="A908" s="136">
        <v>43202</v>
      </c>
      <c r="B908" s="137">
        <v>92.96</v>
      </c>
      <c r="C908" s="133"/>
      <c r="D908" s="50">
        <f t="shared" si="14"/>
        <v>5.7340690252081217E-3</v>
      </c>
      <c r="E908" s="49"/>
    </row>
    <row r="909" spans="1:5" ht="14.4">
      <c r="A909" s="136">
        <v>43201</v>
      </c>
      <c r="B909" s="137">
        <v>92.43</v>
      </c>
      <c r="C909" s="133"/>
      <c r="D909" s="50">
        <f t="shared" si="14"/>
        <v>-3.1335149863760181E-2</v>
      </c>
      <c r="E909" s="49"/>
    </row>
    <row r="910" spans="1:5" ht="14.4">
      <c r="A910" s="136">
        <v>43200</v>
      </c>
      <c r="B910" s="137">
        <v>95.42</v>
      </c>
      <c r="C910" s="133"/>
      <c r="D910" s="50">
        <f t="shared" si="14"/>
        <v>1.0805084745762583E-2</v>
      </c>
      <c r="E910" s="49"/>
    </row>
    <row r="911" spans="1:5" ht="14.4">
      <c r="A911" s="136">
        <v>43199</v>
      </c>
      <c r="B911" s="137">
        <v>94.4</v>
      </c>
      <c r="C911" s="133"/>
      <c r="D911" s="50">
        <f t="shared" si="14"/>
        <v>0</v>
      </c>
      <c r="E911" s="49"/>
    </row>
    <row r="912" spans="1:5" ht="14.4">
      <c r="A912" s="136">
        <v>43196</v>
      </c>
      <c r="B912" s="137">
        <v>94.4</v>
      </c>
      <c r="C912" s="133"/>
      <c r="D912" s="50">
        <f t="shared" si="14"/>
        <v>-4.9541477811742007E-3</v>
      </c>
      <c r="E912" s="49"/>
    </row>
    <row r="913" spans="1:5" ht="14.4">
      <c r="A913" s="136">
        <v>43195</v>
      </c>
      <c r="B913" s="137">
        <v>94.87</v>
      </c>
      <c r="C913" s="133"/>
      <c r="D913" s="50">
        <f t="shared" si="14"/>
        <v>2.2195884064217353E-2</v>
      </c>
      <c r="E913" s="49"/>
    </row>
    <row r="914" spans="1:5" ht="14.4">
      <c r="A914" s="136">
        <v>43194</v>
      </c>
      <c r="B914" s="137">
        <v>92.81</v>
      </c>
      <c r="C914" s="133"/>
      <c r="D914" s="50">
        <f t="shared" si="14"/>
        <v>-8.4401709401709102E-3</v>
      </c>
      <c r="E914" s="49"/>
    </row>
    <row r="915" spans="1:5" ht="14.4">
      <c r="A915" s="136">
        <v>43193</v>
      </c>
      <c r="B915" s="137">
        <v>93.6</v>
      </c>
      <c r="C915" s="133"/>
      <c r="D915" s="50">
        <f t="shared" si="14"/>
        <v>-2.1321961620469621E-3</v>
      </c>
      <c r="E915" s="49"/>
    </row>
    <row r="916" spans="1:5" ht="14.4">
      <c r="A916" s="136">
        <v>43188</v>
      </c>
      <c r="B916" s="137">
        <v>93.8</v>
      </c>
      <c r="C916" s="133"/>
      <c r="D916" s="50">
        <f t="shared" si="14"/>
        <v>-1.9153011278996157E-3</v>
      </c>
      <c r="E916" s="49"/>
    </row>
    <row r="917" spans="1:5" ht="14.4">
      <c r="A917" s="136">
        <v>43187</v>
      </c>
      <c r="B917" s="137">
        <v>93.98</v>
      </c>
      <c r="C917" s="133"/>
      <c r="D917" s="50">
        <f t="shared" si="14"/>
        <v>-1.1777076761303795E-2</v>
      </c>
      <c r="E917" s="49"/>
    </row>
    <row r="918" spans="1:5" ht="14.4">
      <c r="A918" s="136">
        <v>43186</v>
      </c>
      <c r="B918" s="137">
        <v>95.1</v>
      </c>
      <c r="C918" s="133"/>
      <c r="D918" s="50">
        <f t="shared" si="14"/>
        <v>2.390180878552961E-2</v>
      </c>
      <c r="E918" s="49"/>
    </row>
    <row r="919" spans="1:5" ht="14.4">
      <c r="A919" s="136">
        <v>43185</v>
      </c>
      <c r="B919" s="137">
        <v>92.88</v>
      </c>
      <c r="C919" s="133"/>
      <c r="D919" s="50">
        <f t="shared" si="14"/>
        <v>-4.3047783039185106E-4</v>
      </c>
      <c r="E919" s="49"/>
    </row>
    <row r="920" spans="1:5" ht="14.4">
      <c r="A920" s="136">
        <v>43182</v>
      </c>
      <c r="B920" s="137">
        <v>92.92</v>
      </c>
      <c r="C920" s="133"/>
      <c r="D920" s="50">
        <f t="shared" si="14"/>
        <v>-1.8070379372292056E-2</v>
      </c>
      <c r="E920" s="49"/>
    </row>
    <row r="921" spans="1:5" ht="14.4">
      <c r="A921" s="136">
        <v>43181</v>
      </c>
      <c r="B921" s="137">
        <v>94.63</v>
      </c>
      <c r="C921" s="133"/>
      <c r="D921" s="50">
        <f t="shared" si="14"/>
        <v>-9.2136949010576119E-3</v>
      </c>
      <c r="E921" s="49"/>
    </row>
    <row r="922" spans="1:5" ht="14.4">
      <c r="A922" s="136">
        <v>43180</v>
      </c>
      <c r="B922" s="137">
        <v>95.51</v>
      </c>
      <c r="C922" s="133"/>
      <c r="D922" s="50">
        <f t="shared" si="14"/>
        <v>-9.5405993985274717E-3</v>
      </c>
      <c r="E922" s="49"/>
    </row>
    <row r="923" spans="1:5" ht="14.4">
      <c r="A923" s="136">
        <v>43179</v>
      </c>
      <c r="B923" s="137">
        <v>96.43</v>
      </c>
      <c r="C923" s="133"/>
      <c r="D923" s="50">
        <f t="shared" si="14"/>
        <v>2.1179709837975125E-2</v>
      </c>
      <c r="E923" s="49"/>
    </row>
    <row r="924" spans="1:5" ht="14.4">
      <c r="A924" s="136">
        <v>43178</v>
      </c>
      <c r="B924" s="137">
        <v>94.43</v>
      </c>
      <c r="C924" s="133"/>
      <c r="D924" s="50">
        <f t="shared" si="14"/>
        <v>-1.6354166666666559E-2</v>
      </c>
      <c r="E924" s="49"/>
    </row>
    <row r="925" spans="1:5" ht="14.4">
      <c r="A925" s="136">
        <v>43175</v>
      </c>
      <c r="B925" s="137">
        <v>96</v>
      </c>
      <c r="C925" s="133"/>
      <c r="D925" s="50">
        <f t="shared" si="14"/>
        <v>-8.6741016109046498E-3</v>
      </c>
      <c r="E925" s="49"/>
    </row>
    <row r="926" spans="1:5" ht="14.4">
      <c r="A926" s="136">
        <v>43174</v>
      </c>
      <c r="B926" s="137">
        <v>96.84</v>
      </c>
      <c r="C926" s="133"/>
      <c r="D926" s="50">
        <f t="shared" si="14"/>
        <v>1.6692913385826902E-2</v>
      </c>
      <c r="E926" s="49"/>
    </row>
    <row r="927" spans="1:5" ht="14.4">
      <c r="A927" s="136">
        <v>43173</v>
      </c>
      <c r="B927" s="137">
        <v>95.25</v>
      </c>
      <c r="C927" s="133"/>
      <c r="D927" s="50">
        <f t="shared" si="14"/>
        <v>-4.2860129625758026E-3</v>
      </c>
      <c r="E927" s="49"/>
    </row>
    <row r="928" spans="1:5" ht="14.4">
      <c r="A928" s="136">
        <v>43172</v>
      </c>
      <c r="B928" s="137">
        <v>95.66</v>
      </c>
      <c r="C928" s="133"/>
      <c r="D928" s="50">
        <f t="shared" si="14"/>
        <v>-2.1904662563889676E-3</v>
      </c>
      <c r="E928" s="49"/>
    </row>
    <row r="929" spans="1:5" ht="14.4">
      <c r="A929" s="136">
        <v>43171</v>
      </c>
      <c r="B929" s="137">
        <v>95.87</v>
      </c>
      <c r="C929" s="133"/>
      <c r="D929" s="50">
        <f t="shared" si="14"/>
        <v>-2.5017797213464754E-2</v>
      </c>
      <c r="E929" s="49"/>
    </row>
    <row r="930" spans="1:5" ht="14.4">
      <c r="A930" s="136">
        <v>43168</v>
      </c>
      <c r="B930" s="137">
        <v>98.33</v>
      </c>
      <c r="C930" s="133"/>
      <c r="D930" s="50">
        <f t="shared" si="14"/>
        <v>1.2771655165310536E-2</v>
      </c>
      <c r="E930" s="49"/>
    </row>
    <row r="931" spans="1:5" ht="14.4">
      <c r="A931" s="136">
        <v>43167</v>
      </c>
      <c r="B931" s="137">
        <v>97.09</v>
      </c>
      <c r="C931" s="133"/>
      <c r="D931" s="50">
        <f t="shared" si="14"/>
        <v>1.4312578353531169E-2</v>
      </c>
      <c r="E931" s="49"/>
    </row>
    <row r="932" spans="1:5" ht="14.4">
      <c r="A932" s="136">
        <v>43166</v>
      </c>
      <c r="B932" s="137">
        <v>95.72</v>
      </c>
      <c r="C932" s="133"/>
      <c r="D932" s="50">
        <f t="shared" si="14"/>
        <v>-4.1614648356221862E-3</v>
      </c>
      <c r="E932" s="49"/>
    </row>
    <row r="933" spans="1:5" ht="14.4">
      <c r="A933" s="136">
        <v>43165</v>
      </c>
      <c r="B933" s="137">
        <v>96.12</v>
      </c>
      <c r="C933" s="133"/>
      <c r="D933" s="50">
        <f t="shared" si="14"/>
        <v>3.8642297650131052E-3</v>
      </c>
      <c r="E933" s="49"/>
    </row>
    <row r="934" spans="1:5" ht="14.4">
      <c r="A934" s="136">
        <v>43164</v>
      </c>
      <c r="B934" s="137">
        <v>95.75</v>
      </c>
      <c r="C934" s="133"/>
      <c r="D934" s="50">
        <f t="shared" si="14"/>
        <v>1.915912719531665E-2</v>
      </c>
      <c r="E934" s="49"/>
    </row>
    <row r="935" spans="1:5" ht="14.4">
      <c r="A935" s="136">
        <v>43161</v>
      </c>
      <c r="B935" s="137">
        <v>93.95</v>
      </c>
      <c r="C935" s="133"/>
      <c r="D935" s="50">
        <f t="shared" si="14"/>
        <v>-3.2440782698249127E-2</v>
      </c>
      <c r="E935" s="49"/>
    </row>
    <row r="936" spans="1:5" ht="14.4">
      <c r="A936" s="136">
        <v>43160</v>
      </c>
      <c r="B936" s="137">
        <v>97.1</v>
      </c>
      <c r="C936" s="133"/>
      <c r="D936" s="50">
        <f t="shared" si="14"/>
        <v>-1.2609314622737511E-2</v>
      </c>
      <c r="E936" s="49"/>
    </row>
    <row r="937" spans="1:5" ht="14.4">
      <c r="A937" s="136">
        <v>43159</v>
      </c>
      <c r="B937" s="137">
        <v>98.34</v>
      </c>
      <c r="C937" s="133"/>
      <c r="D937" s="50">
        <f t="shared" si="14"/>
        <v>-3.74835376354965E-3</v>
      </c>
      <c r="E937" s="49"/>
    </row>
    <row r="938" spans="1:5" ht="14.4">
      <c r="A938" s="136">
        <v>43158</v>
      </c>
      <c r="B938" s="137">
        <v>98.71</v>
      </c>
      <c r="C938" s="133"/>
      <c r="D938" s="50">
        <f t="shared" si="14"/>
        <v>-2.3246411966848513E-3</v>
      </c>
      <c r="E938" s="49"/>
    </row>
    <row r="939" spans="1:5" ht="14.4">
      <c r="A939" s="136">
        <v>43157</v>
      </c>
      <c r="B939" s="137">
        <v>98.94</v>
      </c>
      <c r="C939" s="133"/>
      <c r="D939" s="50">
        <f t="shared" si="14"/>
        <v>6.5106815869786505E-3</v>
      </c>
      <c r="E939" s="49"/>
    </row>
    <row r="940" spans="1:5" ht="14.4">
      <c r="A940" s="136">
        <v>43154</v>
      </c>
      <c r="B940" s="137">
        <v>98.3</v>
      </c>
      <c r="C940" s="133"/>
      <c r="D940" s="50">
        <f t="shared" si="14"/>
        <v>6.1412487205732003E-3</v>
      </c>
      <c r="E940" s="49"/>
    </row>
    <row r="941" spans="1:5" ht="14.4">
      <c r="A941" s="136">
        <v>43153</v>
      </c>
      <c r="B941" s="137">
        <v>97.7</v>
      </c>
      <c r="C941" s="133"/>
      <c r="D941" s="50">
        <f t="shared" si="14"/>
        <v>4.0958427196402525E-4</v>
      </c>
      <c r="E941" s="49"/>
    </row>
    <row r="942" spans="1:5" ht="14.4">
      <c r="A942" s="136">
        <v>43152</v>
      </c>
      <c r="B942" s="137">
        <v>97.66</v>
      </c>
      <c r="C942" s="133"/>
      <c r="D942" s="50">
        <f t="shared" si="14"/>
        <v>6.9079286524384997E-3</v>
      </c>
      <c r="E942" s="49"/>
    </row>
    <row r="943" spans="1:5" ht="14.4">
      <c r="A943" s="136">
        <v>43151</v>
      </c>
      <c r="B943" s="137">
        <v>96.99</v>
      </c>
      <c r="C943" s="133"/>
      <c r="D943" s="50">
        <f t="shared" si="14"/>
        <v>2.2130888397091208E-2</v>
      </c>
      <c r="E943" s="49"/>
    </row>
    <row r="944" spans="1:5" ht="14.4">
      <c r="A944" s="136">
        <v>43150</v>
      </c>
      <c r="B944" s="137">
        <v>94.89</v>
      </c>
      <c r="C944" s="133"/>
      <c r="D944" s="50">
        <f t="shared" si="14"/>
        <v>-6.6994661362922425E-3</v>
      </c>
      <c r="E944" s="49"/>
    </row>
    <row r="945" spans="1:5" ht="14.4">
      <c r="A945" s="136">
        <v>43147</v>
      </c>
      <c r="B945" s="137">
        <v>95.53</v>
      </c>
      <c r="C945" s="133"/>
      <c r="D945" s="50">
        <f t="shared" si="14"/>
        <v>2.9196293902176373E-2</v>
      </c>
      <c r="E945" s="49"/>
    </row>
    <row r="946" spans="1:5" ht="14.4">
      <c r="A946" s="136">
        <v>43146</v>
      </c>
      <c r="B946" s="137">
        <v>92.82</v>
      </c>
      <c r="C946" s="133"/>
      <c r="D946" s="50">
        <f t="shared" si="14"/>
        <v>0.10276820719971469</v>
      </c>
      <c r="E946" s="49"/>
    </row>
    <row r="947" spans="1:5" ht="14.4">
      <c r="A947" s="136">
        <v>43145</v>
      </c>
      <c r="B947" s="137">
        <v>84.17</v>
      </c>
      <c r="C947" s="133"/>
      <c r="D947" s="50">
        <f t="shared" si="14"/>
        <v>1.2266987372218763E-2</v>
      </c>
      <c r="E947" s="49"/>
    </row>
    <row r="948" spans="1:5" ht="14.4">
      <c r="A948" s="136">
        <v>43144</v>
      </c>
      <c r="B948" s="137">
        <v>83.15</v>
      </c>
      <c r="C948" s="133"/>
      <c r="D948" s="50">
        <f t="shared" si="14"/>
        <v>7.6345128453709776E-3</v>
      </c>
      <c r="E948" s="49"/>
    </row>
    <row r="949" spans="1:5" ht="14.4">
      <c r="A949" s="136">
        <v>43143</v>
      </c>
      <c r="B949" s="137">
        <v>82.52</v>
      </c>
      <c r="C949" s="133"/>
      <c r="D949" s="50">
        <f t="shared" si="14"/>
        <v>-1.2209719894661353E-2</v>
      </c>
      <c r="E949" s="49"/>
    </row>
    <row r="950" spans="1:5" ht="14.4">
      <c r="A950" s="136">
        <v>43140</v>
      </c>
      <c r="B950" s="137">
        <v>83.54</v>
      </c>
      <c r="C950" s="133"/>
      <c r="D950" s="50">
        <f t="shared" si="14"/>
        <v>-2.3038241141386973E-2</v>
      </c>
      <c r="E950" s="49"/>
    </row>
    <row r="951" spans="1:5" ht="14.4">
      <c r="A951" s="136">
        <v>43139</v>
      </c>
      <c r="B951" s="137">
        <v>85.51</v>
      </c>
      <c r="C951" s="133"/>
      <c r="D951" s="50">
        <f t="shared" si="14"/>
        <v>-3.2692307692307687E-2</v>
      </c>
      <c r="E951" s="49"/>
    </row>
    <row r="952" spans="1:5" ht="14.4">
      <c r="A952" s="136">
        <v>43138</v>
      </c>
      <c r="B952" s="137">
        <v>88.4</v>
      </c>
      <c r="C952" s="133"/>
      <c r="D952" s="50">
        <f t="shared" si="14"/>
        <v>3.9877661451593882E-2</v>
      </c>
      <c r="E952" s="49"/>
    </row>
    <row r="953" spans="1:5" ht="14.4">
      <c r="A953" s="136">
        <v>43137</v>
      </c>
      <c r="B953" s="137">
        <v>85.01</v>
      </c>
      <c r="C953" s="133"/>
      <c r="D953" s="50">
        <f t="shared" si="14"/>
        <v>-1.836027713625854E-2</v>
      </c>
      <c r="E953" s="49"/>
    </row>
    <row r="954" spans="1:5" ht="14.4">
      <c r="A954" s="136">
        <v>43136</v>
      </c>
      <c r="B954" s="137">
        <v>86.6</v>
      </c>
      <c r="C954" s="133"/>
      <c r="D954" s="50">
        <f t="shared" si="14"/>
        <v>-1.557349096282834E-2</v>
      </c>
      <c r="E954" s="49"/>
    </row>
    <row r="955" spans="1:5" ht="14.4">
      <c r="A955" s="136">
        <v>43133</v>
      </c>
      <c r="B955" s="137">
        <v>87.97</v>
      </c>
      <c r="C955" s="133"/>
      <c r="D955" s="50">
        <f t="shared" si="14"/>
        <v>-3.5099265109136857E-2</v>
      </c>
      <c r="E955" s="49"/>
    </row>
    <row r="956" spans="1:5" ht="14.4">
      <c r="A956" s="136">
        <v>43132</v>
      </c>
      <c r="B956" s="137">
        <v>91.17</v>
      </c>
      <c r="C956" s="133"/>
      <c r="D956" s="50">
        <f t="shared" si="14"/>
        <v>-1.4378378378378409E-2</v>
      </c>
      <c r="E956" s="49"/>
    </row>
    <row r="957" spans="1:5" ht="14.4">
      <c r="A957" s="136">
        <v>43131</v>
      </c>
      <c r="B957" s="137">
        <v>92.5</v>
      </c>
      <c r="C957" s="133"/>
      <c r="D957" s="50">
        <f t="shared" si="14"/>
        <v>3.0066815144766279E-2</v>
      </c>
      <c r="E957" s="49"/>
    </row>
    <row r="958" spans="1:5" ht="14.4">
      <c r="A958" s="136">
        <v>43130</v>
      </c>
      <c r="B958" s="137">
        <v>89.8</v>
      </c>
      <c r="C958" s="133"/>
      <c r="D958" s="50">
        <f t="shared" si="14"/>
        <v>-6.8568900685689327E-3</v>
      </c>
      <c r="E958" s="49"/>
    </row>
    <row r="959" spans="1:5" ht="14.4">
      <c r="A959" s="136">
        <v>43129</v>
      </c>
      <c r="B959" s="137">
        <v>90.42</v>
      </c>
      <c r="C959" s="133"/>
      <c r="D959" s="50">
        <f t="shared" si="14"/>
        <v>9.6025011165699059E-3</v>
      </c>
      <c r="E959" s="49"/>
    </row>
    <row r="960" spans="1:5" ht="14.4">
      <c r="A960" s="136">
        <v>43126</v>
      </c>
      <c r="B960" s="137">
        <v>89.56</v>
      </c>
      <c r="C960" s="133"/>
      <c r="D960" s="50">
        <f t="shared" si="14"/>
        <v>1.7727272727272814E-2</v>
      </c>
      <c r="E960" s="49"/>
    </row>
    <row r="961" spans="1:7" ht="14.4">
      <c r="A961" s="136">
        <v>43125</v>
      </c>
      <c r="B961" s="137">
        <v>88</v>
      </c>
      <c r="C961" s="133"/>
      <c r="D961" s="50">
        <f t="shared" si="14"/>
        <v>-2.7624309392265234E-2</v>
      </c>
      <c r="E961" s="49"/>
    </row>
    <row r="962" spans="1:7" ht="14.4">
      <c r="A962" s="136">
        <v>43124</v>
      </c>
      <c r="B962" s="137">
        <v>90.5</v>
      </c>
      <c r="C962" s="133"/>
      <c r="D962" s="50">
        <f t="shared" si="14"/>
        <v>-1.7372421281215966E-2</v>
      </c>
      <c r="E962" s="49"/>
    </row>
    <row r="963" spans="1:7" ht="14.4">
      <c r="A963" s="136">
        <v>43123</v>
      </c>
      <c r="B963" s="137">
        <v>92.1</v>
      </c>
      <c r="C963" s="133"/>
      <c r="D963" s="50">
        <f t="shared" si="14"/>
        <v>-1.2332439678284235E-2</v>
      </c>
      <c r="E963" s="49"/>
    </row>
    <row r="964" spans="1:7" ht="14.4">
      <c r="A964" s="136">
        <v>43122</v>
      </c>
      <c r="B964" s="137">
        <v>93.25</v>
      </c>
      <c r="C964" s="133"/>
      <c r="D964" s="50">
        <f t="shared" si="14"/>
        <v>4.9574307576247811E-3</v>
      </c>
      <c r="E964" s="49"/>
    </row>
    <row r="965" spans="1:7" ht="14.4">
      <c r="A965" s="136">
        <v>43119</v>
      </c>
      <c r="B965" s="137">
        <v>92.79</v>
      </c>
      <c r="C965" s="133"/>
      <c r="D965" s="50">
        <f t="shared" si="14"/>
        <v>2.6438053097345149E-2</v>
      </c>
      <c r="E965" s="49"/>
    </row>
    <row r="966" spans="1:7" ht="14.4">
      <c r="A966" s="136">
        <v>43118</v>
      </c>
      <c r="B966" s="137">
        <v>90.4</v>
      </c>
      <c r="C966" s="133"/>
      <c r="D966" s="50">
        <f t="shared" si="14"/>
        <v>7.3545798974816723E-3</v>
      </c>
      <c r="E966" s="42"/>
      <c r="F966" s="42"/>
      <c r="G966" s="42"/>
    </row>
    <row r="967" spans="1:7" ht="14.4">
      <c r="A967" s="136">
        <v>43117</v>
      </c>
      <c r="B967" s="137">
        <v>89.74</v>
      </c>
      <c r="C967" s="133"/>
      <c r="D967" s="50">
        <f t="shared" si="14"/>
        <v>-2.5564076914527112E-3</v>
      </c>
      <c r="E967" s="42"/>
      <c r="F967" s="42"/>
      <c r="G967" s="42"/>
    </row>
    <row r="968" spans="1:7" ht="14.4">
      <c r="A968" s="136">
        <v>43116</v>
      </c>
      <c r="B968" s="137">
        <v>89.97</v>
      </c>
      <c r="C968" s="133"/>
      <c r="D968" s="50">
        <f t="shared" ref="D968:D1031" si="15">(B968-C968)/B969-1</f>
        <v>-3.3333333333329662E-4</v>
      </c>
      <c r="E968" s="42"/>
      <c r="F968" s="42"/>
      <c r="G968" s="42"/>
    </row>
    <row r="969" spans="1:7" ht="14.4">
      <c r="A969" s="136">
        <v>43115</v>
      </c>
      <c r="B969" s="137">
        <v>90</v>
      </c>
      <c r="C969" s="133"/>
      <c r="D969" s="50">
        <f t="shared" si="15"/>
        <v>-4.4247787610620648E-3</v>
      </c>
      <c r="E969" s="42"/>
      <c r="F969" s="42"/>
      <c r="G969" s="42"/>
    </row>
    <row r="970" spans="1:7" ht="14.4">
      <c r="A970" s="136">
        <v>43112</v>
      </c>
      <c r="B970" s="137">
        <v>90.4</v>
      </c>
      <c r="C970" s="133"/>
      <c r="D970" s="50">
        <f t="shared" si="15"/>
        <v>4.2212841590758554E-3</v>
      </c>
      <c r="E970" s="42"/>
      <c r="F970" s="42"/>
      <c r="G970" s="42"/>
    </row>
    <row r="971" spans="1:7" ht="14.4">
      <c r="A971" s="136">
        <v>43111</v>
      </c>
      <c r="B971" s="137">
        <v>90.02</v>
      </c>
      <c r="C971" s="133"/>
      <c r="D971" s="50">
        <f t="shared" si="15"/>
        <v>-2.76946936966882E-3</v>
      </c>
      <c r="E971" s="42"/>
      <c r="F971" s="42"/>
      <c r="G971" s="42"/>
    </row>
    <row r="972" spans="1:7" ht="14.4">
      <c r="A972" s="136">
        <v>43110</v>
      </c>
      <c r="B972" s="137">
        <v>90.27</v>
      </c>
      <c r="C972" s="133"/>
      <c r="D972" s="50">
        <f t="shared" si="15"/>
        <v>3.9019337016574562E-2</v>
      </c>
      <c r="E972" s="42"/>
      <c r="F972" s="42"/>
      <c r="G972" s="42"/>
    </row>
    <row r="973" spans="1:7" ht="14.4">
      <c r="A973" s="136">
        <v>43109</v>
      </c>
      <c r="B973" s="137">
        <v>86.88</v>
      </c>
      <c r="C973" s="133"/>
      <c r="D973" s="50">
        <f t="shared" si="15"/>
        <v>3.0016162549064695E-3</v>
      </c>
      <c r="E973" s="42"/>
      <c r="F973" s="42"/>
      <c r="G973" s="42"/>
    </row>
    <row r="974" spans="1:7" ht="14.4">
      <c r="A974" s="136">
        <v>43108</v>
      </c>
      <c r="B974" s="137">
        <v>86.62</v>
      </c>
      <c r="C974" s="133"/>
      <c r="D974" s="50">
        <f t="shared" si="15"/>
        <v>1.1915887850467488E-2</v>
      </c>
      <c r="E974" s="42"/>
      <c r="F974" s="42"/>
      <c r="G974" s="42"/>
    </row>
    <row r="975" spans="1:7" ht="14.4">
      <c r="A975" s="136">
        <v>43105</v>
      </c>
      <c r="B975" s="137">
        <v>85.6</v>
      </c>
      <c r="C975" s="133"/>
      <c r="D975" s="50">
        <f t="shared" si="15"/>
        <v>-2.5635050104870771E-3</v>
      </c>
      <c r="E975" s="42"/>
      <c r="F975" s="42"/>
      <c r="G975" s="42"/>
    </row>
    <row r="976" spans="1:7" ht="14.4">
      <c r="A976" s="136">
        <v>43104</v>
      </c>
      <c r="B976" s="137">
        <v>85.82</v>
      </c>
      <c r="C976" s="133"/>
      <c r="D976" s="50">
        <f t="shared" si="15"/>
        <v>2.020922491678534E-2</v>
      </c>
      <c r="E976" s="42"/>
      <c r="F976" s="42"/>
      <c r="G976" s="42"/>
    </row>
    <row r="977" spans="1:7" ht="14.4">
      <c r="A977" s="136">
        <v>43103</v>
      </c>
      <c r="B977" s="137">
        <v>84.12</v>
      </c>
      <c r="C977" s="133"/>
      <c r="D977" s="50">
        <f t="shared" si="15"/>
        <v>1.6555891238670739E-2</v>
      </c>
      <c r="E977" s="42"/>
      <c r="F977" s="42"/>
      <c r="G977" s="42"/>
    </row>
    <row r="978" spans="1:7" ht="14.4">
      <c r="A978" s="136">
        <v>43102</v>
      </c>
      <c r="B978" s="137">
        <v>82.75</v>
      </c>
      <c r="C978" s="133"/>
      <c r="D978" s="50">
        <f t="shared" si="15"/>
        <v>-3.0120481927711218E-3</v>
      </c>
      <c r="E978" s="42"/>
      <c r="F978" s="42"/>
      <c r="G978" s="42"/>
    </row>
    <row r="979" spans="1:7" ht="14.4">
      <c r="A979" s="138">
        <v>43098</v>
      </c>
      <c r="B979" s="139">
        <v>83</v>
      </c>
      <c r="C979" s="134">
        <v>1.5</v>
      </c>
      <c r="D979" s="50">
        <f t="shared" si="15"/>
        <v>-2.8605482717520947E-2</v>
      </c>
      <c r="E979" s="46"/>
      <c r="F979" s="46"/>
      <c r="G979" s="45" t="e">
        <v>#REF!</v>
      </c>
    </row>
    <row r="980" spans="1:7" ht="14.4">
      <c r="A980" s="136">
        <v>43097</v>
      </c>
      <c r="B980" s="137">
        <v>83.9</v>
      </c>
      <c r="C980" s="133"/>
      <c r="D980" s="50">
        <f t="shared" si="15"/>
        <v>-1.572031909901439E-2</v>
      </c>
      <c r="E980" s="42"/>
      <c r="F980" s="42"/>
      <c r="G980" s="42"/>
    </row>
    <row r="981" spans="1:7" ht="14.4">
      <c r="A981" s="136">
        <v>43096</v>
      </c>
      <c r="B981" s="137">
        <v>85.24</v>
      </c>
      <c r="C981" s="133"/>
      <c r="D981" s="50">
        <f t="shared" si="15"/>
        <v>8.1608515671200976E-3</v>
      </c>
      <c r="E981" s="42"/>
      <c r="F981" s="42"/>
      <c r="G981" s="42"/>
    </row>
    <row r="982" spans="1:7" ht="14.4">
      <c r="A982" s="136">
        <v>43091</v>
      </c>
      <c r="B982" s="137">
        <v>84.55</v>
      </c>
      <c r="C982" s="133"/>
      <c r="D982" s="50">
        <f t="shared" si="15"/>
        <v>-4.3570419218088574E-3</v>
      </c>
      <c r="E982" s="49"/>
    </row>
    <row r="983" spans="1:7" ht="14.4">
      <c r="A983" s="136">
        <v>43090</v>
      </c>
      <c r="B983" s="137">
        <v>84.92</v>
      </c>
      <c r="C983" s="133"/>
      <c r="D983" s="50">
        <f t="shared" si="15"/>
        <v>1.4150943396227245E-3</v>
      </c>
      <c r="E983" s="49"/>
    </row>
    <row r="984" spans="1:7" ht="14.4">
      <c r="A984" s="136">
        <v>43089</v>
      </c>
      <c r="B984" s="137">
        <v>84.8</v>
      </c>
      <c r="C984" s="133"/>
      <c r="D984" s="50">
        <f t="shared" si="15"/>
        <v>-1.0155246877553425E-2</v>
      </c>
      <c r="E984" s="49"/>
    </row>
    <row r="985" spans="1:7" ht="14.4">
      <c r="A985" s="136">
        <v>43088</v>
      </c>
      <c r="B985" s="137">
        <v>85.67</v>
      </c>
      <c r="C985" s="133"/>
      <c r="D985" s="50">
        <f t="shared" si="15"/>
        <v>-9.9387495666243275E-3</v>
      </c>
      <c r="E985" s="49"/>
    </row>
    <row r="986" spans="1:7" ht="14.4">
      <c r="A986" s="136">
        <v>43087</v>
      </c>
      <c r="B986" s="137">
        <v>86.53</v>
      </c>
      <c r="C986" s="133"/>
      <c r="D986" s="50">
        <f t="shared" si="15"/>
        <v>1.5014662756598351E-2</v>
      </c>
      <c r="E986" s="49"/>
    </row>
    <row r="987" spans="1:7" ht="14.4">
      <c r="A987" s="136">
        <v>43084</v>
      </c>
      <c r="B987" s="137">
        <v>85.25</v>
      </c>
      <c r="C987" s="133"/>
      <c r="D987" s="50">
        <f t="shared" si="15"/>
        <v>-1.0546051089759256E-3</v>
      </c>
      <c r="E987" s="49"/>
    </row>
    <row r="988" spans="1:7" ht="14.4">
      <c r="A988" s="136">
        <v>43083</v>
      </c>
      <c r="B988" s="137">
        <v>85.34</v>
      </c>
      <c r="C988" s="133"/>
      <c r="D988" s="50">
        <f t="shared" si="15"/>
        <v>-1.0550724637681141E-2</v>
      </c>
      <c r="E988" s="49"/>
    </row>
    <row r="989" spans="1:7" ht="14.4">
      <c r="A989" s="136">
        <v>43082</v>
      </c>
      <c r="B989" s="137">
        <v>86.25</v>
      </c>
      <c r="C989" s="133"/>
      <c r="D989" s="50">
        <f t="shared" si="15"/>
        <v>-1.1234666972371965E-2</v>
      </c>
      <c r="E989" s="49"/>
    </row>
    <row r="990" spans="1:7" ht="14.4">
      <c r="A990" s="136">
        <v>43081</v>
      </c>
      <c r="B990" s="137">
        <v>87.23</v>
      </c>
      <c r="C990" s="133"/>
      <c r="D990" s="50">
        <f t="shared" si="15"/>
        <v>1.5128593040847127E-2</v>
      </c>
      <c r="E990" s="49"/>
    </row>
    <row r="991" spans="1:7" ht="14.4">
      <c r="A991" s="136">
        <v>43080</v>
      </c>
      <c r="B991" s="137">
        <v>85.93</v>
      </c>
      <c r="C991" s="133"/>
      <c r="D991" s="50">
        <f t="shared" si="15"/>
        <v>-2.0963882875697726E-2</v>
      </c>
      <c r="E991" s="49"/>
    </row>
    <row r="992" spans="1:7" ht="14.4">
      <c r="A992" s="136">
        <v>43077</v>
      </c>
      <c r="B992" s="137">
        <v>87.77</v>
      </c>
      <c r="C992" s="133"/>
      <c r="D992" s="50">
        <f t="shared" si="15"/>
        <v>-2.8402635764599449E-3</v>
      </c>
      <c r="E992" s="49"/>
    </row>
    <row r="993" spans="1:5" ht="14.4">
      <c r="A993" s="136">
        <v>43076</v>
      </c>
      <c r="B993" s="137">
        <v>88.02</v>
      </c>
      <c r="C993" s="133"/>
      <c r="D993" s="50">
        <f t="shared" si="15"/>
        <v>-9.4530722484807983E-3</v>
      </c>
      <c r="E993" s="49"/>
    </row>
    <row r="994" spans="1:5" ht="14.4">
      <c r="A994" s="136">
        <v>43075</v>
      </c>
      <c r="B994" s="137">
        <v>88.86</v>
      </c>
      <c r="C994" s="133"/>
      <c r="D994" s="50">
        <f t="shared" si="15"/>
        <v>3.2742463588122384E-3</v>
      </c>
      <c r="E994" s="49"/>
    </row>
    <row r="995" spans="1:5" ht="14.4">
      <c r="A995" s="136">
        <v>43074</v>
      </c>
      <c r="B995" s="137">
        <v>88.57</v>
      </c>
      <c r="C995" s="133"/>
      <c r="D995" s="50">
        <f t="shared" si="15"/>
        <v>7.9663138727663618E-3</v>
      </c>
      <c r="E995" s="49"/>
    </row>
    <row r="996" spans="1:5" ht="14.4">
      <c r="A996" s="136">
        <v>43073</v>
      </c>
      <c r="B996" s="137">
        <v>87.87</v>
      </c>
      <c r="C996" s="133"/>
      <c r="D996" s="50">
        <f t="shared" si="15"/>
        <v>3.000820536865545E-2</v>
      </c>
      <c r="E996" s="49"/>
    </row>
    <row r="997" spans="1:5" ht="14.4">
      <c r="A997" s="136">
        <v>43070</v>
      </c>
      <c r="B997" s="137">
        <v>85.31</v>
      </c>
      <c r="C997" s="133"/>
      <c r="D997" s="50">
        <f t="shared" si="15"/>
        <v>-2.2683010654141467E-2</v>
      </c>
      <c r="E997" s="49"/>
    </row>
    <row r="998" spans="1:5" ht="14.4">
      <c r="A998" s="136">
        <v>43069</v>
      </c>
      <c r="B998" s="137">
        <v>87.29</v>
      </c>
      <c r="C998" s="133"/>
      <c r="D998" s="50">
        <f t="shared" si="15"/>
        <v>0</v>
      </c>
      <c r="E998" s="49"/>
    </row>
    <row r="999" spans="1:5" ht="14.4">
      <c r="A999" s="136">
        <v>43068</v>
      </c>
      <c r="B999" s="137">
        <v>87.29</v>
      </c>
      <c r="C999" s="133"/>
      <c r="D999" s="50">
        <f t="shared" si="15"/>
        <v>5.2977081653806657E-3</v>
      </c>
      <c r="E999" s="49"/>
    </row>
    <row r="1000" spans="1:5" ht="14.4">
      <c r="A1000" s="136">
        <v>43067</v>
      </c>
      <c r="B1000" s="137">
        <v>86.83</v>
      </c>
      <c r="C1000" s="133"/>
      <c r="D1000" s="50">
        <f t="shared" si="15"/>
        <v>1.330376940133049E-2</v>
      </c>
      <c r="E1000" s="49"/>
    </row>
    <row r="1001" spans="1:5" ht="14.4">
      <c r="A1001" s="136">
        <v>43066</v>
      </c>
      <c r="B1001" s="137">
        <v>85.69</v>
      </c>
      <c r="C1001" s="133"/>
      <c r="D1001" s="50">
        <f t="shared" si="15"/>
        <v>-1.2820512820512775E-3</v>
      </c>
      <c r="E1001" s="49"/>
    </row>
    <row r="1002" spans="1:5" ht="14.4">
      <c r="A1002" s="136">
        <v>43063</v>
      </c>
      <c r="B1002" s="137">
        <v>85.8</v>
      </c>
      <c r="C1002" s="133"/>
      <c r="D1002" s="50">
        <f t="shared" si="15"/>
        <v>-1.0478519035976852E-3</v>
      </c>
      <c r="E1002" s="49"/>
    </row>
    <row r="1003" spans="1:5" ht="14.4">
      <c r="A1003" s="136">
        <v>43062</v>
      </c>
      <c r="B1003" s="137">
        <v>85.89</v>
      </c>
      <c r="C1003" s="133"/>
      <c r="D1003" s="50">
        <f t="shared" si="15"/>
        <v>6.5627563576702297E-3</v>
      </c>
      <c r="E1003" s="49"/>
    </row>
    <row r="1004" spans="1:5" ht="14.4">
      <c r="A1004" s="136">
        <v>43061</v>
      </c>
      <c r="B1004" s="137">
        <v>85.33</v>
      </c>
      <c r="C1004" s="133"/>
      <c r="D1004" s="50">
        <f t="shared" si="15"/>
        <v>-8.0213903743314718E-3</v>
      </c>
      <c r="E1004" s="49"/>
    </row>
    <row r="1005" spans="1:5" ht="14.4">
      <c r="A1005" s="136">
        <v>43060</v>
      </c>
      <c r="B1005" s="137">
        <v>86.02</v>
      </c>
      <c r="C1005" s="133"/>
      <c r="D1005" s="50">
        <f t="shared" si="15"/>
        <v>9.6244131455398563E-3</v>
      </c>
      <c r="E1005" s="49"/>
    </row>
    <row r="1006" spans="1:5" ht="14.4">
      <c r="A1006" s="136">
        <v>43059</v>
      </c>
      <c r="B1006" s="137">
        <v>85.2</v>
      </c>
      <c r="C1006" s="133"/>
      <c r="D1006" s="50">
        <f t="shared" si="15"/>
        <v>3.7700282752122227E-3</v>
      </c>
      <c r="E1006" s="49"/>
    </row>
    <row r="1007" spans="1:5" ht="14.4">
      <c r="A1007" s="136">
        <v>43056</v>
      </c>
      <c r="B1007" s="137">
        <v>84.88</v>
      </c>
      <c r="C1007" s="133"/>
      <c r="D1007" s="50">
        <f t="shared" si="15"/>
        <v>-7.1353374663702951E-3</v>
      </c>
      <c r="E1007" s="49"/>
    </row>
    <row r="1008" spans="1:5" ht="14.4">
      <c r="A1008" s="136">
        <v>43055</v>
      </c>
      <c r="B1008" s="137">
        <v>85.49</v>
      </c>
      <c r="C1008" s="133"/>
      <c r="D1008" s="50">
        <f t="shared" si="15"/>
        <v>-1.1695906432751535E-4</v>
      </c>
      <c r="E1008" s="49"/>
    </row>
    <row r="1009" spans="1:5" ht="14.4">
      <c r="A1009" s="136">
        <v>43054</v>
      </c>
      <c r="B1009" s="137">
        <v>85.5</v>
      </c>
      <c r="C1009" s="133"/>
      <c r="D1009" s="50">
        <f t="shared" si="15"/>
        <v>2.3461814699545114E-2</v>
      </c>
      <c r="E1009" s="49"/>
    </row>
    <row r="1010" spans="1:5" ht="14.4">
      <c r="A1010" s="136">
        <v>43053</v>
      </c>
      <c r="B1010" s="137">
        <v>83.54</v>
      </c>
      <c r="C1010" s="133"/>
      <c r="D1010" s="50">
        <f t="shared" si="15"/>
        <v>3.4834834834835959E-3</v>
      </c>
      <c r="E1010" s="49"/>
    </row>
    <row r="1011" spans="1:5" ht="14.4">
      <c r="A1011" s="136">
        <v>43052</v>
      </c>
      <c r="B1011" s="137">
        <v>83.25</v>
      </c>
      <c r="C1011" s="133"/>
      <c r="D1011" s="50">
        <f t="shared" si="15"/>
        <v>-5.6139512661251834E-3</v>
      </c>
      <c r="E1011" s="49"/>
    </row>
    <row r="1012" spans="1:5" ht="14.4">
      <c r="A1012" s="136">
        <v>43049</v>
      </c>
      <c r="B1012" s="137">
        <v>83.72</v>
      </c>
      <c r="C1012" s="133"/>
      <c r="D1012" s="50">
        <f t="shared" si="15"/>
        <v>-4.1631973355535923E-3</v>
      </c>
      <c r="E1012" s="49"/>
    </row>
    <row r="1013" spans="1:5" ht="14.4">
      <c r="A1013" s="136">
        <v>43048</v>
      </c>
      <c r="B1013" s="137">
        <v>84.07</v>
      </c>
      <c r="C1013" s="133"/>
      <c r="D1013" s="50">
        <f t="shared" si="15"/>
        <v>-1.6264919260472799E-2</v>
      </c>
      <c r="E1013" s="49"/>
    </row>
    <row r="1014" spans="1:5" ht="14.4">
      <c r="A1014" s="136">
        <v>43047</v>
      </c>
      <c r="B1014" s="137">
        <v>85.46</v>
      </c>
      <c r="C1014" s="133"/>
      <c r="D1014" s="50">
        <f t="shared" si="15"/>
        <v>-1.0879629629629739E-2</v>
      </c>
      <c r="E1014" s="49"/>
    </row>
    <row r="1015" spans="1:5" ht="14.4">
      <c r="A1015" s="136">
        <v>43046</v>
      </c>
      <c r="B1015" s="137">
        <v>86.4</v>
      </c>
      <c r="C1015" s="133"/>
      <c r="D1015" s="50">
        <f t="shared" si="15"/>
        <v>-2.5398291387670469E-3</v>
      </c>
      <c r="E1015" s="49"/>
    </row>
    <row r="1016" spans="1:5" ht="14.4">
      <c r="A1016" s="136">
        <v>43045</v>
      </c>
      <c r="B1016" s="137">
        <v>86.62</v>
      </c>
      <c r="C1016" s="133"/>
      <c r="D1016" s="50">
        <f t="shared" si="15"/>
        <v>-6.3095101525754149E-3</v>
      </c>
      <c r="E1016" s="49"/>
    </row>
    <row r="1017" spans="1:5" ht="14.4">
      <c r="A1017" s="136">
        <v>43042</v>
      </c>
      <c r="B1017" s="137">
        <v>87.17</v>
      </c>
      <c r="C1017" s="133"/>
      <c r="D1017" s="50">
        <f t="shared" si="15"/>
        <v>8.7952783242681853E-3</v>
      </c>
      <c r="E1017" s="49"/>
    </row>
    <row r="1018" spans="1:5" ht="14.4">
      <c r="A1018" s="136">
        <v>43041</v>
      </c>
      <c r="B1018" s="137">
        <v>86.41</v>
      </c>
      <c r="C1018" s="133"/>
      <c r="D1018" s="50">
        <f t="shared" si="15"/>
        <v>-1.1100938429846607E-2</v>
      </c>
      <c r="E1018" s="49"/>
    </row>
    <row r="1019" spans="1:5" ht="14.4">
      <c r="A1019" s="136">
        <v>43040</v>
      </c>
      <c r="B1019" s="137">
        <v>87.38</v>
      </c>
      <c r="C1019" s="133"/>
      <c r="D1019" s="50">
        <f t="shared" si="15"/>
        <v>-4.2165242165242978E-3</v>
      </c>
      <c r="E1019" s="49"/>
    </row>
    <row r="1020" spans="1:5" ht="14.4">
      <c r="A1020" s="136">
        <v>43039</v>
      </c>
      <c r="B1020" s="137">
        <v>87.75</v>
      </c>
      <c r="C1020" s="133"/>
      <c r="D1020" s="50">
        <f t="shared" si="15"/>
        <v>3.5887144374926239E-2</v>
      </c>
      <c r="E1020" s="49"/>
    </row>
    <row r="1021" spans="1:5" ht="14.4">
      <c r="A1021" s="136">
        <v>43038</v>
      </c>
      <c r="B1021" s="137">
        <v>84.71</v>
      </c>
      <c r="C1021" s="133"/>
      <c r="D1021" s="50">
        <f t="shared" si="15"/>
        <v>-2.1372458410351292E-2</v>
      </c>
      <c r="E1021" s="49"/>
    </row>
    <row r="1022" spans="1:5" ht="14.4">
      <c r="A1022" s="136">
        <v>43035</v>
      </c>
      <c r="B1022" s="137">
        <v>86.56</v>
      </c>
      <c r="C1022" s="133"/>
      <c r="D1022" s="50">
        <f t="shared" si="15"/>
        <v>8.7402400652605294E-3</v>
      </c>
      <c r="E1022" s="49"/>
    </row>
    <row r="1023" spans="1:5" ht="14.4">
      <c r="A1023" s="136">
        <v>43034</v>
      </c>
      <c r="B1023" s="137">
        <v>85.81</v>
      </c>
      <c r="C1023" s="133"/>
      <c r="D1023" s="50">
        <f t="shared" si="15"/>
        <v>2.8034024200311425E-2</v>
      </c>
      <c r="E1023" s="49"/>
    </row>
    <row r="1024" spans="1:5" ht="14.4">
      <c r="A1024" s="136">
        <v>43033</v>
      </c>
      <c r="B1024" s="137">
        <v>83.47</v>
      </c>
      <c r="C1024" s="133"/>
      <c r="D1024" s="50">
        <f t="shared" si="15"/>
        <v>2.6426426426426897E-3</v>
      </c>
      <c r="E1024" s="49"/>
    </row>
    <row r="1025" spans="1:5" ht="14.4">
      <c r="A1025" s="136">
        <v>43032</v>
      </c>
      <c r="B1025" s="137">
        <v>83.25</v>
      </c>
      <c r="C1025" s="133"/>
      <c r="D1025" s="50">
        <f t="shared" si="15"/>
        <v>2.4111206790503159E-2</v>
      </c>
      <c r="E1025" s="49"/>
    </row>
    <row r="1026" spans="1:5" ht="14.4">
      <c r="A1026" s="136">
        <v>43031</v>
      </c>
      <c r="B1026" s="137">
        <v>81.290000000000006</v>
      </c>
      <c r="C1026" s="133"/>
      <c r="D1026" s="50">
        <f t="shared" si="15"/>
        <v>7.0614469772052324E-3</v>
      </c>
      <c r="E1026" s="49"/>
    </row>
    <row r="1027" spans="1:5" ht="14.4">
      <c r="A1027" s="136">
        <v>43028</v>
      </c>
      <c r="B1027" s="137">
        <v>80.72</v>
      </c>
      <c r="C1027" s="133"/>
      <c r="D1027" s="50">
        <f t="shared" si="15"/>
        <v>0</v>
      </c>
      <c r="E1027" s="49"/>
    </row>
    <row r="1028" spans="1:5" ht="14.4">
      <c r="A1028" s="136">
        <v>43027</v>
      </c>
      <c r="B1028" s="137">
        <v>80.72</v>
      </c>
      <c r="C1028" s="133"/>
      <c r="D1028" s="50">
        <f t="shared" si="15"/>
        <v>-5.1762385999507554E-3</v>
      </c>
      <c r="E1028" s="49"/>
    </row>
    <row r="1029" spans="1:5" ht="14.4">
      <c r="A1029" s="136">
        <v>43026</v>
      </c>
      <c r="B1029" s="137">
        <v>81.14</v>
      </c>
      <c r="C1029" s="133"/>
      <c r="D1029" s="50">
        <f t="shared" si="15"/>
        <v>4.3322193340760151E-3</v>
      </c>
      <c r="E1029" s="49"/>
    </row>
    <row r="1030" spans="1:5" ht="14.4">
      <c r="A1030" s="136">
        <v>43025</v>
      </c>
      <c r="B1030" s="137">
        <v>80.790000000000006</v>
      </c>
      <c r="C1030" s="133"/>
      <c r="D1030" s="50">
        <f t="shared" si="15"/>
        <v>4.8267808485792374E-2</v>
      </c>
      <c r="E1030" s="49"/>
    </row>
    <row r="1031" spans="1:5" ht="14.4">
      <c r="A1031" s="136">
        <v>43024</v>
      </c>
      <c r="B1031" s="137">
        <v>77.069999999999993</v>
      </c>
      <c r="C1031" s="133"/>
      <c r="D1031" s="50">
        <f t="shared" si="15"/>
        <v>-1.6839378238343583E-3</v>
      </c>
      <c r="E1031" s="49"/>
    </row>
    <row r="1032" spans="1:5" ht="14.4">
      <c r="A1032" s="136">
        <v>43021</v>
      </c>
      <c r="B1032" s="137">
        <v>77.2</v>
      </c>
      <c r="C1032" s="133"/>
      <c r="D1032" s="50">
        <f t="shared" ref="D1032:D1095" si="16">(B1032-C1032)/B1033-1</f>
        <v>-1.2282497441146289E-2</v>
      </c>
      <c r="E1032" s="49"/>
    </row>
    <row r="1033" spans="1:5" ht="14.4">
      <c r="A1033" s="136">
        <v>43020</v>
      </c>
      <c r="B1033" s="137">
        <v>78.16</v>
      </c>
      <c r="C1033" s="133"/>
      <c r="D1033" s="50">
        <f t="shared" si="16"/>
        <v>2.1797666367482371E-3</v>
      </c>
      <c r="E1033" s="49"/>
    </row>
    <row r="1034" spans="1:5" ht="14.4">
      <c r="A1034" s="136">
        <v>43019</v>
      </c>
      <c r="B1034" s="137">
        <v>77.989999999999995</v>
      </c>
      <c r="C1034" s="133"/>
      <c r="D1034" s="50">
        <f t="shared" si="16"/>
        <v>-1.0781329274480056E-2</v>
      </c>
      <c r="E1034" s="49"/>
    </row>
    <row r="1035" spans="1:5" ht="14.4">
      <c r="A1035" s="136">
        <v>43018</v>
      </c>
      <c r="B1035" s="137">
        <v>78.84</v>
      </c>
      <c r="C1035" s="133"/>
      <c r="D1035" s="50">
        <f t="shared" si="16"/>
        <v>-7.5528700906343227E-3</v>
      </c>
      <c r="E1035" s="49"/>
    </row>
    <row r="1036" spans="1:5" ht="14.4">
      <c r="A1036" s="136">
        <v>43017</v>
      </c>
      <c r="B1036" s="137">
        <v>79.44</v>
      </c>
      <c r="C1036" s="133"/>
      <c r="D1036" s="50">
        <f t="shared" si="16"/>
        <v>-2.2517534145441109E-2</v>
      </c>
      <c r="E1036" s="49"/>
    </row>
    <row r="1037" spans="1:5" ht="14.4">
      <c r="A1037" s="136">
        <v>43014</v>
      </c>
      <c r="B1037" s="137">
        <v>81.27</v>
      </c>
      <c r="C1037" s="133"/>
      <c r="D1037" s="50">
        <f t="shared" si="16"/>
        <v>-6.4792176039120131E-3</v>
      </c>
      <c r="E1037" s="49"/>
    </row>
    <row r="1038" spans="1:5" ht="14.4">
      <c r="A1038" s="136">
        <v>43013</v>
      </c>
      <c r="B1038" s="137">
        <v>81.8</v>
      </c>
      <c r="C1038" s="133"/>
      <c r="D1038" s="50">
        <f t="shared" si="16"/>
        <v>-4.1392744095447576E-3</v>
      </c>
      <c r="E1038" s="49"/>
    </row>
    <row r="1039" spans="1:5" ht="14.4">
      <c r="A1039" s="136">
        <v>43012</v>
      </c>
      <c r="B1039" s="137">
        <v>82.14</v>
      </c>
      <c r="C1039" s="133"/>
      <c r="D1039" s="50">
        <f t="shared" si="16"/>
        <v>6.12444879960794E-3</v>
      </c>
      <c r="E1039" s="49"/>
    </row>
    <row r="1040" spans="1:5" ht="14.4">
      <c r="A1040" s="136">
        <v>43011</v>
      </c>
      <c r="B1040" s="137">
        <v>81.64</v>
      </c>
      <c r="C1040" s="133"/>
      <c r="D1040" s="50">
        <f t="shared" si="16"/>
        <v>1.2903225806451646E-2</v>
      </c>
      <c r="E1040" s="49"/>
    </row>
    <row r="1041" spans="1:5" ht="14.4">
      <c r="A1041" s="136">
        <v>43010</v>
      </c>
      <c r="B1041" s="137">
        <v>80.599999999999994</v>
      </c>
      <c r="C1041" s="133"/>
      <c r="D1041" s="50">
        <f t="shared" si="16"/>
        <v>2.3628901877874586E-3</v>
      </c>
      <c r="E1041" s="49"/>
    </row>
    <row r="1042" spans="1:5" ht="14.4">
      <c r="A1042" s="136">
        <v>43007</v>
      </c>
      <c r="B1042" s="137">
        <v>80.41</v>
      </c>
      <c r="C1042" s="133"/>
      <c r="D1042" s="50">
        <f t="shared" si="16"/>
        <v>5.1250000000000462E-3</v>
      </c>
      <c r="E1042" s="49"/>
    </row>
    <row r="1043" spans="1:5" ht="14.4">
      <c r="A1043" s="136">
        <v>43006</v>
      </c>
      <c r="B1043" s="137">
        <v>80</v>
      </c>
      <c r="C1043" s="133"/>
      <c r="D1043" s="50">
        <f t="shared" si="16"/>
        <v>-4.6037078511883545E-3</v>
      </c>
      <c r="E1043" s="49"/>
    </row>
    <row r="1044" spans="1:5" ht="14.4">
      <c r="A1044" s="136">
        <v>43005</v>
      </c>
      <c r="B1044" s="137">
        <v>80.37</v>
      </c>
      <c r="C1044" s="133"/>
      <c r="D1044" s="50">
        <f t="shared" si="16"/>
        <v>2.0182787509520184E-2</v>
      </c>
      <c r="E1044" s="49"/>
    </row>
    <row r="1045" spans="1:5" ht="14.4">
      <c r="A1045" s="136">
        <v>43004</v>
      </c>
      <c r="B1045" s="137">
        <v>78.78</v>
      </c>
      <c r="C1045" s="133"/>
      <c r="D1045" s="50">
        <f t="shared" si="16"/>
        <v>1.2076053442959811E-2</v>
      </c>
      <c r="E1045" s="49"/>
    </row>
    <row r="1046" spans="1:5" ht="14.4">
      <c r="A1046" s="136">
        <v>43003</v>
      </c>
      <c r="B1046" s="137">
        <v>77.84</v>
      </c>
      <c r="C1046" s="133"/>
      <c r="D1046" s="50">
        <f t="shared" si="16"/>
        <v>6.4649599172486027E-3</v>
      </c>
      <c r="E1046" s="49"/>
    </row>
    <row r="1047" spans="1:5" ht="14.4">
      <c r="A1047" s="136">
        <v>43000</v>
      </c>
      <c r="B1047" s="137">
        <v>77.34</v>
      </c>
      <c r="C1047" s="133"/>
      <c r="D1047" s="50">
        <f t="shared" si="16"/>
        <v>-2.8365136668385693E-3</v>
      </c>
      <c r="E1047" s="49"/>
    </row>
    <row r="1048" spans="1:5" ht="14.4">
      <c r="A1048" s="136">
        <v>42999</v>
      </c>
      <c r="B1048" s="137">
        <v>77.56</v>
      </c>
      <c r="C1048" s="133"/>
      <c r="D1048" s="50">
        <f t="shared" si="16"/>
        <v>3.9817669928944976E-2</v>
      </c>
      <c r="E1048" s="49"/>
    </row>
    <row r="1049" spans="1:5" ht="14.4">
      <c r="A1049" s="136">
        <v>42998</v>
      </c>
      <c r="B1049" s="137">
        <v>74.59</v>
      </c>
      <c r="C1049" s="133"/>
      <c r="D1049" s="50">
        <f t="shared" si="16"/>
        <v>7.972972972972947E-3</v>
      </c>
      <c r="E1049" s="49"/>
    </row>
    <row r="1050" spans="1:5" ht="14.4">
      <c r="A1050" s="136">
        <v>42997</v>
      </c>
      <c r="B1050" s="137">
        <v>74</v>
      </c>
      <c r="C1050" s="133"/>
      <c r="D1050" s="50">
        <f t="shared" si="16"/>
        <v>5.4347826086957873E-3</v>
      </c>
      <c r="E1050" s="49"/>
    </row>
    <row r="1051" spans="1:5" ht="14.4">
      <c r="A1051" s="136">
        <v>42996</v>
      </c>
      <c r="B1051" s="137">
        <v>73.599999999999994</v>
      </c>
      <c r="C1051" s="133"/>
      <c r="D1051" s="50">
        <f t="shared" si="16"/>
        <v>2.2222222222222143E-2</v>
      </c>
      <c r="E1051" s="49"/>
    </row>
    <row r="1052" spans="1:5" ht="14.4">
      <c r="A1052" s="136">
        <v>42993</v>
      </c>
      <c r="B1052" s="137">
        <v>72</v>
      </c>
      <c r="C1052" s="133"/>
      <c r="D1052" s="50">
        <f t="shared" si="16"/>
        <v>1.294316263365225E-2</v>
      </c>
      <c r="E1052" s="49"/>
    </row>
    <row r="1053" spans="1:5" ht="14.4">
      <c r="A1053" s="136">
        <v>42992</v>
      </c>
      <c r="B1053" s="137">
        <v>71.08</v>
      </c>
      <c r="C1053" s="133"/>
      <c r="D1053" s="50">
        <f t="shared" si="16"/>
        <v>1.8322762508808932E-3</v>
      </c>
      <c r="E1053" s="49"/>
    </row>
    <row r="1054" spans="1:5" ht="14.4">
      <c r="A1054" s="136">
        <v>42991</v>
      </c>
      <c r="B1054" s="137">
        <v>70.95</v>
      </c>
      <c r="C1054" s="133"/>
      <c r="D1054" s="50">
        <f t="shared" si="16"/>
        <v>3.9620772605066801E-3</v>
      </c>
      <c r="E1054" s="49"/>
    </row>
    <row r="1055" spans="1:5" ht="14.4">
      <c r="A1055" s="136">
        <v>42990</v>
      </c>
      <c r="B1055" s="137">
        <v>70.67</v>
      </c>
      <c r="C1055" s="133"/>
      <c r="D1055" s="50">
        <f t="shared" si="16"/>
        <v>-2.1180457497880223E-3</v>
      </c>
      <c r="E1055" s="49"/>
    </row>
    <row r="1056" spans="1:5" ht="14.4">
      <c r="A1056" s="136">
        <v>42989</v>
      </c>
      <c r="B1056" s="137">
        <v>70.819999999999993</v>
      </c>
      <c r="C1056" s="133"/>
      <c r="D1056" s="50">
        <f t="shared" si="16"/>
        <v>4.5390070921984549E-3</v>
      </c>
      <c r="E1056" s="49"/>
    </row>
    <row r="1057" spans="1:5" ht="14.4">
      <c r="A1057" s="136">
        <v>42986</v>
      </c>
      <c r="B1057" s="137">
        <v>70.5</v>
      </c>
      <c r="C1057" s="133"/>
      <c r="D1057" s="50">
        <f t="shared" si="16"/>
        <v>9.9389464716725939E-4</v>
      </c>
      <c r="E1057" s="49"/>
    </row>
    <row r="1058" spans="1:5" ht="14.4">
      <c r="A1058" s="136">
        <v>42985</v>
      </c>
      <c r="B1058" s="137">
        <v>70.430000000000007</v>
      </c>
      <c r="C1058" s="133"/>
      <c r="D1058" s="50">
        <f t="shared" si="16"/>
        <v>-1.3723568127713026E-2</v>
      </c>
      <c r="E1058" s="49"/>
    </row>
    <row r="1059" spans="1:5" ht="14.4">
      <c r="A1059" s="136">
        <v>42984</v>
      </c>
      <c r="B1059" s="137">
        <v>71.41</v>
      </c>
      <c r="C1059" s="133"/>
      <c r="D1059" s="50">
        <f t="shared" si="16"/>
        <v>2.3862998315553607E-3</v>
      </c>
      <c r="E1059" s="49"/>
    </row>
    <row r="1060" spans="1:5" ht="14.4">
      <c r="A1060" s="136">
        <v>42983</v>
      </c>
      <c r="B1060" s="137">
        <v>71.239999999999995</v>
      </c>
      <c r="C1060" s="133"/>
      <c r="D1060" s="50">
        <f t="shared" si="16"/>
        <v>2.1100014066675055E-3</v>
      </c>
      <c r="E1060" s="49"/>
    </row>
    <row r="1061" spans="1:5" ht="14.4">
      <c r="A1061" s="136">
        <v>42982</v>
      </c>
      <c r="B1061" s="137">
        <v>71.09</v>
      </c>
      <c r="C1061" s="133"/>
      <c r="D1061" s="50">
        <f t="shared" si="16"/>
        <v>-2.9453015427769458E-3</v>
      </c>
      <c r="E1061" s="49"/>
    </row>
    <row r="1062" spans="1:5" ht="14.4">
      <c r="A1062" s="136">
        <v>42979</v>
      </c>
      <c r="B1062" s="137">
        <v>71.3</v>
      </c>
      <c r="C1062" s="133"/>
      <c r="D1062" s="50">
        <f t="shared" si="16"/>
        <v>9.7719869706840434E-3</v>
      </c>
      <c r="E1062" s="49"/>
    </row>
    <row r="1063" spans="1:5" ht="14.4">
      <c r="A1063" s="136">
        <v>42978</v>
      </c>
      <c r="B1063" s="137">
        <v>70.61</v>
      </c>
      <c r="C1063" s="133"/>
      <c r="D1063" s="50">
        <f t="shared" si="16"/>
        <v>1.1459676264145457E-2</v>
      </c>
      <c r="E1063" s="49"/>
    </row>
    <row r="1064" spans="1:5" ht="14.4">
      <c r="A1064" s="136">
        <v>42977</v>
      </c>
      <c r="B1064" s="137">
        <v>69.81</v>
      </c>
      <c r="C1064" s="133"/>
      <c r="D1064" s="50">
        <f t="shared" si="16"/>
        <v>1.5861466821885939E-2</v>
      </c>
      <c r="E1064" s="49"/>
    </row>
    <row r="1065" spans="1:5" ht="14.4">
      <c r="A1065" s="136">
        <v>42976</v>
      </c>
      <c r="B1065" s="137">
        <v>68.72</v>
      </c>
      <c r="C1065" s="133"/>
      <c r="D1065" s="50">
        <f t="shared" si="16"/>
        <v>-2.0664101467863794E-2</v>
      </c>
      <c r="E1065" s="49"/>
    </row>
    <row r="1066" spans="1:5" ht="14.4">
      <c r="A1066" s="136">
        <v>42975</v>
      </c>
      <c r="B1066" s="137">
        <v>70.17</v>
      </c>
      <c r="C1066" s="133"/>
      <c r="D1066" s="50">
        <f t="shared" si="16"/>
        <v>-9.7375105842506526E-3</v>
      </c>
      <c r="E1066" s="49"/>
    </row>
    <row r="1067" spans="1:5" ht="14.4">
      <c r="A1067" s="136">
        <v>42972</v>
      </c>
      <c r="B1067" s="137">
        <v>70.86</v>
      </c>
      <c r="C1067" s="133"/>
      <c r="D1067" s="50">
        <f t="shared" si="16"/>
        <v>6.9631945431289921E-3</v>
      </c>
      <c r="E1067" s="49"/>
    </row>
    <row r="1068" spans="1:5" ht="14.4">
      <c r="A1068" s="136">
        <v>42971</v>
      </c>
      <c r="B1068" s="137">
        <v>70.37</v>
      </c>
      <c r="C1068" s="133"/>
      <c r="D1068" s="50">
        <f t="shared" si="16"/>
        <v>-6.2138116085298511E-3</v>
      </c>
      <c r="E1068" s="49"/>
    </row>
    <row r="1069" spans="1:5" ht="14.4">
      <c r="A1069" s="136">
        <v>42970</v>
      </c>
      <c r="B1069" s="137">
        <v>70.81</v>
      </c>
      <c r="C1069" s="133"/>
      <c r="D1069" s="50">
        <f t="shared" si="16"/>
        <v>-6.1754385964911673E-3</v>
      </c>
      <c r="E1069" s="49"/>
    </row>
    <row r="1070" spans="1:5" ht="14.4">
      <c r="A1070" s="136">
        <v>42969</v>
      </c>
      <c r="B1070" s="137">
        <v>71.25</v>
      </c>
      <c r="C1070" s="133"/>
      <c r="D1070" s="50">
        <f t="shared" si="16"/>
        <v>5.7876905702991532E-3</v>
      </c>
      <c r="E1070" s="49"/>
    </row>
    <row r="1071" spans="1:5" ht="14.4">
      <c r="A1071" s="136">
        <v>42968</v>
      </c>
      <c r="B1071" s="137">
        <v>70.84</v>
      </c>
      <c r="C1071" s="133"/>
      <c r="D1071" s="50">
        <f t="shared" si="16"/>
        <v>-9.2307692307691536E-3</v>
      </c>
      <c r="E1071" s="49"/>
    </row>
    <row r="1072" spans="1:5" ht="14.4">
      <c r="A1072" s="136">
        <v>42965</v>
      </c>
      <c r="B1072" s="137">
        <v>71.5</v>
      </c>
      <c r="C1072" s="133"/>
      <c r="D1072" s="50">
        <f t="shared" si="16"/>
        <v>-9.5581105416262524E-3</v>
      </c>
      <c r="E1072" s="49"/>
    </row>
    <row r="1073" spans="1:5" ht="14.4">
      <c r="A1073" s="136">
        <v>42964</v>
      </c>
      <c r="B1073" s="137">
        <v>72.19</v>
      </c>
      <c r="C1073" s="133"/>
      <c r="D1073" s="50">
        <f t="shared" si="16"/>
        <v>-9.4676180021953105E-3</v>
      </c>
      <c r="E1073" s="49"/>
    </row>
    <row r="1074" spans="1:5" ht="14.4">
      <c r="A1074" s="136">
        <v>42963</v>
      </c>
      <c r="B1074" s="137">
        <v>72.88</v>
      </c>
      <c r="C1074" s="133"/>
      <c r="D1074" s="50">
        <f t="shared" si="16"/>
        <v>7.4647497926456641E-3</v>
      </c>
      <c r="E1074" s="49"/>
    </row>
    <row r="1075" spans="1:5" ht="14.4">
      <c r="A1075" s="136">
        <v>42962</v>
      </c>
      <c r="B1075" s="137">
        <v>72.34</v>
      </c>
      <c r="C1075" s="133"/>
      <c r="D1075" s="50">
        <f t="shared" si="16"/>
        <v>8.6447295036253813E-3</v>
      </c>
      <c r="E1075" s="49"/>
    </row>
    <row r="1076" spans="1:5" ht="14.4">
      <c r="A1076" s="136">
        <v>42961</v>
      </c>
      <c r="B1076" s="137">
        <v>71.72</v>
      </c>
      <c r="C1076" s="133"/>
      <c r="D1076" s="50">
        <f t="shared" si="16"/>
        <v>1.3710247349823401E-2</v>
      </c>
      <c r="E1076" s="49"/>
    </row>
    <row r="1077" spans="1:5" ht="14.4">
      <c r="A1077" s="136">
        <v>42958</v>
      </c>
      <c r="B1077" s="137">
        <v>70.75</v>
      </c>
      <c r="C1077" s="133"/>
      <c r="D1077" s="50">
        <f t="shared" si="16"/>
        <v>-3.5211267605633756E-3</v>
      </c>
      <c r="E1077" s="49"/>
    </row>
    <row r="1078" spans="1:5" ht="14.4">
      <c r="A1078" s="136">
        <v>42957</v>
      </c>
      <c r="B1078" s="137">
        <v>71</v>
      </c>
      <c r="C1078" s="133"/>
      <c r="D1078" s="50">
        <f t="shared" si="16"/>
        <v>-6.8541054692963232E-3</v>
      </c>
      <c r="E1078" s="49"/>
    </row>
    <row r="1079" spans="1:5" ht="14.4">
      <c r="A1079" s="136">
        <v>42956</v>
      </c>
      <c r="B1079" s="137">
        <v>71.489999999999995</v>
      </c>
      <c r="C1079" s="133"/>
      <c r="D1079" s="50">
        <f t="shared" si="16"/>
        <v>-8.597975315490336E-3</v>
      </c>
      <c r="E1079" s="49"/>
    </row>
    <row r="1080" spans="1:5" ht="14.4">
      <c r="A1080" s="136">
        <v>42955</v>
      </c>
      <c r="B1080" s="137">
        <v>72.11</v>
      </c>
      <c r="C1080" s="133"/>
      <c r="D1080" s="50">
        <f t="shared" si="16"/>
        <v>-4.4180588154081324E-3</v>
      </c>
      <c r="E1080" s="49"/>
    </row>
    <row r="1081" spans="1:5" ht="14.4">
      <c r="A1081" s="136">
        <v>42954</v>
      </c>
      <c r="B1081" s="137">
        <v>72.430000000000007</v>
      </c>
      <c r="C1081" s="133"/>
      <c r="D1081" s="50">
        <f t="shared" si="16"/>
        <v>-1.2138570649208758E-2</v>
      </c>
      <c r="E1081" s="49"/>
    </row>
    <row r="1082" spans="1:5" ht="14.4">
      <c r="A1082" s="136">
        <v>42951</v>
      </c>
      <c r="B1082" s="137">
        <v>73.319999999999993</v>
      </c>
      <c r="C1082" s="133"/>
      <c r="D1082" s="50">
        <f t="shared" si="16"/>
        <v>2.8619528619528545E-2</v>
      </c>
      <c r="E1082" s="49"/>
    </row>
    <row r="1083" spans="1:5" ht="14.4">
      <c r="A1083" s="136">
        <v>42950</v>
      </c>
      <c r="B1083" s="137">
        <v>71.28</v>
      </c>
      <c r="C1083" s="133"/>
      <c r="D1083" s="50">
        <f t="shared" si="16"/>
        <v>3.8022813688212143E-3</v>
      </c>
      <c r="E1083" s="49"/>
    </row>
    <row r="1084" spans="1:5" ht="14.4">
      <c r="A1084" s="136">
        <v>42949</v>
      </c>
      <c r="B1084" s="137">
        <v>71.010000000000005</v>
      </c>
      <c r="C1084" s="133"/>
      <c r="D1084" s="50">
        <f t="shared" si="16"/>
        <v>-1.4160766347355191E-2</v>
      </c>
      <c r="E1084" s="49"/>
    </row>
    <row r="1085" spans="1:5" ht="14.4">
      <c r="A1085" s="136">
        <v>42948</v>
      </c>
      <c r="B1085" s="137">
        <v>72.03</v>
      </c>
      <c r="C1085" s="133"/>
      <c r="D1085" s="50">
        <f t="shared" si="16"/>
        <v>2.0254957507082283E-2</v>
      </c>
      <c r="E1085" s="49"/>
    </row>
    <row r="1086" spans="1:5" ht="14.4">
      <c r="A1086" s="136">
        <v>42947</v>
      </c>
      <c r="B1086" s="137">
        <v>70.599999999999994</v>
      </c>
      <c r="C1086" s="133"/>
      <c r="D1086" s="50">
        <f t="shared" si="16"/>
        <v>-2.4592428847748038E-2</v>
      </c>
      <c r="E1086" s="49"/>
    </row>
    <row r="1087" spans="1:5" ht="14.4">
      <c r="A1087" s="136">
        <v>42944</v>
      </c>
      <c r="B1087" s="137">
        <v>72.38</v>
      </c>
      <c r="C1087" s="133"/>
      <c r="D1087" s="50">
        <f t="shared" si="16"/>
        <v>1.5220700152207556E-3</v>
      </c>
      <c r="E1087" s="49"/>
    </row>
    <row r="1088" spans="1:5" ht="14.4">
      <c r="A1088" s="136">
        <v>42943</v>
      </c>
      <c r="B1088" s="137">
        <v>72.27</v>
      </c>
      <c r="C1088" s="133"/>
      <c r="D1088" s="50">
        <f t="shared" si="16"/>
        <v>-3.1882116543871519E-2</v>
      </c>
      <c r="E1088" s="49"/>
    </row>
    <row r="1089" spans="1:5" ht="14.4">
      <c r="A1089" s="136">
        <v>42942</v>
      </c>
      <c r="B1089" s="137">
        <v>74.650000000000006</v>
      </c>
      <c r="C1089" s="133"/>
      <c r="D1089" s="50">
        <f t="shared" si="16"/>
        <v>2.7812198815916345E-2</v>
      </c>
      <c r="E1089" s="49"/>
    </row>
    <row r="1090" spans="1:5" ht="14.4">
      <c r="A1090" s="136">
        <v>42941</v>
      </c>
      <c r="B1090" s="137">
        <v>72.63</v>
      </c>
      <c r="C1090" s="133"/>
      <c r="D1090" s="50">
        <f t="shared" si="16"/>
        <v>1.396063102052203E-2</v>
      </c>
      <c r="E1090" s="49"/>
    </row>
    <row r="1091" spans="1:5" ht="14.4">
      <c r="A1091" s="136">
        <v>42940</v>
      </c>
      <c r="B1091" s="137">
        <v>71.63</v>
      </c>
      <c r="C1091" s="133"/>
      <c r="D1091" s="50">
        <f t="shared" si="16"/>
        <v>3.6429872495444826E-3</v>
      </c>
      <c r="E1091" s="49"/>
    </row>
    <row r="1092" spans="1:5" ht="14.4">
      <c r="A1092" s="136">
        <v>42937</v>
      </c>
      <c r="B1092" s="137">
        <v>71.37</v>
      </c>
      <c r="C1092" s="133"/>
      <c r="D1092" s="50">
        <f t="shared" si="16"/>
        <v>-1.3681592039800905E-2</v>
      </c>
      <c r="E1092" s="49"/>
    </row>
    <row r="1093" spans="1:5" ht="14.4">
      <c r="A1093" s="136">
        <v>42936</v>
      </c>
      <c r="B1093" s="137">
        <v>72.36</v>
      </c>
      <c r="C1093" s="133"/>
      <c r="D1093" s="50">
        <f t="shared" si="16"/>
        <v>-1.8048581897136651E-2</v>
      </c>
      <c r="E1093" s="49"/>
    </row>
    <row r="1094" spans="1:5" ht="14.4">
      <c r="A1094" s="136">
        <v>42935</v>
      </c>
      <c r="B1094" s="137">
        <v>73.69</v>
      </c>
      <c r="C1094" s="133"/>
      <c r="D1094" s="50">
        <f t="shared" si="16"/>
        <v>1.697488269390024E-2</v>
      </c>
      <c r="E1094" s="49"/>
    </row>
    <row r="1095" spans="1:5" ht="14.4">
      <c r="A1095" s="136">
        <v>42934</v>
      </c>
      <c r="B1095" s="137">
        <v>72.459999999999994</v>
      </c>
      <c r="C1095" s="133"/>
      <c r="D1095" s="50">
        <f t="shared" si="16"/>
        <v>-1.6023900054318418E-2</v>
      </c>
      <c r="E1095" s="49"/>
    </row>
    <row r="1096" spans="1:5" ht="14.4">
      <c r="A1096" s="136">
        <v>42933</v>
      </c>
      <c r="B1096" s="137">
        <v>73.64</v>
      </c>
      <c r="C1096" s="133"/>
      <c r="D1096" s="50">
        <f t="shared" ref="D1096:D1159" si="17">(B1096-C1096)/B1097-1</f>
        <v>-1.2339055793991416E-2</v>
      </c>
      <c r="E1096" s="49"/>
    </row>
    <row r="1097" spans="1:5" ht="14.4">
      <c r="A1097" s="136">
        <v>42930</v>
      </c>
      <c r="B1097" s="137">
        <v>74.56</v>
      </c>
      <c r="C1097" s="133"/>
      <c r="D1097" s="50">
        <f t="shared" si="17"/>
        <v>-5.8666666666666867E-3</v>
      </c>
      <c r="E1097" s="49"/>
    </row>
    <row r="1098" spans="1:5" ht="14.4">
      <c r="A1098" s="136">
        <v>42929</v>
      </c>
      <c r="B1098" s="137">
        <v>75</v>
      </c>
      <c r="C1098" s="133"/>
      <c r="D1098" s="50">
        <f t="shared" si="17"/>
        <v>4.8231511254019921E-3</v>
      </c>
      <c r="E1098" s="49"/>
    </row>
    <row r="1099" spans="1:5" ht="14.4">
      <c r="A1099" s="136">
        <v>42928</v>
      </c>
      <c r="B1099" s="137">
        <v>74.64</v>
      </c>
      <c r="C1099" s="133"/>
      <c r="D1099" s="50">
        <f t="shared" si="17"/>
        <v>2.6867275658248868E-3</v>
      </c>
      <c r="E1099" s="49"/>
    </row>
    <row r="1100" spans="1:5" ht="14.4">
      <c r="A1100" s="136">
        <v>42927</v>
      </c>
      <c r="B1100" s="137">
        <v>74.44</v>
      </c>
      <c r="C1100" s="133"/>
      <c r="D1100" s="50">
        <f t="shared" si="17"/>
        <v>1.0758472296934496E-3</v>
      </c>
      <c r="E1100" s="49"/>
    </row>
    <row r="1101" spans="1:5" ht="14.4">
      <c r="A1101" s="136">
        <v>42926</v>
      </c>
      <c r="B1101" s="137">
        <v>74.36</v>
      </c>
      <c r="C1101" s="133"/>
      <c r="D1101" s="50">
        <f t="shared" si="17"/>
        <v>3.5087719298245723E-3</v>
      </c>
      <c r="E1101" s="49"/>
    </row>
    <row r="1102" spans="1:5" ht="14.4">
      <c r="A1102" s="136">
        <v>42923</v>
      </c>
      <c r="B1102" s="137">
        <v>74.099999999999994</v>
      </c>
      <c r="C1102" s="133"/>
      <c r="D1102" s="50">
        <f t="shared" si="17"/>
        <v>-4.0469445568602769E-4</v>
      </c>
      <c r="E1102" s="49"/>
    </row>
    <row r="1103" spans="1:5" ht="14.4">
      <c r="A1103" s="136">
        <v>42922</v>
      </c>
      <c r="B1103" s="137">
        <v>74.13</v>
      </c>
      <c r="C1103" s="133"/>
      <c r="D1103" s="50">
        <f t="shared" si="17"/>
        <v>2.9765931538356938E-3</v>
      </c>
      <c r="E1103" s="49"/>
    </row>
    <row r="1104" spans="1:5" ht="14.4">
      <c r="A1104" s="136">
        <v>42921</v>
      </c>
      <c r="B1104" s="137">
        <v>73.91</v>
      </c>
      <c r="C1104" s="133"/>
      <c r="D1104" s="50">
        <f t="shared" si="17"/>
        <v>1.1080711354309214E-2</v>
      </c>
      <c r="E1104" s="49"/>
    </row>
    <row r="1105" spans="1:5" ht="14.4">
      <c r="A1105" s="136">
        <v>42920</v>
      </c>
      <c r="B1105" s="137">
        <v>73.099999999999994</v>
      </c>
      <c r="C1105" s="133"/>
      <c r="D1105" s="50">
        <f t="shared" si="17"/>
        <v>0</v>
      </c>
      <c r="E1105" s="49"/>
    </row>
    <row r="1106" spans="1:5" ht="14.4">
      <c r="A1106" s="136">
        <v>42919</v>
      </c>
      <c r="B1106" s="137">
        <v>73.099999999999994</v>
      </c>
      <c r="C1106" s="133"/>
      <c r="D1106" s="50">
        <f t="shared" si="17"/>
        <v>1.5277777777777724E-2</v>
      </c>
      <c r="E1106" s="49"/>
    </row>
    <row r="1107" spans="1:5" ht="14.4">
      <c r="A1107" s="136">
        <v>42916</v>
      </c>
      <c r="B1107" s="137">
        <v>72</v>
      </c>
      <c r="C1107" s="133"/>
      <c r="D1107" s="50">
        <f t="shared" si="17"/>
        <v>-3.0462475768484598E-3</v>
      </c>
      <c r="E1107" s="49"/>
    </row>
    <row r="1108" spans="1:5" ht="14.4">
      <c r="A1108" s="136">
        <v>42915</v>
      </c>
      <c r="B1108" s="137">
        <v>72.22</v>
      </c>
      <c r="C1108" s="133"/>
      <c r="D1108" s="50">
        <f t="shared" si="17"/>
        <v>-2.1409214092140916E-2</v>
      </c>
      <c r="E1108" s="49"/>
    </row>
    <row r="1109" spans="1:5" ht="14.4">
      <c r="A1109" s="136">
        <v>42914</v>
      </c>
      <c r="B1109" s="137">
        <v>73.8</v>
      </c>
      <c r="C1109" s="133"/>
      <c r="D1109" s="50">
        <f t="shared" si="17"/>
        <v>-9.129967776584369E-3</v>
      </c>
      <c r="E1109" s="49"/>
    </row>
    <row r="1110" spans="1:5" ht="14.4">
      <c r="A1110" s="136">
        <v>42913</v>
      </c>
      <c r="B1110" s="137">
        <v>74.48</v>
      </c>
      <c r="C1110" s="133"/>
      <c r="D1110" s="50">
        <f t="shared" si="17"/>
        <v>-1.9354838709677358E-2</v>
      </c>
      <c r="E1110" s="49"/>
    </row>
    <row r="1111" spans="1:5" ht="14.4">
      <c r="A1111" s="136">
        <v>42912</v>
      </c>
      <c r="B1111" s="137">
        <v>75.95</v>
      </c>
      <c r="C1111" s="133"/>
      <c r="D1111" s="50">
        <f t="shared" si="17"/>
        <v>3.3025099075296716E-3</v>
      </c>
      <c r="E1111" s="49"/>
    </row>
    <row r="1112" spans="1:5" ht="14.4">
      <c r="A1112" s="136">
        <v>42909</v>
      </c>
      <c r="B1112" s="137">
        <v>75.7</v>
      </c>
      <c r="C1112" s="133"/>
      <c r="D1112" s="50">
        <f t="shared" si="17"/>
        <v>8.7953091684433993E-3</v>
      </c>
      <c r="E1112" s="49"/>
    </row>
    <row r="1113" spans="1:5" ht="14.4">
      <c r="A1113" s="136">
        <v>42908</v>
      </c>
      <c r="B1113" s="137">
        <v>75.040000000000006</v>
      </c>
      <c r="C1113" s="133"/>
      <c r="D1113" s="50">
        <f t="shared" si="17"/>
        <v>-2.7906976744185297E-3</v>
      </c>
      <c r="E1113" s="49"/>
    </row>
    <row r="1114" spans="1:5" ht="14.4">
      <c r="A1114" s="136">
        <v>42907</v>
      </c>
      <c r="B1114" s="137">
        <v>75.25</v>
      </c>
      <c r="C1114" s="133"/>
      <c r="D1114" s="50">
        <f t="shared" si="17"/>
        <v>-9.2165898617512232E-3</v>
      </c>
      <c r="E1114" s="49"/>
    </row>
    <row r="1115" spans="1:5" ht="14.4">
      <c r="A1115" s="136">
        <v>42906</v>
      </c>
      <c r="B1115" s="137">
        <v>75.95</v>
      </c>
      <c r="C1115" s="133"/>
      <c r="D1115" s="50">
        <f t="shared" si="17"/>
        <v>-5.8900523560210249E-3</v>
      </c>
      <c r="E1115" s="49"/>
    </row>
    <row r="1116" spans="1:5" ht="14.4">
      <c r="A1116" s="136">
        <v>42905</v>
      </c>
      <c r="B1116" s="137">
        <v>76.400000000000006</v>
      </c>
      <c r="C1116" s="133"/>
      <c r="D1116" s="50">
        <f t="shared" si="17"/>
        <v>1.9618310423061613E-2</v>
      </c>
      <c r="E1116" s="49"/>
    </row>
    <row r="1117" spans="1:5" ht="14.4">
      <c r="A1117" s="136">
        <v>42902</v>
      </c>
      <c r="B1117" s="137">
        <v>74.930000000000007</v>
      </c>
      <c r="C1117" s="133"/>
      <c r="D1117" s="50">
        <f t="shared" si="17"/>
        <v>2.2516375545851508E-2</v>
      </c>
      <c r="E1117" s="49"/>
    </row>
    <row r="1118" spans="1:5" ht="14.4">
      <c r="A1118" s="136">
        <v>42901</v>
      </c>
      <c r="B1118" s="137">
        <v>73.28</v>
      </c>
      <c r="C1118" s="133"/>
      <c r="D1118" s="50">
        <f t="shared" si="17"/>
        <v>-2.4623985092506295E-2</v>
      </c>
      <c r="E1118" s="49"/>
    </row>
    <row r="1119" spans="1:5" ht="14.4">
      <c r="A1119" s="136">
        <v>42900</v>
      </c>
      <c r="B1119" s="137">
        <v>75.13</v>
      </c>
      <c r="C1119" s="133"/>
      <c r="D1119" s="50">
        <f t="shared" si="17"/>
        <v>7.1045576407506861E-3</v>
      </c>
      <c r="E1119" s="49"/>
    </row>
    <row r="1120" spans="1:5" ht="14.4">
      <c r="A1120" s="136">
        <v>42899</v>
      </c>
      <c r="B1120" s="137">
        <v>74.599999999999994</v>
      </c>
      <c r="C1120" s="133"/>
      <c r="D1120" s="50">
        <f t="shared" si="17"/>
        <v>4.4432476100713103E-3</v>
      </c>
      <c r="E1120" s="49"/>
    </row>
    <row r="1121" spans="1:5" ht="14.4">
      <c r="A1121" s="136">
        <v>42898</v>
      </c>
      <c r="B1121" s="137">
        <v>74.27</v>
      </c>
      <c r="C1121" s="133"/>
      <c r="D1121" s="50">
        <f t="shared" si="17"/>
        <v>-1.5117358440525086E-2</v>
      </c>
      <c r="E1121" s="49"/>
    </row>
    <row r="1122" spans="1:5" ht="14.4">
      <c r="A1122" s="136">
        <v>42895</v>
      </c>
      <c r="B1122" s="137">
        <v>75.41</v>
      </c>
      <c r="C1122" s="133"/>
      <c r="D1122" s="50">
        <f t="shared" si="17"/>
        <v>2.2508474576271142E-2</v>
      </c>
      <c r="E1122" s="49"/>
    </row>
    <row r="1123" spans="1:5" ht="14.4">
      <c r="A1123" s="136">
        <v>42894</v>
      </c>
      <c r="B1123" s="137">
        <v>73.75</v>
      </c>
      <c r="C1123" s="133"/>
      <c r="D1123" s="50">
        <f t="shared" si="17"/>
        <v>3.8110793521164421E-3</v>
      </c>
      <c r="E1123" s="49"/>
    </row>
    <row r="1124" spans="1:5" ht="14.4">
      <c r="A1124" s="136">
        <v>42893</v>
      </c>
      <c r="B1124" s="137">
        <v>73.47</v>
      </c>
      <c r="C1124" s="133"/>
      <c r="D1124" s="50">
        <f t="shared" si="17"/>
        <v>-1.6465863453815288E-2</v>
      </c>
      <c r="E1124" s="49"/>
    </row>
    <row r="1125" spans="1:5" ht="14.4">
      <c r="A1125" s="136">
        <v>42892</v>
      </c>
      <c r="B1125" s="137">
        <v>74.7</v>
      </c>
      <c r="C1125" s="133"/>
      <c r="D1125" s="50">
        <f t="shared" si="17"/>
        <v>-8.0256821829860492E-4</v>
      </c>
      <c r="E1125" s="49"/>
    </row>
    <row r="1126" spans="1:5" ht="14.4">
      <c r="A1126" s="136">
        <v>42891</v>
      </c>
      <c r="B1126" s="137">
        <v>74.760000000000005</v>
      </c>
      <c r="C1126" s="133"/>
      <c r="D1126" s="50">
        <f t="shared" si="17"/>
        <v>-1.1111111111110961E-2</v>
      </c>
      <c r="E1126" s="49"/>
    </row>
    <row r="1127" spans="1:5" ht="14.4">
      <c r="A1127" s="136">
        <v>42888</v>
      </c>
      <c r="B1127" s="137">
        <v>75.599999999999994</v>
      </c>
      <c r="C1127" s="133"/>
      <c r="D1127" s="50">
        <f t="shared" si="17"/>
        <v>4.9182506978597829E-3</v>
      </c>
      <c r="E1127" s="49"/>
    </row>
    <row r="1128" spans="1:5" ht="14.4">
      <c r="A1128" s="136">
        <v>42887</v>
      </c>
      <c r="B1128" s="137">
        <v>75.23</v>
      </c>
      <c r="C1128" s="133"/>
      <c r="D1128" s="50">
        <f t="shared" si="17"/>
        <v>2.9560695223758149E-2</v>
      </c>
      <c r="E1128" s="49"/>
    </row>
    <row r="1129" spans="1:5" ht="14.4">
      <c r="A1129" s="136">
        <v>42886</v>
      </c>
      <c r="B1129" s="137">
        <v>73.069999999999993</v>
      </c>
      <c r="C1129" s="133"/>
      <c r="D1129" s="50">
        <f t="shared" si="17"/>
        <v>-2.729630135116734E-3</v>
      </c>
      <c r="E1129" s="49"/>
    </row>
    <row r="1130" spans="1:5" ht="14.4">
      <c r="A1130" s="136">
        <v>42885</v>
      </c>
      <c r="B1130" s="137">
        <v>73.27</v>
      </c>
      <c r="C1130" s="133"/>
      <c r="D1130" s="50">
        <f t="shared" si="17"/>
        <v>-6.1041779706999533E-3</v>
      </c>
      <c r="E1130" s="49"/>
    </row>
    <row r="1131" spans="1:5" ht="14.4">
      <c r="A1131" s="136">
        <v>42884</v>
      </c>
      <c r="B1131" s="137">
        <v>73.72</v>
      </c>
      <c r="C1131" s="133"/>
      <c r="D1131" s="50">
        <f t="shared" si="17"/>
        <v>-2.4357239512856621E-3</v>
      </c>
      <c r="E1131" s="49"/>
    </row>
    <row r="1132" spans="1:5" ht="14.4">
      <c r="A1132" s="136">
        <v>42881</v>
      </c>
      <c r="B1132" s="137">
        <v>73.900000000000006</v>
      </c>
      <c r="C1132" s="133"/>
      <c r="D1132" s="50">
        <f t="shared" si="17"/>
        <v>1.0943912448700521E-2</v>
      </c>
      <c r="E1132" s="49"/>
    </row>
    <row r="1133" spans="1:5" ht="14.4">
      <c r="A1133" s="136">
        <v>42880</v>
      </c>
      <c r="B1133" s="137">
        <v>73.099999999999994</v>
      </c>
      <c r="C1133" s="133"/>
      <c r="D1133" s="50">
        <f t="shared" si="17"/>
        <v>9.3896713615022609E-3</v>
      </c>
      <c r="E1133" s="49"/>
    </row>
    <row r="1134" spans="1:5" ht="14.4">
      <c r="A1134" s="136">
        <v>42879</v>
      </c>
      <c r="B1134" s="137">
        <v>72.42</v>
      </c>
      <c r="C1134" s="133"/>
      <c r="D1134" s="50">
        <f t="shared" si="17"/>
        <v>1.3810247203438486E-4</v>
      </c>
      <c r="E1134" s="49"/>
    </row>
    <row r="1135" spans="1:5" ht="14.4">
      <c r="A1135" s="136">
        <v>42878</v>
      </c>
      <c r="B1135" s="137">
        <v>72.41</v>
      </c>
      <c r="C1135" s="133"/>
      <c r="D1135" s="50">
        <f t="shared" si="17"/>
        <v>-3.0290513561889165E-3</v>
      </c>
      <c r="E1135" s="49"/>
    </row>
    <row r="1136" spans="1:5" ht="14.4">
      <c r="A1136" s="136">
        <v>42877</v>
      </c>
      <c r="B1136" s="137">
        <v>72.63</v>
      </c>
      <c r="C1136" s="133"/>
      <c r="D1136" s="50">
        <f t="shared" si="17"/>
        <v>-1.5319956616052233E-2</v>
      </c>
      <c r="E1136" s="49"/>
    </row>
    <row r="1137" spans="1:5" ht="14.4">
      <c r="A1137" s="136">
        <v>42874</v>
      </c>
      <c r="B1137" s="137">
        <v>73.760000000000005</v>
      </c>
      <c r="C1137" s="133"/>
      <c r="D1137" s="50">
        <f t="shared" si="17"/>
        <v>7.3750341436766842E-3</v>
      </c>
      <c r="E1137" s="49"/>
    </row>
    <row r="1138" spans="1:5" ht="14.4">
      <c r="A1138" s="136">
        <v>42873</v>
      </c>
      <c r="B1138" s="137">
        <v>73.22</v>
      </c>
      <c r="C1138" s="133"/>
      <c r="D1138" s="50">
        <f t="shared" si="17"/>
        <v>6.7372473532241184E-3</v>
      </c>
      <c r="E1138" s="49"/>
    </row>
    <row r="1139" spans="1:5" ht="14.4">
      <c r="A1139" s="136">
        <v>42872</v>
      </c>
      <c r="B1139" s="137">
        <v>72.73</v>
      </c>
      <c r="C1139" s="133"/>
      <c r="D1139" s="50">
        <f t="shared" si="17"/>
        <v>-1.9679202048793587E-2</v>
      </c>
      <c r="E1139" s="49"/>
    </row>
    <row r="1140" spans="1:5" ht="14.4">
      <c r="A1140" s="136">
        <v>42871</v>
      </c>
      <c r="B1140" s="137">
        <v>74.19</v>
      </c>
      <c r="C1140" s="133"/>
      <c r="D1140" s="50">
        <f t="shared" si="17"/>
        <v>-1.0771509357748732E-3</v>
      </c>
      <c r="E1140" s="49"/>
    </row>
    <row r="1141" spans="1:5" ht="14.4">
      <c r="A1141" s="136">
        <v>42870</v>
      </c>
      <c r="B1141" s="137">
        <v>74.27</v>
      </c>
      <c r="C1141" s="133"/>
      <c r="D1141" s="50">
        <f t="shared" si="17"/>
        <v>-2.5517056137522864E-3</v>
      </c>
      <c r="E1141" s="49"/>
    </row>
    <row r="1142" spans="1:5" ht="14.4">
      <c r="A1142" s="136">
        <v>42867</v>
      </c>
      <c r="B1142" s="137">
        <v>74.459999999999994</v>
      </c>
      <c r="C1142" s="133"/>
      <c r="D1142" s="50">
        <f t="shared" si="17"/>
        <v>6.2162162162160417E-3</v>
      </c>
      <c r="E1142" s="49"/>
    </row>
    <row r="1143" spans="1:5" ht="14.4">
      <c r="A1143" s="136">
        <v>42866</v>
      </c>
      <c r="B1143" s="137">
        <v>74</v>
      </c>
      <c r="C1143" s="133"/>
      <c r="D1143" s="50">
        <f t="shared" si="17"/>
        <v>-1.6480595427963762E-2</v>
      </c>
      <c r="E1143" s="49"/>
    </row>
    <row r="1144" spans="1:5" ht="14.4">
      <c r="A1144" s="136">
        <v>42865</v>
      </c>
      <c r="B1144" s="137">
        <v>75.239999999999995</v>
      </c>
      <c r="C1144" s="133"/>
      <c r="D1144" s="50">
        <f t="shared" si="17"/>
        <v>-3.4437086092715674E-3</v>
      </c>
      <c r="E1144" s="49"/>
    </row>
    <row r="1145" spans="1:5" ht="14.4">
      <c r="A1145" s="136">
        <v>42864</v>
      </c>
      <c r="B1145" s="137">
        <v>75.5</v>
      </c>
      <c r="C1145" s="133"/>
      <c r="D1145" s="50">
        <f t="shared" si="17"/>
        <v>1.193475666357191E-3</v>
      </c>
      <c r="E1145" s="49"/>
    </row>
    <row r="1146" spans="1:5" ht="14.4">
      <c r="A1146" s="136">
        <v>42863</v>
      </c>
      <c r="B1146" s="137">
        <v>75.41</v>
      </c>
      <c r="C1146" s="133"/>
      <c r="D1146" s="50">
        <f t="shared" si="17"/>
        <v>-6.1939905113336247E-3</v>
      </c>
      <c r="E1146" s="49"/>
    </row>
    <row r="1147" spans="1:5" ht="14.4">
      <c r="A1147" s="136">
        <v>42860</v>
      </c>
      <c r="B1147" s="137">
        <v>75.88</v>
      </c>
      <c r="C1147" s="133"/>
      <c r="D1147" s="50">
        <f t="shared" si="17"/>
        <v>1.1328801812608313E-2</v>
      </c>
      <c r="E1147" s="49"/>
    </row>
    <row r="1148" spans="1:5" ht="14.4">
      <c r="A1148" s="136">
        <v>42859</v>
      </c>
      <c r="B1148" s="137">
        <v>75.03</v>
      </c>
      <c r="C1148" s="133"/>
      <c r="D1148" s="50">
        <f t="shared" si="17"/>
        <v>1.5016233766233844E-2</v>
      </c>
      <c r="E1148" s="49"/>
    </row>
    <row r="1149" spans="1:5" ht="14.4">
      <c r="A1149" s="136">
        <v>42858</v>
      </c>
      <c r="B1149" s="137">
        <v>73.92</v>
      </c>
      <c r="C1149" s="133"/>
      <c r="D1149" s="50">
        <f t="shared" si="17"/>
        <v>-9.7789685197589016E-3</v>
      </c>
      <c r="E1149" s="49"/>
    </row>
    <row r="1150" spans="1:5" ht="14.4">
      <c r="A1150" s="136">
        <v>42857</v>
      </c>
      <c r="B1150" s="137">
        <v>74.650000000000006</v>
      </c>
      <c r="C1150" s="133"/>
      <c r="D1150" s="50">
        <f t="shared" si="17"/>
        <v>5.6580897211371273E-3</v>
      </c>
      <c r="E1150" s="49"/>
    </row>
    <row r="1151" spans="1:5" ht="14.4">
      <c r="A1151" s="136">
        <v>42853</v>
      </c>
      <c r="B1151" s="137">
        <v>74.23</v>
      </c>
      <c r="C1151" s="133"/>
      <c r="D1151" s="50">
        <f t="shared" si="17"/>
        <v>-1.0266666666666646E-2</v>
      </c>
      <c r="E1151" s="49"/>
    </row>
    <row r="1152" spans="1:5" ht="14.4">
      <c r="A1152" s="136">
        <v>42852</v>
      </c>
      <c r="B1152" s="137">
        <v>75</v>
      </c>
      <c r="C1152" s="133"/>
      <c r="D1152" s="50">
        <f t="shared" si="17"/>
        <v>1.2282359292752121E-2</v>
      </c>
      <c r="E1152" s="49"/>
    </row>
    <row r="1153" spans="1:5" ht="14.4">
      <c r="A1153" s="136">
        <v>42851</v>
      </c>
      <c r="B1153" s="137">
        <v>74.09</v>
      </c>
      <c r="C1153" s="133"/>
      <c r="D1153" s="50">
        <f t="shared" si="17"/>
        <v>-1.3495276653163746E-4</v>
      </c>
      <c r="E1153" s="49"/>
    </row>
    <row r="1154" spans="1:5" ht="14.4">
      <c r="A1154" s="136">
        <v>42850</v>
      </c>
      <c r="B1154" s="137">
        <v>74.099999999999994</v>
      </c>
      <c r="C1154" s="133"/>
      <c r="D1154" s="50">
        <f t="shared" si="17"/>
        <v>1.8929150892375013E-3</v>
      </c>
      <c r="E1154" s="49"/>
    </row>
    <row r="1155" spans="1:5" ht="14.4">
      <c r="A1155" s="136">
        <v>42849</v>
      </c>
      <c r="B1155" s="137">
        <v>73.959999999999994</v>
      </c>
      <c r="C1155" s="133"/>
      <c r="D1155" s="50">
        <f t="shared" si="17"/>
        <v>3.3393880117367658E-2</v>
      </c>
      <c r="E1155" s="49"/>
    </row>
    <row r="1156" spans="1:5" ht="14.4">
      <c r="A1156" s="136">
        <v>42846</v>
      </c>
      <c r="B1156" s="137">
        <v>71.569999999999993</v>
      </c>
      <c r="C1156" s="133"/>
      <c r="D1156" s="50">
        <f t="shared" si="17"/>
        <v>-9.6859000968589903E-3</v>
      </c>
      <c r="E1156" s="49"/>
    </row>
    <row r="1157" spans="1:5" ht="14.4">
      <c r="A1157" s="136">
        <v>42845</v>
      </c>
      <c r="B1157" s="137">
        <v>72.27</v>
      </c>
      <c r="C1157" s="133"/>
      <c r="D1157" s="50">
        <f t="shared" si="17"/>
        <v>3.3314269373748928E-2</v>
      </c>
      <c r="E1157" s="49"/>
    </row>
    <row r="1158" spans="1:5" ht="14.4">
      <c r="A1158" s="136">
        <v>42844</v>
      </c>
      <c r="B1158" s="137">
        <v>69.94</v>
      </c>
      <c r="C1158" s="133"/>
      <c r="D1158" s="50">
        <f t="shared" si="17"/>
        <v>5.8967352222061287E-3</v>
      </c>
      <c r="E1158" s="49"/>
    </row>
    <row r="1159" spans="1:5" ht="14.4">
      <c r="A1159" s="136">
        <v>42843</v>
      </c>
      <c r="B1159" s="137">
        <v>69.53</v>
      </c>
      <c r="C1159" s="133"/>
      <c r="D1159" s="50">
        <f t="shared" si="17"/>
        <v>-2.5234824057198901E-2</v>
      </c>
      <c r="E1159" s="49"/>
    </row>
    <row r="1160" spans="1:5" ht="14.4">
      <c r="A1160" s="136">
        <v>42838</v>
      </c>
      <c r="B1160" s="137">
        <v>71.33</v>
      </c>
      <c r="C1160" s="133"/>
      <c r="D1160" s="50">
        <f t="shared" ref="D1160:D1223" si="18">(B1160-C1160)/B1161-1</f>
        <v>-8.3414430696511221E-3</v>
      </c>
      <c r="E1160" s="49"/>
    </row>
    <row r="1161" spans="1:5" ht="14.4">
      <c r="A1161" s="136">
        <v>42837</v>
      </c>
      <c r="B1161" s="137">
        <v>71.930000000000007</v>
      </c>
      <c r="C1161" s="133"/>
      <c r="D1161" s="50">
        <f t="shared" si="18"/>
        <v>8.8359046283310594E-3</v>
      </c>
      <c r="E1161" s="49"/>
    </row>
    <row r="1162" spans="1:5" ht="14.4">
      <c r="A1162" s="136">
        <v>42836</v>
      </c>
      <c r="B1162" s="137">
        <v>71.3</v>
      </c>
      <c r="C1162" s="133"/>
      <c r="D1162" s="50">
        <f t="shared" si="18"/>
        <v>2.9540019693345965E-3</v>
      </c>
      <c r="E1162" s="49"/>
    </row>
    <row r="1163" spans="1:5" ht="14.4">
      <c r="A1163" s="136">
        <v>42835</v>
      </c>
      <c r="B1163" s="137">
        <v>71.09</v>
      </c>
      <c r="C1163" s="133"/>
      <c r="D1163" s="50">
        <f t="shared" si="18"/>
        <v>-1.9448275862068876E-2</v>
      </c>
      <c r="E1163" s="49"/>
    </row>
    <row r="1164" spans="1:5" ht="14.4">
      <c r="A1164" s="136">
        <v>42832</v>
      </c>
      <c r="B1164" s="137">
        <v>72.5</v>
      </c>
      <c r="C1164" s="133"/>
      <c r="D1164" s="50">
        <f t="shared" si="18"/>
        <v>-2.7578599007160864E-4</v>
      </c>
      <c r="E1164" s="49"/>
    </row>
    <row r="1165" spans="1:5" ht="14.4">
      <c r="A1165" s="136">
        <v>42831</v>
      </c>
      <c r="B1165" s="137">
        <v>72.52</v>
      </c>
      <c r="C1165" s="133"/>
      <c r="D1165" s="50">
        <f t="shared" si="18"/>
        <v>1.3273718038284255E-2</v>
      </c>
      <c r="E1165" s="49"/>
    </row>
    <row r="1166" spans="1:5" ht="14.4">
      <c r="A1166" s="136">
        <v>42830</v>
      </c>
      <c r="B1166" s="137">
        <v>71.569999999999993</v>
      </c>
      <c r="C1166" s="133"/>
      <c r="D1166" s="50">
        <f t="shared" si="18"/>
        <v>-3.4809245335560846E-3</v>
      </c>
      <c r="E1166" s="49"/>
    </row>
    <row r="1167" spans="1:5" ht="14.4">
      <c r="A1167" s="136">
        <v>42829</v>
      </c>
      <c r="B1167" s="137">
        <v>71.819999999999993</v>
      </c>
      <c r="C1167" s="133"/>
      <c r="D1167" s="50">
        <f t="shared" si="18"/>
        <v>6.4461883408071241E-3</v>
      </c>
      <c r="E1167" s="49"/>
    </row>
    <row r="1168" spans="1:5" ht="14.4">
      <c r="A1168" s="136">
        <v>42828</v>
      </c>
      <c r="B1168" s="137">
        <v>71.36</v>
      </c>
      <c r="C1168" s="133"/>
      <c r="D1168" s="50">
        <f t="shared" si="18"/>
        <v>4.2058040095338534E-4</v>
      </c>
      <c r="E1168" s="49"/>
    </row>
    <row r="1169" spans="1:5" ht="14.4">
      <c r="A1169" s="136">
        <v>42825</v>
      </c>
      <c r="B1169" s="137">
        <v>71.33</v>
      </c>
      <c r="C1169" s="133"/>
      <c r="D1169" s="50">
        <f t="shared" si="18"/>
        <v>-4.3271915131212202E-3</v>
      </c>
      <c r="E1169" s="49"/>
    </row>
    <row r="1170" spans="1:5" ht="14.4">
      <c r="A1170" s="136">
        <v>42824</v>
      </c>
      <c r="B1170" s="137">
        <v>71.64</v>
      </c>
      <c r="C1170" s="133"/>
      <c r="D1170" s="50">
        <f t="shared" si="18"/>
        <v>2.7925160569663987E-4</v>
      </c>
      <c r="E1170" s="49"/>
    </row>
    <row r="1171" spans="1:5" ht="14.4">
      <c r="A1171" s="136">
        <v>42823</v>
      </c>
      <c r="B1171" s="137">
        <v>71.62</v>
      </c>
      <c r="C1171" s="133"/>
      <c r="D1171" s="50">
        <f t="shared" si="18"/>
        <v>1.115346604546108E-2</v>
      </c>
      <c r="E1171" s="49"/>
    </row>
    <row r="1172" spans="1:5" ht="14.4">
      <c r="A1172" s="136">
        <v>42822</v>
      </c>
      <c r="B1172" s="137">
        <v>70.83</v>
      </c>
      <c r="C1172" s="133"/>
      <c r="D1172" s="50">
        <f t="shared" si="18"/>
        <v>2.1635655560363398E-2</v>
      </c>
      <c r="E1172" s="49"/>
    </row>
    <row r="1173" spans="1:5" ht="14.4">
      <c r="A1173" s="136">
        <v>42821</v>
      </c>
      <c r="B1173" s="137">
        <v>69.33</v>
      </c>
      <c r="C1173" s="133"/>
      <c r="D1173" s="50">
        <f t="shared" si="18"/>
        <v>-9.8543273350470972E-3</v>
      </c>
      <c r="E1173" s="49"/>
    </row>
    <row r="1174" spans="1:5" ht="14.4">
      <c r="A1174" s="136">
        <v>42818</v>
      </c>
      <c r="B1174" s="137">
        <v>70.02</v>
      </c>
      <c r="C1174" s="133"/>
      <c r="D1174" s="50">
        <f t="shared" si="18"/>
        <v>2.4337866857551127E-3</v>
      </c>
      <c r="E1174" s="49"/>
    </row>
    <row r="1175" spans="1:5" ht="14.4">
      <c r="A1175" s="136">
        <v>42817</v>
      </c>
      <c r="B1175" s="137">
        <v>69.849999999999994</v>
      </c>
      <c r="C1175" s="133"/>
      <c r="D1175" s="50">
        <f t="shared" si="18"/>
        <v>1.3788098693758855E-2</v>
      </c>
      <c r="E1175" s="49"/>
    </row>
    <row r="1176" spans="1:5" ht="14.4">
      <c r="A1176" s="136">
        <v>42816</v>
      </c>
      <c r="B1176" s="137">
        <v>68.900000000000006</v>
      </c>
      <c r="C1176" s="133"/>
      <c r="D1176" s="50">
        <f t="shared" si="18"/>
        <v>-1.019968395345483E-2</v>
      </c>
      <c r="E1176" s="49"/>
    </row>
    <row r="1177" spans="1:5" ht="14.4">
      <c r="A1177" s="136">
        <v>42815</v>
      </c>
      <c r="B1177" s="137">
        <v>69.61</v>
      </c>
      <c r="C1177" s="133"/>
      <c r="D1177" s="50">
        <f t="shared" si="18"/>
        <v>-1.4022662889518367E-2</v>
      </c>
      <c r="E1177" s="49"/>
    </row>
    <row r="1178" spans="1:5" ht="14.4">
      <c r="A1178" s="136">
        <v>42814</v>
      </c>
      <c r="B1178" s="137">
        <v>70.599999999999994</v>
      </c>
      <c r="C1178" s="133"/>
      <c r="D1178" s="50">
        <f t="shared" si="18"/>
        <v>8.4273675189256991E-3</v>
      </c>
      <c r="E1178" s="49"/>
    </row>
    <row r="1179" spans="1:5" ht="14.4">
      <c r="A1179" s="136">
        <v>42811</v>
      </c>
      <c r="B1179" s="137">
        <v>70.010000000000005</v>
      </c>
      <c r="C1179" s="133"/>
      <c r="D1179" s="50">
        <f t="shared" si="18"/>
        <v>-4.9744172825467725E-3</v>
      </c>
      <c r="E1179" s="49"/>
    </row>
    <row r="1180" spans="1:5" ht="14.4">
      <c r="A1180" s="136">
        <v>42810</v>
      </c>
      <c r="B1180" s="137">
        <v>70.36</v>
      </c>
      <c r="C1180" s="133"/>
      <c r="D1180" s="50">
        <f t="shared" si="18"/>
        <v>-9.9389464716748144E-4</v>
      </c>
      <c r="E1180" s="49"/>
    </row>
    <row r="1181" spans="1:5" ht="14.4">
      <c r="A1181" s="136">
        <v>42809</v>
      </c>
      <c r="B1181" s="137">
        <v>70.430000000000007</v>
      </c>
      <c r="C1181" s="133"/>
      <c r="D1181" s="50">
        <f t="shared" si="18"/>
        <v>3.2763532763533387E-3</v>
      </c>
      <c r="E1181" s="49"/>
    </row>
    <row r="1182" spans="1:5" ht="14.4">
      <c r="A1182" s="136">
        <v>42808</v>
      </c>
      <c r="B1182" s="137">
        <v>70.2</v>
      </c>
      <c r="C1182" s="133"/>
      <c r="D1182" s="50">
        <f t="shared" si="18"/>
        <v>3.5739814152966343E-3</v>
      </c>
      <c r="E1182" s="49"/>
    </row>
    <row r="1183" spans="1:5" ht="14.4">
      <c r="A1183" s="136">
        <v>42807</v>
      </c>
      <c r="B1183" s="137">
        <v>69.95</v>
      </c>
      <c r="C1183" s="133"/>
      <c r="D1183" s="50">
        <f t="shared" si="18"/>
        <v>-1.5700827861833133E-3</v>
      </c>
      <c r="E1183" s="49"/>
    </row>
    <row r="1184" spans="1:5" ht="14.4">
      <c r="A1184" s="136">
        <v>42804</v>
      </c>
      <c r="B1184" s="137">
        <v>70.06</v>
      </c>
      <c r="C1184" s="133"/>
      <c r="D1184" s="50">
        <f t="shared" si="18"/>
        <v>0</v>
      </c>
      <c r="E1184" s="49"/>
    </row>
    <row r="1185" spans="1:5" ht="14.4">
      <c r="A1185" s="136">
        <v>42803</v>
      </c>
      <c r="B1185" s="137">
        <v>70.06</v>
      </c>
      <c r="C1185" s="133"/>
      <c r="D1185" s="50">
        <f t="shared" si="18"/>
        <v>-5.8180786150133779E-3</v>
      </c>
      <c r="E1185" s="49"/>
    </row>
    <row r="1186" spans="1:5" ht="14.4">
      <c r="A1186" s="136">
        <v>42802</v>
      </c>
      <c r="B1186" s="137">
        <v>70.47</v>
      </c>
      <c r="C1186" s="133"/>
      <c r="D1186" s="50">
        <f t="shared" si="18"/>
        <v>3.9891722467588764E-3</v>
      </c>
      <c r="E1186" s="49"/>
    </row>
    <row r="1187" spans="1:5" ht="14.4">
      <c r="A1187" s="136">
        <v>42801</v>
      </c>
      <c r="B1187" s="137">
        <v>70.19</v>
      </c>
      <c r="C1187" s="133"/>
      <c r="D1187" s="50">
        <f t="shared" si="18"/>
        <v>-1.2104152005629865E-2</v>
      </c>
      <c r="E1187" s="49"/>
    </row>
    <row r="1188" spans="1:5" ht="14.4">
      <c r="A1188" s="136">
        <v>42800</v>
      </c>
      <c r="B1188" s="137">
        <v>71.05</v>
      </c>
      <c r="C1188" s="133"/>
      <c r="D1188" s="50">
        <f t="shared" si="18"/>
        <v>-1.6861036953773612E-3</v>
      </c>
      <c r="E1188" s="49"/>
    </row>
    <row r="1189" spans="1:5" ht="14.4">
      <c r="A1189" s="136">
        <v>42797</v>
      </c>
      <c r="B1189" s="137">
        <v>71.17</v>
      </c>
      <c r="C1189" s="133"/>
      <c r="D1189" s="50">
        <f t="shared" si="18"/>
        <v>-7.3919107391910988E-3</v>
      </c>
      <c r="E1189" s="49"/>
    </row>
    <row r="1190" spans="1:5" ht="14.4">
      <c r="A1190" s="136">
        <v>42796</v>
      </c>
      <c r="B1190" s="137">
        <v>71.7</v>
      </c>
      <c r="C1190" s="133"/>
      <c r="D1190" s="50">
        <f t="shared" si="18"/>
        <v>8.1552305961754001E-3</v>
      </c>
      <c r="E1190" s="49"/>
    </row>
    <row r="1191" spans="1:5" ht="14.4">
      <c r="A1191" s="136">
        <v>42795</v>
      </c>
      <c r="B1191" s="137">
        <v>71.12</v>
      </c>
      <c r="C1191" s="133"/>
      <c r="D1191" s="50">
        <f t="shared" si="18"/>
        <v>2.5966532025389677E-2</v>
      </c>
      <c r="E1191" s="49"/>
    </row>
    <row r="1192" spans="1:5" ht="14.4">
      <c r="A1192" s="136">
        <v>42794</v>
      </c>
      <c r="B1192" s="137">
        <v>69.319999999999993</v>
      </c>
      <c r="C1192" s="133"/>
      <c r="D1192" s="50">
        <f t="shared" si="18"/>
        <v>1.4191660570592513E-2</v>
      </c>
      <c r="E1192" s="49"/>
    </row>
    <row r="1193" spans="1:5" ht="14.4">
      <c r="A1193" s="136">
        <v>42793</v>
      </c>
      <c r="B1193" s="137">
        <v>68.349999999999994</v>
      </c>
      <c r="C1193" s="133"/>
      <c r="D1193" s="50">
        <f t="shared" si="18"/>
        <v>0</v>
      </c>
      <c r="E1193" s="49"/>
    </row>
    <row r="1194" spans="1:5" ht="14.4">
      <c r="A1194" s="136">
        <v>42790</v>
      </c>
      <c r="B1194" s="137">
        <v>68.349999999999994</v>
      </c>
      <c r="C1194" s="133"/>
      <c r="D1194" s="50">
        <f t="shared" si="18"/>
        <v>-1.0137581462708267E-2</v>
      </c>
      <c r="E1194" s="49"/>
    </row>
    <row r="1195" spans="1:5" ht="14.4">
      <c r="A1195" s="136">
        <v>42789</v>
      </c>
      <c r="B1195" s="137">
        <v>69.05</v>
      </c>
      <c r="C1195" s="133"/>
      <c r="D1195" s="50">
        <f t="shared" si="18"/>
        <v>3.5232383808095902E-2</v>
      </c>
      <c r="E1195" s="49"/>
    </row>
    <row r="1196" spans="1:5" ht="14.4">
      <c r="A1196" s="136">
        <v>42788</v>
      </c>
      <c r="B1196" s="137">
        <v>66.7</v>
      </c>
      <c r="C1196" s="133"/>
      <c r="D1196" s="50">
        <f t="shared" si="18"/>
        <v>-8.0309339678761305E-3</v>
      </c>
      <c r="E1196" s="49"/>
    </row>
    <row r="1197" spans="1:5" ht="14.4">
      <c r="A1197" s="136">
        <v>42787</v>
      </c>
      <c r="B1197" s="137">
        <v>67.239999999999995</v>
      </c>
      <c r="C1197" s="133"/>
      <c r="D1197" s="50">
        <f t="shared" si="18"/>
        <v>1.0671877348564562E-2</v>
      </c>
      <c r="E1197" s="49"/>
    </row>
    <row r="1198" spans="1:5" ht="14.4">
      <c r="A1198" s="136">
        <v>42786</v>
      </c>
      <c r="B1198" s="137">
        <v>66.53</v>
      </c>
      <c r="C1198" s="133"/>
      <c r="D1198" s="50">
        <f t="shared" si="18"/>
        <v>1.7278287461773623E-2</v>
      </c>
      <c r="E1198" s="49"/>
    </row>
    <row r="1199" spans="1:5" ht="14.4">
      <c r="A1199" s="136">
        <v>42783</v>
      </c>
      <c r="B1199" s="137">
        <v>65.400000000000006</v>
      </c>
      <c r="C1199" s="133"/>
      <c r="D1199" s="50">
        <f t="shared" si="18"/>
        <v>-5.6256651968981108E-3</v>
      </c>
      <c r="E1199" s="49"/>
    </row>
    <row r="1200" spans="1:5" ht="14.4">
      <c r="A1200" s="136">
        <v>42782</v>
      </c>
      <c r="B1200" s="137">
        <v>65.77</v>
      </c>
      <c r="C1200" s="133"/>
      <c r="D1200" s="50">
        <f t="shared" si="18"/>
        <v>-8.2931242460795307E-3</v>
      </c>
      <c r="E1200" s="49"/>
    </row>
    <row r="1201" spans="1:5" ht="14.4">
      <c r="A1201" s="136">
        <v>42781</v>
      </c>
      <c r="B1201" s="137">
        <v>66.319999999999993</v>
      </c>
      <c r="C1201" s="133"/>
      <c r="D1201" s="50">
        <f t="shared" si="18"/>
        <v>1.6613804561245171E-3</v>
      </c>
      <c r="E1201" s="49"/>
    </row>
    <row r="1202" spans="1:5" ht="14.4">
      <c r="A1202" s="136">
        <v>42780</v>
      </c>
      <c r="B1202" s="137">
        <v>66.209999999999994</v>
      </c>
      <c r="C1202" s="133"/>
      <c r="D1202" s="50">
        <f t="shared" si="18"/>
        <v>5.4669703872436415E-3</v>
      </c>
      <c r="E1202" s="49"/>
    </row>
    <row r="1203" spans="1:5" ht="14.4">
      <c r="A1203" s="136">
        <v>42779</v>
      </c>
      <c r="B1203" s="137">
        <v>65.849999999999994</v>
      </c>
      <c r="C1203" s="133"/>
      <c r="D1203" s="50">
        <f t="shared" si="18"/>
        <v>2.2674328311849568E-2</v>
      </c>
      <c r="E1203" s="49"/>
    </row>
    <row r="1204" spans="1:5" ht="14.4">
      <c r="A1204" s="136">
        <v>42776</v>
      </c>
      <c r="B1204" s="137">
        <v>64.39</v>
      </c>
      <c r="C1204" s="133"/>
      <c r="D1204" s="50">
        <f t="shared" si="18"/>
        <v>6.0937500000000089E-3</v>
      </c>
      <c r="E1204" s="49"/>
    </row>
    <row r="1205" spans="1:5" ht="14.4">
      <c r="A1205" s="136">
        <v>42775</v>
      </c>
      <c r="B1205" s="137">
        <v>64</v>
      </c>
      <c r="C1205" s="133"/>
      <c r="D1205" s="50">
        <f t="shared" si="18"/>
        <v>1.9595348096224319E-2</v>
      </c>
      <c r="E1205" s="49"/>
    </row>
    <row r="1206" spans="1:5" ht="14.4">
      <c r="A1206" s="136">
        <v>42774</v>
      </c>
      <c r="B1206" s="137">
        <v>62.77</v>
      </c>
      <c r="C1206" s="133"/>
      <c r="D1206" s="50">
        <f t="shared" si="18"/>
        <v>-1.7493638676844281E-3</v>
      </c>
      <c r="E1206" s="49"/>
    </row>
    <row r="1207" spans="1:5" ht="14.4">
      <c r="A1207" s="136">
        <v>42773</v>
      </c>
      <c r="B1207" s="137">
        <v>62.88</v>
      </c>
      <c r="C1207" s="133"/>
      <c r="D1207" s="50">
        <f t="shared" si="18"/>
        <v>-3.6444303596894212E-3</v>
      </c>
      <c r="E1207" s="49"/>
    </row>
    <row r="1208" spans="1:5" ht="14.4">
      <c r="A1208" s="136">
        <v>42772</v>
      </c>
      <c r="B1208" s="137">
        <v>63.11</v>
      </c>
      <c r="C1208" s="133"/>
      <c r="D1208" s="50">
        <f t="shared" si="18"/>
        <v>7.9289565493168013E-4</v>
      </c>
      <c r="E1208" s="49"/>
    </row>
    <row r="1209" spans="1:5" ht="14.4">
      <c r="A1209" s="136">
        <v>42769</v>
      </c>
      <c r="B1209" s="137">
        <v>63.06</v>
      </c>
      <c r="C1209" s="133"/>
      <c r="D1209" s="50">
        <f t="shared" si="18"/>
        <v>3.5009548058562157E-3</v>
      </c>
      <c r="E1209" s="49"/>
    </row>
    <row r="1210" spans="1:5" ht="14.4">
      <c r="A1210" s="136">
        <v>42768</v>
      </c>
      <c r="B1210" s="137">
        <v>62.84</v>
      </c>
      <c r="C1210" s="133"/>
      <c r="D1210" s="50">
        <f t="shared" si="18"/>
        <v>-4.1204437400950145E-3</v>
      </c>
      <c r="E1210" s="49"/>
    </row>
    <row r="1211" spans="1:5" ht="14.4">
      <c r="A1211" s="136">
        <v>42767</v>
      </c>
      <c r="B1211" s="137">
        <v>63.1</v>
      </c>
      <c r="C1211" s="133"/>
      <c r="D1211" s="50">
        <f t="shared" si="18"/>
        <v>5.4174633524537441E-3</v>
      </c>
      <c r="E1211" s="49"/>
    </row>
    <row r="1212" spans="1:5" ht="14.4">
      <c r="A1212" s="136">
        <v>42766</v>
      </c>
      <c r="B1212" s="137">
        <v>62.76</v>
      </c>
      <c r="C1212" s="133"/>
      <c r="D1212" s="50">
        <f t="shared" si="18"/>
        <v>-8.3741507347132593E-3</v>
      </c>
      <c r="E1212" s="49"/>
    </row>
    <row r="1213" spans="1:5" ht="14.4">
      <c r="A1213" s="136">
        <v>42765</v>
      </c>
      <c r="B1213" s="137">
        <v>63.29</v>
      </c>
      <c r="C1213" s="133"/>
      <c r="D1213" s="50">
        <f t="shared" si="18"/>
        <v>-2.1339106231637595E-2</v>
      </c>
      <c r="E1213" s="49"/>
    </row>
    <row r="1214" spans="1:5" ht="14.4">
      <c r="A1214" s="136">
        <v>42762</v>
      </c>
      <c r="B1214" s="137">
        <v>64.67</v>
      </c>
      <c r="C1214" s="133"/>
      <c r="D1214" s="50">
        <f t="shared" si="18"/>
        <v>-3.6974272069018044E-3</v>
      </c>
      <c r="E1214" s="49"/>
    </row>
    <row r="1215" spans="1:5" ht="14.4">
      <c r="A1215" s="136">
        <v>42761</v>
      </c>
      <c r="B1215" s="137">
        <v>64.91</v>
      </c>
      <c r="C1215" s="133"/>
      <c r="D1215" s="50">
        <f t="shared" si="18"/>
        <v>-7.3405719528980562E-3</v>
      </c>
      <c r="E1215" s="49"/>
    </row>
    <row r="1216" spans="1:5" ht="14.4">
      <c r="A1216" s="136">
        <v>42760</v>
      </c>
      <c r="B1216" s="137">
        <v>65.39</v>
      </c>
      <c r="C1216" s="133"/>
      <c r="D1216" s="50">
        <f t="shared" si="18"/>
        <v>-2.5930445393532731E-3</v>
      </c>
      <c r="E1216" s="49"/>
    </row>
    <row r="1217" spans="1:7" ht="14.4">
      <c r="A1217" s="136">
        <v>42759</v>
      </c>
      <c r="B1217" s="137">
        <v>65.56</v>
      </c>
      <c r="C1217" s="133"/>
      <c r="D1217" s="50">
        <f t="shared" si="18"/>
        <v>1.6806722689075571E-3</v>
      </c>
      <c r="E1217" s="49"/>
    </row>
    <row r="1218" spans="1:7" ht="14.4">
      <c r="A1218" s="136">
        <v>42758</v>
      </c>
      <c r="B1218" s="137">
        <v>65.45</v>
      </c>
      <c r="C1218" s="133"/>
      <c r="D1218" s="50">
        <f t="shared" si="18"/>
        <v>1.6835016835017313E-3</v>
      </c>
      <c r="E1218" s="49"/>
    </row>
    <row r="1219" spans="1:7" ht="14.4">
      <c r="A1219" s="136">
        <v>42755</v>
      </c>
      <c r="B1219" s="137">
        <v>65.34</v>
      </c>
      <c r="C1219" s="133"/>
      <c r="D1219" s="50">
        <f t="shared" si="18"/>
        <v>-2.1380574221135928E-3</v>
      </c>
      <c r="E1219" s="49"/>
    </row>
    <row r="1220" spans="1:7" ht="14.4">
      <c r="A1220" s="136">
        <v>42754</v>
      </c>
      <c r="B1220" s="137">
        <v>65.48</v>
      </c>
      <c r="C1220" s="133"/>
      <c r="D1220" s="50">
        <f t="shared" si="18"/>
        <v>9.8704503392967879E-3</v>
      </c>
      <c r="E1220" s="49"/>
    </row>
    <row r="1221" spans="1:7" ht="14.4">
      <c r="A1221" s="136">
        <v>42753</v>
      </c>
      <c r="B1221" s="137">
        <v>64.84</v>
      </c>
      <c r="C1221" s="133"/>
      <c r="D1221" s="50">
        <f t="shared" si="18"/>
        <v>-7.8041315990817761E-3</v>
      </c>
      <c r="E1221" s="49"/>
    </row>
    <row r="1222" spans="1:7" ht="14.4">
      <c r="A1222" s="136">
        <v>42752</v>
      </c>
      <c r="B1222" s="137">
        <v>65.349999999999994</v>
      </c>
      <c r="C1222" s="133"/>
      <c r="D1222" s="50">
        <f t="shared" si="18"/>
        <v>2.6081620128872718E-3</v>
      </c>
      <c r="E1222" s="42"/>
      <c r="F1222" s="42"/>
      <c r="G1222" s="42"/>
    </row>
    <row r="1223" spans="1:7" ht="14.4">
      <c r="A1223" s="136">
        <v>42751</v>
      </c>
      <c r="B1223" s="137">
        <v>65.180000000000007</v>
      </c>
      <c r="C1223" s="133"/>
      <c r="D1223" s="50">
        <f t="shared" si="18"/>
        <v>-7.0079219987810859E-3</v>
      </c>
      <c r="E1223" s="42"/>
      <c r="F1223" s="42"/>
      <c r="G1223" s="42"/>
    </row>
    <row r="1224" spans="1:7" ht="14.4">
      <c r="A1224" s="136">
        <v>42748</v>
      </c>
      <c r="B1224" s="137">
        <v>65.64</v>
      </c>
      <c r="C1224" s="133"/>
      <c r="D1224" s="50">
        <f t="shared" ref="D1224:D1287" si="19">(B1224-C1224)/B1225-1</f>
        <v>1.4685422785592817E-2</v>
      </c>
      <c r="E1224" s="42"/>
      <c r="F1224" s="42"/>
      <c r="G1224" s="42"/>
    </row>
    <row r="1225" spans="1:7" ht="14.4">
      <c r="A1225" s="136">
        <v>42747</v>
      </c>
      <c r="B1225" s="137">
        <v>64.69</v>
      </c>
      <c r="C1225" s="133"/>
      <c r="D1225" s="50">
        <f t="shared" si="19"/>
        <v>-1.1762908646501646E-2</v>
      </c>
      <c r="E1225" s="42"/>
      <c r="F1225" s="42"/>
      <c r="G1225" s="42"/>
    </row>
    <row r="1226" spans="1:7" ht="14.4">
      <c r="A1226" s="136">
        <v>42746</v>
      </c>
      <c r="B1226" s="137">
        <v>65.459999999999994</v>
      </c>
      <c r="C1226" s="133"/>
      <c r="D1226" s="50">
        <f t="shared" si="19"/>
        <v>3.9877300613495592E-3</v>
      </c>
      <c r="E1226" s="42"/>
      <c r="F1226" s="42"/>
      <c r="G1226" s="42"/>
    </row>
    <row r="1227" spans="1:7" ht="14.4">
      <c r="A1227" s="136">
        <v>42745</v>
      </c>
      <c r="B1227" s="137">
        <v>65.2</v>
      </c>
      <c r="C1227" s="133"/>
      <c r="D1227" s="50">
        <f t="shared" si="19"/>
        <v>-1.225490196078427E-3</v>
      </c>
      <c r="E1227" s="42"/>
      <c r="F1227" s="42"/>
      <c r="G1227" s="42"/>
    </row>
    <row r="1228" spans="1:7" ht="14.4">
      <c r="A1228" s="136">
        <v>42744</v>
      </c>
      <c r="B1228" s="137">
        <v>65.28</v>
      </c>
      <c r="C1228" s="133"/>
      <c r="D1228" s="50">
        <f t="shared" si="19"/>
        <v>2.149217070924081E-3</v>
      </c>
      <c r="E1228" s="42"/>
      <c r="F1228" s="42"/>
      <c r="G1228" s="42"/>
    </row>
    <row r="1229" spans="1:7" ht="14.4">
      <c r="A1229" s="136">
        <v>42741</v>
      </c>
      <c r="B1229" s="137">
        <v>65.14</v>
      </c>
      <c r="C1229" s="133"/>
      <c r="D1229" s="50">
        <f t="shared" si="19"/>
        <v>8.3591331269350366E-3</v>
      </c>
      <c r="E1229" s="42"/>
      <c r="F1229" s="42"/>
      <c r="G1229" s="42"/>
    </row>
    <row r="1230" spans="1:7" ht="14.4">
      <c r="A1230" s="136">
        <v>42740</v>
      </c>
      <c r="B1230" s="137">
        <v>64.599999999999994</v>
      </c>
      <c r="C1230" s="133"/>
      <c r="D1230" s="50">
        <f t="shared" si="19"/>
        <v>1.8927444794952564E-2</v>
      </c>
      <c r="E1230" s="42"/>
      <c r="F1230" s="42"/>
      <c r="G1230" s="42"/>
    </row>
    <row r="1231" spans="1:7" ht="14.4">
      <c r="A1231" s="136">
        <v>42739</v>
      </c>
      <c r="B1231" s="137">
        <v>63.4</v>
      </c>
      <c r="C1231" s="133"/>
      <c r="D1231" s="50">
        <f t="shared" si="19"/>
        <v>-1.5748031496063408E-3</v>
      </c>
      <c r="E1231" s="42"/>
      <c r="F1231" s="42"/>
      <c r="G1231" s="42"/>
    </row>
    <row r="1232" spans="1:7" ht="14.4">
      <c r="A1232" s="136">
        <v>42738</v>
      </c>
      <c r="B1232" s="137">
        <v>63.5</v>
      </c>
      <c r="C1232" s="133"/>
      <c r="D1232" s="50">
        <f t="shared" si="19"/>
        <v>1.0824578159821741E-2</v>
      </c>
      <c r="E1232" s="42"/>
      <c r="F1232" s="42"/>
      <c r="G1232" s="42"/>
    </row>
    <row r="1233" spans="1:7" ht="14.4">
      <c r="A1233" s="136">
        <v>42737</v>
      </c>
      <c r="B1233" s="137">
        <v>62.82</v>
      </c>
      <c r="C1233" s="133"/>
      <c r="D1233" s="50">
        <f t="shared" si="19"/>
        <v>-3.1826861871420142E-4</v>
      </c>
      <c r="E1233" s="42"/>
      <c r="F1233" s="42"/>
      <c r="G1233" s="42"/>
    </row>
    <row r="1234" spans="1:7" ht="14.4">
      <c r="A1234" s="138">
        <v>42734</v>
      </c>
      <c r="B1234" s="139">
        <v>62.84</v>
      </c>
      <c r="C1234" s="134">
        <v>1.35</v>
      </c>
      <c r="D1234" s="50">
        <f t="shared" si="19"/>
        <v>-1.3951250801795934E-2</v>
      </c>
      <c r="E1234" s="46"/>
      <c r="F1234" s="46"/>
      <c r="G1234" s="45" t="e">
        <v>#REF!</v>
      </c>
    </row>
    <row r="1235" spans="1:7" ht="14.4">
      <c r="A1235" s="136">
        <v>42733</v>
      </c>
      <c r="B1235" s="137">
        <v>62.36</v>
      </c>
      <c r="C1235" s="133"/>
      <c r="D1235" s="50">
        <f t="shared" si="19"/>
        <v>-5.7397959183673741E-3</v>
      </c>
      <c r="E1235" s="42"/>
      <c r="F1235" s="42"/>
      <c r="G1235" s="42"/>
    </row>
    <row r="1236" spans="1:7" ht="14.4">
      <c r="A1236" s="136">
        <v>42732</v>
      </c>
      <c r="B1236" s="137">
        <v>62.72</v>
      </c>
      <c r="C1236" s="133"/>
      <c r="D1236" s="50">
        <f t="shared" si="19"/>
        <v>-3.1786395422759295E-3</v>
      </c>
      <c r="E1236" s="42"/>
      <c r="F1236" s="42"/>
      <c r="G1236" s="42"/>
    </row>
    <row r="1237" spans="1:7" ht="14.4">
      <c r="A1237" s="136">
        <v>42731</v>
      </c>
      <c r="B1237" s="137">
        <v>62.92</v>
      </c>
      <c r="C1237" s="133"/>
      <c r="D1237" s="50">
        <f t="shared" si="19"/>
        <v>3.1796502384739966E-4</v>
      </c>
      <c r="E1237" s="42"/>
      <c r="F1237" s="42"/>
      <c r="G1237" s="42"/>
    </row>
    <row r="1238" spans="1:7" ht="14.4">
      <c r="A1238" s="136">
        <v>42727</v>
      </c>
      <c r="B1238" s="137">
        <v>62.9</v>
      </c>
      <c r="C1238" s="133"/>
      <c r="D1238" s="50">
        <f t="shared" si="19"/>
        <v>2.8698979591836871E-3</v>
      </c>
      <c r="E1238" s="49"/>
    </row>
    <row r="1239" spans="1:7" ht="14.4">
      <c r="A1239" s="136">
        <v>42726</v>
      </c>
      <c r="B1239" s="137">
        <v>62.72</v>
      </c>
      <c r="C1239" s="133"/>
      <c r="D1239" s="50">
        <f t="shared" si="19"/>
        <v>-4.4444444444444731E-3</v>
      </c>
      <c r="E1239" s="49"/>
    </row>
    <row r="1240" spans="1:7" ht="14.4">
      <c r="A1240" s="136">
        <v>42725</v>
      </c>
      <c r="B1240" s="137">
        <v>63</v>
      </c>
      <c r="C1240" s="133"/>
      <c r="D1240" s="50">
        <f t="shared" si="19"/>
        <v>-1.3157894736842146E-2</v>
      </c>
      <c r="E1240" s="49"/>
    </row>
    <row r="1241" spans="1:7" ht="14.4">
      <c r="A1241" s="136">
        <v>42724</v>
      </c>
      <c r="B1241" s="137">
        <v>63.84</v>
      </c>
      <c r="C1241" s="133"/>
      <c r="D1241" s="50">
        <f t="shared" si="19"/>
        <v>9.3280632411067987E-3</v>
      </c>
      <c r="E1241" s="49"/>
    </row>
    <row r="1242" spans="1:7" ht="14.4">
      <c r="A1242" s="136">
        <v>42723</v>
      </c>
      <c r="B1242" s="137">
        <v>63.25</v>
      </c>
      <c r="C1242" s="133"/>
      <c r="D1242" s="50">
        <f t="shared" si="19"/>
        <v>-1.4490495481458532E-2</v>
      </c>
      <c r="E1242" s="49"/>
    </row>
    <row r="1243" spans="1:7" ht="14.4">
      <c r="A1243" s="136">
        <v>42720</v>
      </c>
      <c r="B1243" s="137">
        <v>64.180000000000007</v>
      </c>
      <c r="C1243" s="133"/>
      <c r="D1243" s="50">
        <f t="shared" si="19"/>
        <v>1.2480499219971186E-3</v>
      </c>
      <c r="E1243" s="49"/>
    </row>
    <row r="1244" spans="1:7" ht="14.4">
      <c r="A1244" s="136">
        <v>42719</v>
      </c>
      <c r="B1244" s="137">
        <v>64.099999999999994</v>
      </c>
      <c r="C1244" s="133"/>
      <c r="D1244" s="50">
        <f t="shared" si="19"/>
        <v>2.7243589743589647E-2</v>
      </c>
      <c r="E1244" s="49"/>
    </row>
    <row r="1245" spans="1:7" ht="14.4">
      <c r="A1245" s="136">
        <v>42718</v>
      </c>
      <c r="B1245" s="137">
        <v>62.4</v>
      </c>
      <c r="C1245" s="133"/>
      <c r="D1245" s="50">
        <f t="shared" si="19"/>
        <v>-7.1599045346062429E-3</v>
      </c>
      <c r="E1245" s="49"/>
    </row>
    <row r="1246" spans="1:7" ht="14.4">
      <c r="A1246" s="136">
        <v>42717</v>
      </c>
      <c r="B1246" s="137">
        <v>62.85</v>
      </c>
      <c r="C1246" s="133"/>
      <c r="D1246" s="50">
        <f t="shared" si="19"/>
        <v>3.9702233250620278E-2</v>
      </c>
      <c r="E1246" s="49"/>
    </row>
    <row r="1247" spans="1:7" ht="14.4">
      <c r="A1247" s="136">
        <v>42716</v>
      </c>
      <c r="B1247" s="137">
        <v>60.45</v>
      </c>
      <c r="C1247" s="133"/>
      <c r="D1247" s="50">
        <f t="shared" si="19"/>
        <v>1.460221550855989E-2</v>
      </c>
      <c r="E1247" s="49"/>
    </row>
    <row r="1248" spans="1:7" ht="14.4">
      <c r="A1248" s="136">
        <v>42713</v>
      </c>
      <c r="B1248" s="137">
        <v>59.58</v>
      </c>
      <c r="C1248" s="133"/>
      <c r="D1248" s="50">
        <f t="shared" si="19"/>
        <v>4.3830074173971667E-3</v>
      </c>
      <c r="E1248" s="49"/>
    </row>
    <row r="1249" spans="1:5" ht="14.4">
      <c r="A1249" s="136">
        <v>42712</v>
      </c>
      <c r="B1249" s="137">
        <v>59.32</v>
      </c>
      <c r="C1249" s="133"/>
      <c r="D1249" s="50">
        <f t="shared" si="19"/>
        <v>1.2632297712529938E-2</v>
      </c>
      <c r="E1249" s="49"/>
    </row>
    <row r="1250" spans="1:5" ht="14.4">
      <c r="A1250" s="136">
        <v>42711</v>
      </c>
      <c r="B1250" s="137">
        <v>58.58</v>
      </c>
      <c r="C1250" s="133"/>
      <c r="D1250" s="50">
        <f t="shared" si="19"/>
        <v>-1.380471380471382E-2</v>
      </c>
      <c r="E1250" s="49"/>
    </row>
    <row r="1251" spans="1:5" ht="14.4">
      <c r="A1251" s="136">
        <v>42710</v>
      </c>
      <c r="B1251" s="137">
        <v>59.4</v>
      </c>
      <c r="C1251" s="133"/>
      <c r="D1251" s="50">
        <f t="shared" si="19"/>
        <v>-8.0160320641283755E-3</v>
      </c>
      <c r="E1251" s="49"/>
    </row>
    <row r="1252" spans="1:5" ht="14.4">
      <c r="A1252" s="136">
        <v>42709</v>
      </c>
      <c r="B1252" s="137">
        <v>59.88</v>
      </c>
      <c r="C1252" s="133"/>
      <c r="D1252" s="50">
        <f t="shared" si="19"/>
        <v>1.5087302932700553E-2</v>
      </c>
      <c r="E1252" s="49"/>
    </row>
    <row r="1253" spans="1:5" ht="14.4">
      <c r="A1253" s="136">
        <v>42706</v>
      </c>
      <c r="B1253" s="137">
        <v>58.99</v>
      </c>
      <c r="C1253" s="133"/>
      <c r="D1253" s="50">
        <f t="shared" si="19"/>
        <v>-1.7651956702747662E-2</v>
      </c>
      <c r="E1253" s="49"/>
    </row>
    <row r="1254" spans="1:5" ht="14.4">
      <c r="A1254" s="136">
        <v>42705</v>
      </c>
      <c r="B1254" s="137">
        <v>60.05</v>
      </c>
      <c r="C1254" s="133"/>
      <c r="D1254" s="50">
        <f t="shared" si="19"/>
        <v>-3.6502405840386221E-3</v>
      </c>
      <c r="E1254" s="49"/>
    </row>
    <row r="1255" spans="1:5" ht="14.4">
      <c r="A1255" s="136">
        <v>42704</v>
      </c>
      <c r="B1255" s="137">
        <v>60.27</v>
      </c>
      <c r="C1255" s="133"/>
      <c r="D1255" s="50">
        <f t="shared" si="19"/>
        <v>-2.6476915439350712E-3</v>
      </c>
      <c r="E1255" s="49"/>
    </row>
    <row r="1256" spans="1:5" ht="14.4">
      <c r="A1256" s="136">
        <v>42703</v>
      </c>
      <c r="B1256" s="137">
        <v>60.43</v>
      </c>
      <c r="C1256" s="133"/>
      <c r="D1256" s="50">
        <f t="shared" si="19"/>
        <v>6.328059950041709E-3</v>
      </c>
      <c r="E1256" s="49"/>
    </row>
    <row r="1257" spans="1:5" ht="14.4">
      <c r="A1257" s="136">
        <v>42702</v>
      </c>
      <c r="B1257" s="137">
        <v>60.05</v>
      </c>
      <c r="C1257" s="133"/>
      <c r="D1257" s="50">
        <f t="shared" si="19"/>
        <v>-4.3110595257835893E-3</v>
      </c>
      <c r="E1257" s="49"/>
    </row>
    <row r="1258" spans="1:5" ht="14.4">
      <c r="A1258" s="136">
        <v>42699</v>
      </c>
      <c r="B1258" s="137">
        <v>60.31</v>
      </c>
      <c r="C1258" s="133"/>
      <c r="D1258" s="50">
        <f t="shared" si="19"/>
        <v>4.497001998667649E-3</v>
      </c>
      <c r="E1258" s="49"/>
    </row>
    <row r="1259" spans="1:5" ht="14.4">
      <c r="A1259" s="136">
        <v>42698</v>
      </c>
      <c r="B1259" s="137">
        <v>60.04</v>
      </c>
      <c r="C1259" s="133"/>
      <c r="D1259" s="50">
        <f t="shared" si="19"/>
        <v>4.3492806958849162E-3</v>
      </c>
      <c r="E1259" s="49"/>
    </row>
    <row r="1260" spans="1:5" ht="14.4">
      <c r="A1260" s="136">
        <v>42697</v>
      </c>
      <c r="B1260" s="137">
        <v>59.78</v>
      </c>
      <c r="C1260" s="133"/>
      <c r="D1260" s="50">
        <f t="shared" si="19"/>
        <v>2.3630136986301453E-2</v>
      </c>
      <c r="E1260" s="49"/>
    </row>
    <row r="1261" spans="1:5" ht="14.4">
      <c r="A1261" s="136">
        <v>42696</v>
      </c>
      <c r="B1261" s="137">
        <v>58.4</v>
      </c>
      <c r="C1261" s="133"/>
      <c r="D1261" s="50">
        <f t="shared" si="19"/>
        <v>1.2482662968099856E-2</v>
      </c>
      <c r="E1261" s="49"/>
    </row>
    <row r="1262" spans="1:5" ht="14.4">
      <c r="A1262" s="136">
        <v>42695</v>
      </c>
      <c r="B1262" s="137">
        <v>57.68</v>
      </c>
      <c r="C1262" s="133"/>
      <c r="D1262" s="50">
        <f t="shared" si="19"/>
        <v>4.4170890658942863E-2</v>
      </c>
      <c r="E1262" s="49"/>
    </row>
    <row r="1263" spans="1:5" ht="14.4">
      <c r="A1263" s="136">
        <v>42692</v>
      </c>
      <c r="B1263" s="137">
        <v>55.24</v>
      </c>
      <c r="C1263" s="133"/>
      <c r="D1263" s="50">
        <f t="shared" si="19"/>
        <v>-5.2224023050603252E-3</v>
      </c>
      <c r="E1263" s="49"/>
    </row>
    <row r="1264" spans="1:5" ht="14.4">
      <c r="A1264" s="136">
        <v>42691</v>
      </c>
      <c r="B1264" s="137">
        <v>55.53</v>
      </c>
      <c r="C1264" s="133"/>
      <c r="D1264" s="50">
        <f t="shared" si="19"/>
        <v>1.2951477562933356E-2</v>
      </c>
      <c r="E1264" s="49"/>
    </row>
    <row r="1265" spans="1:5" ht="14.4">
      <c r="A1265" s="136">
        <v>42690</v>
      </c>
      <c r="B1265" s="137">
        <v>54.82</v>
      </c>
      <c r="C1265" s="133"/>
      <c r="D1265" s="50">
        <f t="shared" si="19"/>
        <v>-2.9219054365149599E-2</v>
      </c>
      <c r="E1265" s="49"/>
    </row>
    <row r="1266" spans="1:5" ht="14.4">
      <c r="A1266" s="136">
        <v>42689</v>
      </c>
      <c r="B1266" s="137">
        <v>56.47</v>
      </c>
      <c r="C1266" s="133"/>
      <c r="D1266" s="50">
        <f t="shared" si="19"/>
        <v>1.7739932588256568E-3</v>
      </c>
      <c r="E1266" s="49"/>
    </row>
    <row r="1267" spans="1:5" ht="14.4">
      <c r="A1267" s="136">
        <v>42688</v>
      </c>
      <c r="B1267" s="137">
        <v>56.37</v>
      </c>
      <c r="C1267" s="133"/>
      <c r="D1267" s="50">
        <f t="shared" si="19"/>
        <v>2.9401022644265806E-2</v>
      </c>
      <c r="E1267" s="49"/>
    </row>
    <row r="1268" spans="1:5" ht="14.4">
      <c r="A1268" s="136">
        <v>42685</v>
      </c>
      <c r="B1268" s="137">
        <v>54.76</v>
      </c>
      <c r="C1268" s="133"/>
      <c r="D1268" s="50">
        <f t="shared" si="19"/>
        <v>-1.0659439927732661E-2</v>
      </c>
      <c r="E1268" s="49"/>
    </row>
    <row r="1269" spans="1:5" ht="14.4">
      <c r="A1269" s="136">
        <v>42684</v>
      </c>
      <c r="B1269" s="137">
        <v>55.35</v>
      </c>
      <c r="C1269" s="133"/>
      <c r="D1269" s="50">
        <f t="shared" si="19"/>
        <v>2.0088462956137088E-2</v>
      </c>
      <c r="E1269" s="49"/>
    </row>
    <row r="1270" spans="1:5" ht="14.4">
      <c r="A1270" s="136">
        <v>42683</v>
      </c>
      <c r="B1270" s="137">
        <v>54.26</v>
      </c>
      <c r="C1270" s="133"/>
      <c r="D1270" s="50">
        <f t="shared" si="19"/>
        <v>2.7262400605831072E-2</v>
      </c>
      <c r="E1270" s="49"/>
    </row>
    <row r="1271" spans="1:5" ht="14.4">
      <c r="A1271" s="136">
        <v>42682</v>
      </c>
      <c r="B1271" s="137">
        <v>52.82</v>
      </c>
      <c r="C1271" s="133"/>
      <c r="D1271" s="50">
        <f t="shared" si="19"/>
        <v>-6.2088428974599319E-3</v>
      </c>
      <c r="E1271" s="49"/>
    </row>
    <row r="1272" spans="1:5" ht="14.4">
      <c r="A1272" s="136">
        <v>42681</v>
      </c>
      <c r="B1272" s="137">
        <v>53.15</v>
      </c>
      <c r="C1272" s="133"/>
      <c r="D1272" s="50">
        <f t="shared" si="19"/>
        <v>2.3690292758089315E-2</v>
      </c>
      <c r="E1272" s="49"/>
    </row>
    <row r="1273" spans="1:5" ht="14.4">
      <c r="A1273" s="136">
        <v>42678</v>
      </c>
      <c r="B1273" s="137">
        <v>51.92</v>
      </c>
      <c r="C1273" s="133"/>
      <c r="D1273" s="50">
        <f t="shared" si="19"/>
        <v>-3.072196620583667E-3</v>
      </c>
      <c r="E1273" s="49"/>
    </row>
    <row r="1274" spans="1:5" ht="14.4">
      <c r="A1274" s="136">
        <v>42677</v>
      </c>
      <c r="B1274" s="137">
        <v>52.08</v>
      </c>
      <c r="C1274" s="133"/>
      <c r="D1274" s="50">
        <f t="shared" si="19"/>
        <v>-9.6976611523104106E-3</v>
      </c>
      <c r="E1274" s="49"/>
    </row>
    <row r="1275" spans="1:5" ht="14.4">
      <c r="A1275" s="136">
        <v>42676</v>
      </c>
      <c r="B1275" s="137">
        <v>52.59</v>
      </c>
      <c r="C1275" s="133"/>
      <c r="D1275" s="50">
        <f t="shared" si="19"/>
        <v>-1.369092273068262E-2</v>
      </c>
      <c r="E1275" s="49"/>
    </row>
    <row r="1276" spans="1:5" ht="14.4">
      <c r="A1276" s="136">
        <v>42675</v>
      </c>
      <c r="B1276" s="137">
        <v>53.32</v>
      </c>
      <c r="C1276" s="133"/>
      <c r="D1276" s="50">
        <f t="shared" si="19"/>
        <v>-1.532779316712829E-2</v>
      </c>
      <c r="E1276" s="49"/>
    </row>
    <row r="1277" spans="1:5" ht="14.4">
      <c r="A1277" s="136">
        <v>42674</v>
      </c>
      <c r="B1277" s="137">
        <v>54.15</v>
      </c>
      <c r="C1277" s="133"/>
      <c r="D1277" s="50">
        <f t="shared" si="19"/>
        <v>-1.5454545454545499E-2</v>
      </c>
      <c r="E1277" s="49"/>
    </row>
    <row r="1278" spans="1:5" ht="14.4">
      <c r="A1278" s="136">
        <v>42671</v>
      </c>
      <c r="B1278" s="137">
        <v>55</v>
      </c>
      <c r="C1278" s="133"/>
      <c r="D1278" s="50">
        <f t="shared" si="19"/>
        <v>-8.1154192966637062E-3</v>
      </c>
      <c r="E1278" s="49"/>
    </row>
    <row r="1279" spans="1:5" ht="14.4">
      <c r="A1279" s="136">
        <v>42670</v>
      </c>
      <c r="B1279" s="137">
        <v>55.45</v>
      </c>
      <c r="C1279" s="133"/>
      <c r="D1279" s="50">
        <f t="shared" si="19"/>
        <v>9.0252707581228719E-4</v>
      </c>
      <c r="E1279" s="49"/>
    </row>
    <row r="1280" spans="1:5" ht="14.4">
      <c r="A1280" s="136">
        <v>42669</v>
      </c>
      <c r="B1280" s="137">
        <v>55.4</v>
      </c>
      <c r="C1280" s="133"/>
      <c r="D1280" s="50">
        <f t="shared" si="19"/>
        <v>3.7647499531747508E-2</v>
      </c>
      <c r="E1280" s="49"/>
    </row>
    <row r="1281" spans="1:5" ht="14.4">
      <c r="A1281" s="136">
        <v>42668</v>
      </c>
      <c r="B1281" s="137">
        <v>53.39</v>
      </c>
      <c r="C1281" s="133"/>
      <c r="D1281" s="50">
        <f t="shared" si="19"/>
        <v>-2.6262994710924636E-2</v>
      </c>
      <c r="E1281" s="49"/>
    </row>
    <row r="1282" spans="1:5" ht="14.4">
      <c r="A1282" s="136">
        <v>42667</v>
      </c>
      <c r="B1282" s="137">
        <v>54.83</v>
      </c>
      <c r="C1282" s="133"/>
      <c r="D1282" s="50">
        <f t="shared" si="19"/>
        <v>1.0504976041282754E-2</v>
      </c>
      <c r="E1282" s="49"/>
    </row>
    <row r="1283" spans="1:5" ht="14.4">
      <c r="A1283" s="136">
        <v>42664</v>
      </c>
      <c r="B1283" s="137">
        <v>54.26</v>
      </c>
      <c r="C1283" s="133"/>
      <c r="D1283" s="50">
        <f t="shared" si="19"/>
        <v>-1.8426386585601584E-4</v>
      </c>
      <c r="E1283" s="49"/>
    </row>
    <row r="1284" spans="1:5" ht="14.4">
      <c r="A1284" s="136">
        <v>42663</v>
      </c>
      <c r="B1284" s="137">
        <v>54.27</v>
      </c>
      <c r="C1284" s="133"/>
      <c r="D1284" s="50">
        <f t="shared" si="19"/>
        <v>2.5863661555514117E-3</v>
      </c>
      <c r="E1284" s="49"/>
    </row>
    <row r="1285" spans="1:5" ht="14.4">
      <c r="A1285" s="136">
        <v>42662</v>
      </c>
      <c r="B1285" s="137">
        <v>54.13</v>
      </c>
      <c r="C1285" s="133"/>
      <c r="D1285" s="50">
        <f t="shared" si="19"/>
        <v>9.3231400335633818E-3</v>
      </c>
      <c r="E1285" s="49"/>
    </row>
    <row r="1286" spans="1:5" ht="14.4">
      <c r="A1286" s="136">
        <v>42661</v>
      </c>
      <c r="B1286" s="137">
        <v>53.63</v>
      </c>
      <c r="C1286" s="133"/>
      <c r="D1286" s="50">
        <f t="shared" si="19"/>
        <v>1.7453993549611191E-2</v>
      </c>
      <c r="E1286" s="49"/>
    </row>
    <row r="1287" spans="1:5" ht="14.4">
      <c r="A1287" s="136">
        <v>42660</v>
      </c>
      <c r="B1287" s="137">
        <v>52.71</v>
      </c>
      <c r="C1287" s="133"/>
      <c r="D1287" s="50">
        <f t="shared" si="19"/>
        <v>2.0912547528517678E-3</v>
      </c>
      <c r="E1287" s="49"/>
    </row>
    <row r="1288" spans="1:5" ht="14.4">
      <c r="A1288" s="136">
        <v>42657</v>
      </c>
      <c r="B1288" s="137">
        <v>52.6</v>
      </c>
      <c r="C1288" s="133"/>
      <c r="D1288" s="50">
        <f t="shared" ref="D1288:D1351" si="20">(B1288-C1288)/B1289-1</f>
        <v>3.4338038916443825E-3</v>
      </c>
      <c r="E1288" s="49"/>
    </row>
    <row r="1289" spans="1:5" ht="14.4">
      <c r="A1289" s="136">
        <v>42656</v>
      </c>
      <c r="B1289" s="137">
        <v>52.42</v>
      </c>
      <c r="C1289" s="133"/>
      <c r="D1289" s="50">
        <f t="shared" si="20"/>
        <v>-1.1432926829267887E-3</v>
      </c>
      <c r="E1289" s="49"/>
    </row>
    <row r="1290" spans="1:5" ht="14.4">
      <c r="A1290" s="136">
        <v>42655</v>
      </c>
      <c r="B1290" s="137">
        <v>52.48</v>
      </c>
      <c r="C1290" s="133"/>
      <c r="D1290" s="50">
        <f t="shared" si="20"/>
        <v>-1.0371487837073423E-2</v>
      </c>
      <c r="E1290" s="49"/>
    </row>
    <row r="1291" spans="1:5" ht="14.4">
      <c r="A1291" s="136">
        <v>42654</v>
      </c>
      <c r="B1291" s="137">
        <v>53.03</v>
      </c>
      <c r="C1291" s="133"/>
      <c r="D1291" s="50">
        <f t="shared" si="20"/>
        <v>-2.3927848334253543E-2</v>
      </c>
      <c r="E1291" s="49"/>
    </row>
    <row r="1292" spans="1:5" ht="14.4">
      <c r="A1292" s="136">
        <v>42653</v>
      </c>
      <c r="B1292" s="137">
        <v>54.33</v>
      </c>
      <c r="C1292" s="133"/>
      <c r="D1292" s="50">
        <f t="shared" si="20"/>
        <v>9.2885008359651078E-3</v>
      </c>
      <c r="E1292" s="49"/>
    </row>
    <row r="1293" spans="1:5" ht="14.4">
      <c r="A1293" s="136">
        <v>42650</v>
      </c>
      <c r="B1293" s="137">
        <v>53.83</v>
      </c>
      <c r="C1293" s="133"/>
      <c r="D1293" s="50">
        <f t="shared" si="20"/>
        <v>-1.1023332720926038E-2</v>
      </c>
      <c r="E1293" s="49"/>
    </row>
    <row r="1294" spans="1:5" ht="14.4">
      <c r="A1294" s="136">
        <v>42649</v>
      </c>
      <c r="B1294" s="137">
        <v>54.43</v>
      </c>
      <c r="C1294" s="133"/>
      <c r="D1294" s="50">
        <f t="shared" si="20"/>
        <v>-1.1801016702977507E-2</v>
      </c>
      <c r="E1294" s="49"/>
    </row>
    <row r="1295" spans="1:5" ht="14.4">
      <c r="A1295" s="136">
        <v>42648</v>
      </c>
      <c r="B1295" s="137">
        <v>55.08</v>
      </c>
      <c r="C1295" s="133"/>
      <c r="D1295" s="50">
        <f t="shared" si="20"/>
        <v>4.1932543299907366E-3</v>
      </c>
      <c r="E1295" s="49"/>
    </row>
    <row r="1296" spans="1:5" ht="14.4">
      <c r="A1296" s="136">
        <v>42647</v>
      </c>
      <c r="B1296" s="137">
        <v>54.85</v>
      </c>
      <c r="C1296" s="133"/>
      <c r="D1296" s="50">
        <f t="shared" si="20"/>
        <v>2.0655005582433938E-2</v>
      </c>
      <c r="E1296" s="49"/>
    </row>
    <row r="1297" spans="1:5" ht="14.4">
      <c r="A1297" s="136">
        <v>42646</v>
      </c>
      <c r="B1297" s="137">
        <v>53.74</v>
      </c>
      <c r="C1297" s="133"/>
      <c r="D1297" s="50">
        <f t="shared" si="20"/>
        <v>-1.857355126300142E-3</v>
      </c>
      <c r="E1297" s="49"/>
    </row>
    <row r="1298" spans="1:5" ht="14.4">
      <c r="A1298" s="136">
        <v>42643</v>
      </c>
      <c r="B1298" s="137">
        <v>53.84</v>
      </c>
      <c r="C1298" s="133"/>
      <c r="D1298" s="50">
        <f t="shared" si="20"/>
        <v>1.0131332082551792E-2</v>
      </c>
      <c r="E1298" s="49"/>
    </row>
    <row r="1299" spans="1:5" ht="14.4">
      <c r="A1299" s="136">
        <v>42642</v>
      </c>
      <c r="B1299" s="137">
        <v>53.3</v>
      </c>
      <c r="C1299" s="133"/>
      <c r="D1299" s="50">
        <f t="shared" si="20"/>
        <v>1.1193321950293988E-2</v>
      </c>
      <c r="E1299" s="49"/>
    </row>
    <row r="1300" spans="1:5" ht="14.4">
      <c r="A1300" s="136">
        <v>42641</v>
      </c>
      <c r="B1300" s="137">
        <v>52.71</v>
      </c>
      <c r="C1300" s="133"/>
      <c r="D1300" s="50">
        <f t="shared" si="20"/>
        <v>1.0932105868814768E-2</v>
      </c>
      <c r="E1300" s="49"/>
    </row>
    <row r="1301" spans="1:5" ht="14.4">
      <c r="A1301" s="136">
        <v>42640</v>
      </c>
      <c r="B1301" s="137">
        <v>52.14</v>
      </c>
      <c r="C1301" s="133"/>
      <c r="D1301" s="50">
        <f t="shared" si="20"/>
        <v>-6.6679367498571063E-3</v>
      </c>
      <c r="E1301" s="49"/>
    </row>
    <row r="1302" spans="1:5" ht="14.4">
      <c r="A1302" s="136">
        <v>42639</v>
      </c>
      <c r="B1302" s="137">
        <v>52.49</v>
      </c>
      <c r="C1302" s="133"/>
      <c r="D1302" s="50">
        <f t="shared" si="20"/>
        <v>-2.4530756364987916E-2</v>
      </c>
      <c r="E1302" s="49"/>
    </row>
    <row r="1303" spans="1:5" ht="14.4">
      <c r="A1303" s="136">
        <v>42636</v>
      </c>
      <c r="B1303" s="137">
        <v>53.81</v>
      </c>
      <c r="C1303" s="133"/>
      <c r="D1303" s="50">
        <f t="shared" si="20"/>
        <v>1.6753536857780915E-3</v>
      </c>
      <c r="E1303" s="49"/>
    </row>
    <row r="1304" spans="1:5" ht="14.4">
      <c r="A1304" s="136">
        <v>42635</v>
      </c>
      <c r="B1304" s="137">
        <v>53.72</v>
      </c>
      <c r="C1304" s="133"/>
      <c r="D1304" s="50">
        <f t="shared" si="20"/>
        <v>2.0322886989553757E-2</v>
      </c>
      <c r="E1304" s="49"/>
    </row>
    <row r="1305" spans="1:5" ht="14.4">
      <c r="A1305" s="136">
        <v>42634</v>
      </c>
      <c r="B1305" s="137">
        <v>52.65</v>
      </c>
      <c r="C1305" s="133"/>
      <c r="D1305" s="50">
        <f t="shared" si="20"/>
        <v>3.4305317324185847E-3</v>
      </c>
      <c r="E1305" s="49"/>
    </row>
    <row r="1306" spans="1:5" ht="14.4">
      <c r="A1306" s="136">
        <v>42633</v>
      </c>
      <c r="B1306" s="137">
        <v>52.47</v>
      </c>
      <c r="C1306" s="133"/>
      <c r="D1306" s="50">
        <f t="shared" si="20"/>
        <v>-6.6262779250284565E-3</v>
      </c>
      <c r="E1306" s="49"/>
    </row>
    <row r="1307" spans="1:5" ht="14.4">
      <c r="A1307" s="136">
        <v>42632</v>
      </c>
      <c r="B1307" s="137">
        <v>52.82</v>
      </c>
      <c r="C1307" s="133"/>
      <c r="D1307" s="50">
        <f t="shared" si="20"/>
        <v>4.564473183719997E-3</v>
      </c>
      <c r="E1307" s="49"/>
    </row>
    <row r="1308" spans="1:5" ht="14.4">
      <c r="A1308" s="136">
        <v>42629</v>
      </c>
      <c r="B1308" s="137">
        <v>52.58</v>
      </c>
      <c r="C1308" s="133"/>
      <c r="D1308" s="50">
        <f t="shared" si="20"/>
        <v>-4.3552357508048756E-3</v>
      </c>
      <c r="E1308" s="49"/>
    </row>
    <row r="1309" spans="1:5" ht="14.4">
      <c r="A1309" s="136">
        <v>42628</v>
      </c>
      <c r="B1309" s="137">
        <v>52.81</v>
      </c>
      <c r="C1309" s="133"/>
      <c r="D1309" s="50">
        <f t="shared" si="20"/>
        <v>-4.711647191858237E-3</v>
      </c>
      <c r="E1309" s="49"/>
    </row>
    <row r="1310" spans="1:5" ht="14.4">
      <c r="A1310" s="136">
        <v>42627</v>
      </c>
      <c r="B1310" s="137">
        <v>53.06</v>
      </c>
      <c r="C1310" s="133"/>
      <c r="D1310" s="50">
        <f t="shared" si="20"/>
        <v>-1.4121144555927168E-2</v>
      </c>
      <c r="E1310" s="49"/>
    </row>
    <row r="1311" spans="1:5" ht="14.4">
      <c r="A1311" s="136">
        <v>42626</v>
      </c>
      <c r="B1311" s="137">
        <v>53.82</v>
      </c>
      <c r="C1311" s="133"/>
      <c r="D1311" s="50">
        <f t="shared" si="20"/>
        <v>-1.2477064220183465E-2</v>
      </c>
      <c r="E1311" s="49"/>
    </row>
    <row r="1312" spans="1:5" ht="14.4">
      <c r="A1312" s="136">
        <v>42625</v>
      </c>
      <c r="B1312" s="137">
        <v>54.5</v>
      </c>
      <c r="C1312" s="133"/>
      <c r="D1312" s="50">
        <f t="shared" si="20"/>
        <v>-2.0312780873629421E-2</v>
      </c>
      <c r="E1312" s="49"/>
    </row>
    <row r="1313" spans="1:5" ht="14.4">
      <c r="A1313" s="136">
        <v>42622</v>
      </c>
      <c r="B1313" s="137">
        <v>55.63</v>
      </c>
      <c r="C1313" s="133"/>
      <c r="D1313" s="50">
        <f t="shared" si="20"/>
        <v>2.3423423423423184E-3</v>
      </c>
      <c r="E1313" s="49"/>
    </row>
    <row r="1314" spans="1:5" ht="14.4">
      <c r="A1314" s="136">
        <v>42621</v>
      </c>
      <c r="B1314" s="137">
        <v>55.5</v>
      </c>
      <c r="C1314" s="133"/>
      <c r="D1314" s="50">
        <f t="shared" si="20"/>
        <v>1.3698630136986356E-2</v>
      </c>
      <c r="E1314" s="49"/>
    </row>
    <row r="1315" spans="1:5" ht="14.4">
      <c r="A1315" s="136">
        <v>42620</v>
      </c>
      <c r="B1315" s="137">
        <v>54.75</v>
      </c>
      <c r="C1315" s="133"/>
      <c r="D1315" s="50">
        <f t="shared" si="20"/>
        <v>6.4338235294116863E-3</v>
      </c>
      <c r="E1315" s="49"/>
    </row>
    <row r="1316" spans="1:5" ht="14.4">
      <c r="A1316" s="136">
        <v>42619</v>
      </c>
      <c r="B1316" s="137">
        <v>54.4</v>
      </c>
      <c r="C1316" s="133"/>
      <c r="D1316" s="50">
        <f t="shared" si="20"/>
        <v>1.0025993316004511E-2</v>
      </c>
      <c r="E1316" s="49"/>
    </row>
    <row r="1317" spans="1:5" ht="14.4">
      <c r="A1317" s="136">
        <v>42618</v>
      </c>
      <c r="B1317" s="137">
        <v>53.86</v>
      </c>
      <c r="C1317" s="133"/>
      <c r="D1317" s="50">
        <f t="shared" si="20"/>
        <v>1.2596352697875624E-2</v>
      </c>
      <c r="E1317" s="49"/>
    </row>
    <row r="1318" spans="1:5" ht="14.4">
      <c r="A1318" s="136">
        <v>42615</v>
      </c>
      <c r="B1318" s="137">
        <v>53.19</v>
      </c>
      <c r="C1318" s="133"/>
      <c r="D1318" s="50">
        <f t="shared" si="20"/>
        <v>2.5843780135004657E-2</v>
      </c>
      <c r="E1318" s="49"/>
    </row>
    <row r="1319" spans="1:5" ht="14.4">
      <c r="A1319" s="136">
        <v>42614</v>
      </c>
      <c r="B1319" s="137">
        <v>51.85</v>
      </c>
      <c r="C1319" s="133"/>
      <c r="D1319" s="50">
        <f t="shared" si="20"/>
        <v>-8.4146108242493245E-3</v>
      </c>
      <c r="E1319" s="49"/>
    </row>
    <row r="1320" spans="1:5" ht="14.4">
      <c r="A1320" s="136">
        <v>42613</v>
      </c>
      <c r="B1320" s="137">
        <v>52.29</v>
      </c>
      <c r="C1320" s="133"/>
      <c r="D1320" s="50">
        <f t="shared" si="20"/>
        <v>1.6524105754276874E-2</v>
      </c>
      <c r="E1320" s="49"/>
    </row>
    <row r="1321" spans="1:5" ht="14.4">
      <c r="A1321" s="136">
        <v>42612</v>
      </c>
      <c r="B1321" s="137">
        <v>51.44</v>
      </c>
      <c r="C1321" s="133"/>
      <c r="D1321" s="50">
        <f t="shared" si="20"/>
        <v>2.7290448343080254E-3</v>
      </c>
      <c r="E1321" s="49"/>
    </row>
    <row r="1322" spans="1:5" ht="14.4">
      <c r="A1322" s="136">
        <v>42611</v>
      </c>
      <c r="B1322" s="137">
        <v>51.3</v>
      </c>
      <c r="C1322" s="133"/>
      <c r="D1322" s="50">
        <f t="shared" si="20"/>
        <v>5.0940438871474036E-3</v>
      </c>
      <c r="E1322" s="49"/>
    </row>
    <row r="1323" spans="1:5" ht="14.4">
      <c r="A1323" s="136">
        <v>42608</v>
      </c>
      <c r="B1323" s="137">
        <v>51.04</v>
      </c>
      <c r="C1323" s="133"/>
      <c r="D1323" s="50">
        <f t="shared" si="20"/>
        <v>9.6933728981207778E-3</v>
      </c>
      <c r="E1323" s="49"/>
    </row>
    <row r="1324" spans="1:5" ht="14.4">
      <c r="A1324" s="136">
        <v>42607</v>
      </c>
      <c r="B1324" s="137">
        <v>50.55</v>
      </c>
      <c r="C1324" s="133"/>
      <c r="D1324" s="50">
        <f t="shared" si="20"/>
        <v>-1.2888107791447001E-2</v>
      </c>
      <c r="E1324" s="49"/>
    </row>
    <row r="1325" spans="1:5" ht="14.4">
      <c r="A1325" s="136">
        <v>42606</v>
      </c>
      <c r="B1325" s="137">
        <v>51.21</v>
      </c>
      <c r="C1325" s="133"/>
      <c r="D1325" s="50">
        <f t="shared" si="20"/>
        <v>1.2055335968379488E-2</v>
      </c>
      <c r="E1325" s="49"/>
    </row>
    <row r="1326" spans="1:5" ht="14.4">
      <c r="A1326" s="136">
        <v>42605</v>
      </c>
      <c r="B1326" s="137">
        <v>50.6</v>
      </c>
      <c r="C1326" s="133"/>
      <c r="D1326" s="50">
        <f t="shared" si="20"/>
        <v>1.2506253126563172E-2</v>
      </c>
      <c r="E1326" s="49"/>
    </row>
    <row r="1327" spans="1:5" ht="14.4">
      <c r="A1327" s="136">
        <v>42604</v>
      </c>
      <c r="B1327" s="137">
        <v>49.975000000000001</v>
      </c>
      <c r="C1327" s="133"/>
      <c r="D1327" s="50">
        <f t="shared" si="20"/>
        <v>2.3064580826313019E-3</v>
      </c>
      <c r="E1327" s="49"/>
    </row>
    <row r="1328" spans="1:5" ht="14.4">
      <c r="A1328" s="136">
        <v>42601</v>
      </c>
      <c r="B1328" s="137">
        <v>49.86</v>
      </c>
      <c r="C1328" s="133"/>
      <c r="D1328" s="50">
        <f t="shared" si="20"/>
        <v>-2.8000000000000247E-3</v>
      </c>
      <c r="E1328" s="49"/>
    </row>
    <row r="1329" spans="1:5" ht="14.4">
      <c r="A1329" s="136">
        <v>42600</v>
      </c>
      <c r="B1329" s="137">
        <v>50</v>
      </c>
      <c r="C1329" s="133"/>
      <c r="D1329" s="50">
        <f t="shared" si="20"/>
        <v>-1.3612152298283609E-2</v>
      </c>
      <c r="E1329" s="49"/>
    </row>
    <row r="1330" spans="1:5" ht="14.4">
      <c r="A1330" s="136">
        <v>42599</v>
      </c>
      <c r="B1330" s="137">
        <v>50.69</v>
      </c>
      <c r="C1330" s="133"/>
      <c r="D1330" s="50">
        <f t="shared" si="20"/>
        <v>-1.5536997475237957E-2</v>
      </c>
      <c r="E1330" s="49"/>
    </row>
    <row r="1331" spans="1:5" ht="14.4">
      <c r="A1331" s="136">
        <v>42598</v>
      </c>
      <c r="B1331" s="137">
        <v>51.49</v>
      </c>
      <c r="C1331" s="133"/>
      <c r="D1331" s="50">
        <f t="shared" si="20"/>
        <v>-1.5110941086457497E-2</v>
      </c>
      <c r="E1331" s="49"/>
    </row>
    <row r="1332" spans="1:5" ht="14.4">
      <c r="A1332" s="136">
        <v>42597</v>
      </c>
      <c r="B1332" s="137">
        <v>52.28</v>
      </c>
      <c r="C1332" s="133"/>
      <c r="D1332" s="50">
        <f t="shared" si="20"/>
        <v>4.8049202383240175E-3</v>
      </c>
      <c r="E1332" s="49"/>
    </row>
    <row r="1333" spans="1:5" ht="14.4">
      <c r="A1333" s="136">
        <v>42594</v>
      </c>
      <c r="B1333" s="137">
        <v>52.03</v>
      </c>
      <c r="C1333" s="133"/>
      <c r="D1333" s="50">
        <f t="shared" si="20"/>
        <v>3.6651234567901536E-3</v>
      </c>
      <c r="E1333" s="49"/>
    </row>
    <row r="1334" spans="1:5" ht="14.4">
      <c r="A1334" s="136">
        <v>42593</v>
      </c>
      <c r="B1334" s="137">
        <v>51.84</v>
      </c>
      <c r="C1334" s="133"/>
      <c r="D1334" s="50">
        <f t="shared" si="20"/>
        <v>1.2499999999999956E-2</v>
      </c>
      <c r="E1334" s="49"/>
    </row>
    <row r="1335" spans="1:5" ht="14.4">
      <c r="A1335" s="136">
        <v>42592</v>
      </c>
      <c r="B1335" s="137">
        <v>51.2</v>
      </c>
      <c r="C1335" s="133"/>
      <c r="D1335" s="50">
        <f t="shared" si="20"/>
        <v>1.9569471624265589E-3</v>
      </c>
      <c r="E1335" s="49"/>
    </row>
    <row r="1336" spans="1:5" ht="14.4">
      <c r="A1336" s="136">
        <v>42591</v>
      </c>
      <c r="B1336" s="137">
        <v>51.1</v>
      </c>
      <c r="C1336" s="133"/>
      <c r="D1336" s="50">
        <f t="shared" si="20"/>
        <v>1.5097338100913849E-2</v>
      </c>
      <c r="E1336" s="49"/>
    </row>
    <row r="1337" spans="1:5" ht="14.4">
      <c r="A1337" s="136">
        <v>42590</v>
      </c>
      <c r="B1337" s="137">
        <v>50.34</v>
      </c>
      <c r="C1337" s="133"/>
      <c r="D1337" s="50">
        <f t="shared" si="20"/>
        <v>-1.2941176470588123E-2</v>
      </c>
      <c r="E1337" s="49"/>
    </row>
    <row r="1338" spans="1:5" ht="14.4">
      <c r="A1338" s="136">
        <v>42587</v>
      </c>
      <c r="B1338" s="137">
        <v>51</v>
      </c>
      <c r="C1338" s="133"/>
      <c r="D1338" s="50">
        <f t="shared" si="20"/>
        <v>7.905138339920903E-3</v>
      </c>
      <c r="E1338" s="49"/>
    </row>
    <row r="1339" spans="1:5" ht="14.4">
      <c r="A1339" s="136">
        <v>42586</v>
      </c>
      <c r="B1339" s="137">
        <v>50.6</v>
      </c>
      <c r="C1339" s="133"/>
      <c r="D1339" s="50">
        <f t="shared" si="20"/>
        <v>2.7744748315496892E-3</v>
      </c>
      <c r="E1339" s="49"/>
    </row>
    <row r="1340" spans="1:5" ht="14.4">
      <c r="A1340" s="136">
        <v>42585</v>
      </c>
      <c r="B1340" s="137">
        <v>50.46</v>
      </c>
      <c r="C1340" s="133"/>
      <c r="D1340" s="50">
        <f t="shared" si="20"/>
        <v>-1.5606710885680775E-2</v>
      </c>
      <c r="E1340" s="49"/>
    </row>
    <row r="1341" spans="1:5" ht="14.4">
      <c r="A1341" s="136">
        <v>42584</v>
      </c>
      <c r="B1341" s="137">
        <v>51.26</v>
      </c>
      <c r="C1341" s="133"/>
      <c r="D1341" s="50">
        <f t="shared" si="20"/>
        <v>-1.8947368421052713E-2</v>
      </c>
      <c r="E1341" s="49"/>
    </row>
    <row r="1342" spans="1:5" ht="14.4">
      <c r="A1342" s="136">
        <v>42583</v>
      </c>
      <c r="B1342" s="137">
        <v>52.25</v>
      </c>
      <c r="C1342" s="133"/>
      <c r="D1342" s="50">
        <f t="shared" si="20"/>
        <v>-7.2202166064982976E-3</v>
      </c>
      <c r="E1342" s="49"/>
    </row>
    <row r="1343" spans="1:5" ht="14.4">
      <c r="A1343" s="136">
        <v>42580</v>
      </c>
      <c r="B1343" s="137">
        <v>52.63</v>
      </c>
      <c r="C1343" s="133"/>
      <c r="D1343" s="50">
        <f t="shared" si="20"/>
        <v>-1.7547134590255697E-2</v>
      </c>
      <c r="E1343" s="49"/>
    </row>
    <row r="1344" spans="1:5" ht="14.4">
      <c r="A1344" s="136">
        <v>42579</v>
      </c>
      <c r="B1344" s="137">
        <v>53.57</v>
      </c>
      <c r="C1344" s="133"/>
      <c r="D1344" s="50">
        <f t="shared" si="20"/>
        <v>-7.9629629629629495E-3</v>
      </c>
      <c r="E1344" s="49"/>
    </row>
    <row r="1345" spans="1:5" ht="14.4">
      <c r="A1345" s="136">
        <v>42578</v>
      </c>
      <c r="B1345" s="137">
        <v>54</v>
      </c>
      <c r="C1345" s="133"/>
      <c r="D1345" s="50">
        <f t="shared" si="20"/>
        <v>4.4487427466150864E-2</v>
      </c>
      <c r="E1345" s="49"/>
    </row>
    <row r="1346" spans="1:5" ht="14.4">
      <c r="A1346" s="136">
        <v>42577</v>
      </c>
      <c r="B1346" s="137">
        <v>51.7</v>
      </c>
      <c r="C1346" s="133"/>
      <c r="D1346" s="50">
        <f t="shared" si="20"/>
        <v>1.2137823022709604E-2</v>
      </c>
      <c r="E1346" s="49"/>
    </row>
    <row r="1347" spans="1:5" ht="14.4">
      <c r="A1347" s="136">
        <v>42576</v>
      </c>
      <c r="B1347" s="137">
        <v>51.08</v>
      </c>
      <c r="C1347" s="133"/>
      <c r="D1347" s="50">
        <f t="shared" si="20"/>
        <v>-6.225680933852118E-3</v>
      </c>
      <c r="E1347" s="49"/>
    </row>
    <row r="1348" spans="1:5" ht="14.4">
      <c r="A1348" s="136">
        <v>42573</v>
      </c>
      <c r="B1348" s="137">
        <v>51.4</v>
      </c>
      <c r="C1348" s="133"/>
      <c r="D1348" s="50">
        <f t="shared" si="20"/>
        <v>-1.1728513747356284E-2</v>
      </c>
      <c r="E1348" s="49"/>
    </row>
    <row r="1349" spans="1:5" ht="14.4">
      <c r="A1349" s="136">
        <v>42572</v>
      </c>
      <c r="B1349" s="137">
        <v>52.01</v>
      </c>
      <c r="C1349" s="133"/>
      <c r="D1349" s="50">
        <f t="shared" si="20"/>
        <v>-1.719576719576732E-2</v>
      </c>
      <c r="E1349" s="49"/>
    </row>
    <row r="1350" spans="1:5" ht="14.4">
      <c r="A1350" s="136">
        <v>42571</v>
      </c>
      <c r="B1350" s="137">
        <v>52.92</v>
      </c>
      <c r="C1350" s="133"/>
      <c r="D1350" s="50">
        <f t="shared" si="20"/>
        <v>1.243543141381287E-2</v>
      </c>
      <c r="E1350" s="49"/>
    </row>
    <row r="1351" spans="1:5" ht="14.4">
      <c r="A1351" s="136">
        <v>42570</v>
      </c>
      <c r="B1351" s="137">
        <v>52.27</v>
      </c>
      <c r="C1351" s="133"/>
      <c r="D1351" s="50">
        <f t="shared" si="20"/>
        <v>1.340996168582409E-3</v>
      </c>
      <c r="E1351" s="49"/>
    </row>
    <row r="1352" spans="1:5" ht="14.4">
      <c r="A1352" s="136">
        <v>42569</v>
      </c>
      <c r="B1352" s="137">
        <v>52.2</v>
      </c>
      <c r="C1352" s="133"/>
      <c r="D1352" s="50">
        <f t="shared" ref="D1352:D1415" si="21">(B1352-C1352)/B1353-1</f>
        <v>-7.7931952100360746E-3</v>
      </c>
      <c r="E1352" s="49"/>
    </row>
    <row r="1353" spans="1:5" ht="14.4">
      <c r="A1353" s="136">
        <v>42566</v>
      </c>
      <c r="B1353" s="137">
        <v>52.61</v>
      </c>
      <c r="C1353" s="133"/>
      <c r="D1353" s="50">
        <f t="shared" si="21"/>
        <v>-1.4424878231547478E-2</v>
      </c>
      <c r="E1353" s="49"/>
    </row>
    <row r="1354" spans="1:5" ht="14.4">
      <c r="A1354" s="136">
        <v>42565</v>
      </c>
      <c r="B1354" s="137">
        <v>53.38</v>
      </c>
      <c r="C1354" s="133"/>
      <c r="D1354" s="50">
        <f t="shared" si="21"/>
        <v>4.8945783132530174E-3</v>
      </c>
      <c r="E1354" s="49"/>
    </row>
    <row r="1355" spans="1:5" ht="14.4">
      <c r="A1355" s="136">
        <v>42564</v>
      </c>
      <c r="B1355" s="137">
        <v>53.12</v>
      </c>
      <c r="C1355" s="133"/>
      <c r="D1355" s="50">
        <f t="shared" si="21"/>
        <v>1.7429611185596494E-2</v>
      </c>
      <c r="E1355" s="49"/>
    </row>
    <row r="1356" spans="1:5" ht="14.4">
      <c r="A1356" s="136">
        <v>42563</v>
      </c>
      <c r="B1356" s="137">
        <v>52.21</v>
      </c>
      <c r="C1356" s="133"/>
      <c r="D1356" s="50">
        <f t="shared" si="21"/>
        <v>4.0039840637450252E-2</v>
      </c>
      <c r="E1356" s="49"/>
    </row>
    <row r="1357" spans="1:5" ht="14.4">
      <c r="A1357" s="136">
        <v>42562</v>
      </c>
      <c r="B1357" s="137">
        <v>50.2</v>
      </c>
      <c r="C1357" s="133"/>
      <c r="D1357" s="50">
        <f t="shared" si="21"/>
        <v>2.3862941056496112E-2</v>
      </c>
      <c r="E1357" s="49"/>
    </row>
    <row r="1358" spans="1:5" ht="14.4">
      <c r="A1358" s="136">
        <v>42559</v>
      </c>
      <c r="B1358" s="137">
        <v>49.03</v>
      </c>
      <c r="C1358" s="133"/>
      <c r="D1358" s="50">
        <f t="shared" si="21"/>
        <v>-4.0774719673797311E-4</v>
      </c>
      <c r="E1358" s="49"/>
    </row>
    <row r="1359" spans="1:5" ht="14.4">
      <c r="A1359" s="136">
        <v>42558</v>
      </c>
      <c r="B1359" s="137">
        <v>49.05</v>
      </c>
      <c r="C1359" s="133"/>
      <c r="D1359" s="50">
        <f t="shared" si="21"/>
        <v>1.1966164637920329E-2</v>
      </c>
      <c r="E1359" s="49"/>
    </row>
    <row r="1360" spans="1:5" ht="14.4">
      <c r="A1360" s="136">
        <v>42557</v>
      </c>
      <c r="B1360" s="137">
        <v>48.47</v>
      </c>
      <c r="C1360" s="133"/>
      <c r="D1360" s="50">
        <f t="shared" si="21"/>
        <v>-2.6120152702431287E-2</v>
      </c>
      <c r="E1360" s="49"/>
    </row>
    <row r="1361" spans="1:5" ht="14.4">
      <c r="A1361" s="136">
        <v>42556</v>
      </c>
      <c r="B1361" s="137">
        <v>49.77</v>
      </c>
      <c r="C1361" s="133"/>
      <c r="D1361" s="50">
        <f t="shared" si="21"/>
        <v>-2.9635406511990592E-2</v>
      </c>
      <c r="E1361" s="49"/>
    </row>
    <row r="1362" spans="1:5" ht="14.4">
      <c r="A1362" s="136">
        <v>42555</v>
      </c>
      <c r="B1362" s="137">
        <v>51.29</v>
      </c>
      <c r="C1362" s="133"/>
      <c r="D1362" s="50">
        <f t="shared" si="21"/>
        <v>-3.6907536907536675E-3</v>
      </c>
      <c r="E1362" s="49"/>
    </row>
    <row r="1363" spans="1:5" ht="14.4">
      <c r="A1363" s="136">
        <v>42552</v>
      </c>
      <c r="B1363" s="137">
        <v>51.48</v>
      </c>
      <c r="C1363" s="133"/>
      <c r="D1363" s="50">
        <f t="shared" si="21"/>
        <v>-4.8327856176300088E-3</v>
      </c>
      <c r="E1363" s="49"/>
    </row>
    <row r="1364" spans="1:5" ht="14.4">
      <c r="A1364" s="136">
        <v>42551</v>
      </c>
      <c r="B1364" s="137">
        <v>51.73</v>
      </c>
      <c r="C1364" s="133"/>
      <c r="D1364" s="50">
        <f t="shared" si="21"/>
        <v>-3.8513383400732293E-3</v>
      </c>
      <c r="E1364" s="49"/>
    </row>
    <row r="1365" spans="1:5" ht="14.4">
      <c r="A1365" s="136">
        <v>42550</v>
      </c>
      <c r="B1365" s="137">
        <v>51.93</v>
      </c>
      <c r="C1365" s="133"/>
      <c r="D1365" s="50">
        <f t="shared" si="21"/>
        <v>1.6043827039718295E-2</v>
      </c>
      <c r="E1365" s="49"/>
    </row>
    <row r="1366" spans="1:5" ht="14.4">
      <c r="A1366" s="136">
        <v>42549</v>
      </c>
      <c r="B1366" s="137">
        <v>51.11</v>
      </c>
      <c r="C1366" s="133"/>
      <c r="D1366" s="50">
        <f t="shared" si="21"/>
        <v>2.3838141025640969E-2</v>
      </c>
      <c r="E1366" s="49"/>
    </row>
    <row r="1367" spans="1:5" ht="14.4">
      <c r="A1367" s="136">
        <v>42548</v>
      </c>
      <c r="B1367" s="137">
        <v>49.92</v>
      </c>
      <c r="C1367" s="133"/>
      <c r="D1367" s="50">
        <f t="shared" si="21"/>
        <v>-4.2026482440990165E-2</v>
      </c>
      <c r="E1367" s="49"/>
    </row>
    <row r="1368" spans="1:5" ht="14.4">
      <c r="A1368" s="136">
        <v>42545</v>
      </c>
      <c r="B1368" s="137">
        <v>52.11</v>
      </c>
      <c r="C1368" s="133"/>
      <c r="D1368" s="50">
        <f t="shared" si="21"/>
        <v>-6.1588330632090793E-2</v>
      </c>
      <c r="E1368" s="49"/>
    </row>
    <row r="1369" spans="1:5" ht="14.4">
      <c r="A1369" s="136">
        <v>42544</v>
      </c>
      <c r="B1369" s="137">
        <v>55.53</v>
      </c>
      <c r="C1369" s="133"/>
      <c r="D1369" s="50">
        <f t="shared" si="21"/>
        <v>1.983471074380172E-2</v>
      </c>
      <c r="E1369" s="49"/>
    </row>
    <row r="1370" spans="1:5" ht="14.4">
      <c r="A1370" s="136">
        <v>42543</v>
      </c>
      <c r="B1370" s="137">
        <v>54.45</v>
      </c>
      <c r="C1370" s="133"/>
      <c r="D1370" s="50">
        <f t="shared" si="21"/>
        <v>1.6556291390728006E-3</v>
      </c>
      <c r="E1370" s="49"/>
    </row>
    <row r="1371" spans="1:5" ht="14.4">
      <c r="A1371" s="136">
        <v>42542</v>
      </c>
      <c r="B1371" s="137">
        <v>54.36</v>
      </c>
      <c r="C1371" s="133"/>
      <c r="D1371" s="50">
        <f t="shared" si="21"/>
        <v>1.9696117051209772E-2</v>
      </c>
      <c r="E1371" s="49"/>
    </row>
    <row r="1372" spans="1:5" ht="14.4">
      <c r="A1372" s="136">
        <v>42541</v>
      </c>
      <c r="B1372" s="137">
        <v>53.31</v>
      </c>
      <c r="C1372" s="133"/>
      <c r="D1372" s="50">
        <f t="shared" si="21"/>
        <v>4.8790084595711214E-2</v>
      </c>
      <c r="E1372" s="49"/>
    </row>
    <row r="1373" spans="1:5" ht="14.4">
      <c r="A1373" s="136">
        <v>42538</v>
      </c>
      <c r="B1373" s="137">
        <v>50.83</v>
      </c>
      <c r="C1373" s="133"/>
      <c r="D1373" s="50">
        <f t="shared" si="21"/>
        <v>6.7340067340067034E-3</v>
      </c>
      <c r="E1373" s="49"/>
    </row>
    <row r="1374" spans="1:5" ht="14.4">
      <c r="A1374" s="136">
        <v>42537</v>
      </c>
      <c r="B1374" s="137">
        <v>50.49</v>
      </c>
      <c r="C1374" s="133"/>
      <c r="D1374" s="50">
        <f t="shared" si="21"/>
        <v>-2.2837236307335029E-2</v>
      </c>
      <c r="E1374" s="49"/>
    </row>
    <row r="1375" spans="1:5" ht="14.4">
      <c r="A1375" s="136">
        <v>42536</v>
      </c>
      <c r="B1375" s="137">
        <v>51.67</v>
      </c>
      <c r="C1375" s="133"/>
      <c r="D1375" s="50">
        <f t="shared" si="21"/>
        <v>1.3534719497842351E-2</v>
      </c>
      <c r="E1375" s="49"/>
    </row>
    <row r="1376" spans="1:5" ht="14.4">
      <c r="A1376" s="136">
        <v>42535</v>
      </c>
      <c r="B1376" s="137">
        <v>50.98</v>
      </c>
      <c r="C1376" s="133"/>
      <c r="D1376" s="50">
        <f t="shared" si="21"/>
        <v>-5.6563292373709162E-3</v>
      </c>
      <c r="E1376" s="49"/>
    </row>
    <row r="1377" spans="1:5" ht="14.4">
      <c r="A1377" s="136">
        <v>42534</v>
      </c>
      <c r="B1377" s="137">
        <v>51.27</v>
      </c>
      <c r="C1377" s="133"/>
      <c r="D1377" s="50">
        <f t="shared" si="21"/>
        <v>-2.6395746296999478E-2</v>
      </c>
      <c r="E1377" s="49"/>
    </row>
    <row r="1378" spans="1:5" ht="14.4">
      <c r="A1378" s="136">
        <v>42531</v>
      </c>
      <c r="B1378" s="137">
        <v>52.66</v>
      </c>
      <c r="C1378" s="133"/>
      <c r="D1378" s="50">
        <f t="shared" si="21"/>
        <v>-1.3857677902621712E-2</v>
      </c>
      <c r="E1378" s="49"/>
    </row>
    <row r="1379" spans="1:5" ht="14.4">
      <c r="A1379" s="136">
        <v>42530</v>
      </c>
      <c r="B1379" s="137">
        <v>53.4</v>
      </c>
      <c r="C1379" s="133"/>
      <c r="D1379" s="50">
        <f t="shared" si="21"/>
        <v>-3.9171796306659568E-3</v>
      </c>
      <c r="E1379" s="49"/>
    </row>
    <row r="1380" spans="1:5" ht="14.4">
      <c r="A1380" s="136">
        <v>42529</v>
      </c>
      <c r="B1380" s="137">
        <v>53.61</v>
      </c>
      <c r="C1380" s="133"/>
      <c r="D1380" s="50">
        <f t="shared" si="21"/>
        <v>1.868809568305041E-3</v>
      </c>
      <c r="E1380" s="49"/>
    </row>
    <row r="1381" spans="1:5" ht="14.4">
      <c r="A1381" s="136">
        <v>42528</v>
      </c>
      <c r="B1381" s="137">
        <v>53.51</v>
      </c>
      <c r="C1381" s="133"/>
      <c r="D1381" s="50">
        <f t="shared" si="21"/>
        <v>9.0514802941730199E-3</v>
      </c>
      <c r="E1381" s="49"/>
    </row>
    <row r="1382" spans="1:5" ht="14.4">
      <c r="A1382" s="136">
        <v>42527</v>
      </c>
      <c r="B1382" s="137">
        <v>53.03</v>
      </c>
      <c r="C1382" s="133"/>
      <c r="D1382" s="50">
        <f t="shared" si="21"/>
        <v>-5.9981255857544102E-3</v>
      </c>
      <c r="E1382" s="49"/>
    </row>
    <row r="1383" spans="1:5" ht="14.4">
      <c r="A1383" s="136">
        <v>42524</v>
      </c>
      <c r="B1383" s="137">
        <v>53.35</v>
      </c>
      <c r="C1383" s="133"/>
      <c r="D1383" s="50">
        <f t="shared" si="21"/>
        <v>-3.5262206148282016E-2</v>
      </c>
      <c r="E1383" s="49"/>
    </row>
    <row r="1384" spans="1:5" ht="14.4">
      <c r="A1384" s="136">
        <v>42523</v>
      </c>
      <c r="B1384" s="137">
        <v>55.3</v>
      </c>
      <c r="C1384" s="133"/>
      <c r="D1384" s="50">
        <f t="shared" si="21"/>
        <v>-1.1440829460135915E-2</v>
      </c>
      <c r="E1384" s="49"/>
    </row>
    <row r="1385" spans="1:5" ht="14.4">
      <c r="A1385" s="136">
        <v>42522</v>
      </c>
      <c r="B1385" s="137">
        <v>55.94</v>
      </c>
      <c r="C1385" s="133"/>
      <c r="D1385" s="50">
        <f t="shared" si="21"/>
        <v>-1.428061406640535E-3</v>
      </c>
      <c r="E1385" s="49"/>
    </row>
    <row r="1386" spans="1:5" ht="14.4">
      <c r="A1386" s="136">
        <v>42521</v>
      </c>
      <c r="B1386" s="137">
        <v>56.02</v>
      </c>
      <c r="C1386" s="133"/>
      <c r="D1386" s="50">
        <f t="shared" si="21"/>
        <v>-4.9733570159856688E-3</v>
      </c>
      <c r="E1386" s="49"/>
    </row>
    <row r="1387" spans="1:5" ht="14.4">
      <c r="A1387" s="136">
        <v>42520</v>
      </c>
      <c r="B1387" s="137">
        <v>56.3</v>
      </c>
      <c r="C1387" s="133"/>
      <c r="D1387" s="50">
        <f t="shared" si="21"/>
        <v>4.9982149232414841E-3</v>
      </c>
      <c r="E1387" s="49"/>
    </row>
    <row r="1388" spans="1:5" ht="14.4">
      <c r="A1388" s="136">
        <v>42517</v>
      </c>
      <c r="B1388" s="137">
        <v>56.02</v>
      </c>
      <c r="C1388" s="133"/>
      <c r="D1388" s="50">
        <f t="shared" si="21"/>
        <v>3.5714285714294469E-4</v>
      </c>
      <c r="E1388" s="49"/>
    </row>
    <row r="1389" spans="1:5" ht="14.4">
      <c r="A1389" s="136">
        <v>42516</v>
      </c>
      <c r="B1389" s="137">
        <v>56</v>
      </c>
      <c r="C1389" s="133"/>
      <c r="D1389" s="50">
        <f t="shared" si="21"/>
        <v>-1.2484394506866447E-3</v>
      </c>
      <c r="E1389" s="49"/>
    </row>
    <row r="1390" spans="1:5" ht="14.4">
      <c r="A1390" s="136">
        <v>42515</v>
      </c>
      <c r="B1390" s="137">
        <v>56.07</v>
      </c>
      <c r="C1390" s="133"/>
      <c r="D1390" s="50">
        <f t="shared" si="21"/>
        <v>1.2499999999999734E-3</v>
      </c>
      <c r="E1390" s="49"/>
    </row>
    <row r="1391" spans="1:5" ht="14.4">
      <c r="A1391" s="136">
        <v>42514</v>
      </c>
      <c r="B1391" s="137">
        <v>56</v>
      </c>
      <c r="C1391" s="133"/>
      <c r="D1391" s="50">
        <f t="shared" si="21"/>
        <v>2.6769343601026785E-2</v>
      </c>
      <c r="E1391" s="49"/>
    </row>
    <row r="1392" spans="1:5" ht="14.4">
      <c r="A1392" s="136">
        <v>42513</v>
      </c>
      <c r="B1392" s="137">
        <v>54.54</v>
      </c>
      <c r="C1392" s="133"/>
      <c r="D1392" s="50">
        <f t="shared" si="21"/>
        <v>2.3892666789193662E-3</v>
      </c>
      <c r="E1392" s="49"/>
    </row>
    <row r="1393" spans="1:5" ht="14.4">
      <c r="A1393" s="136">
        <v>42510</v>
      </c>
      <c r="B1393" s="137">
        <v>54.41</v>
      </c>
      <c r="C1393" s="133"/>
      <c r="D1393" s="50">
        <f t="shared" si="21"/>
        <v>2.0251265704106514E-2</v>
      </c>
      <c r="E1393" s="49"/>
    </row>
    <row r="1394" spans="1:5" ht="14.4">
      <c r="A1394" s="136">
        <v>42509</v>
      </c>
      <c r="B1394" s="137">
        <v>53.33</v>
      </c>
      <c r="C1394" s="133"/>
      <c r="D1394" s="50">
        <f t="shared" si="21"/>
        <v>2.2552151851156221E-3</v>
      </c>
      <c r="E1394" s="49"/>
    </row>
    <row r="1395" spans="1:5" ht="14.4">
      <c r="A1395" s="136">
        <v>42508</v>
      </c>
      <c r="B1395" s="137">
        <v>53.21</v>
      </c>
      <c r="C1395" s="133"/>
      <c r="D1395" s="50">
        <f t="shared" si="21"/>
        <v>-1.7903285345145736E-2</v>
      </c>
      <c r="E1395" s="49"/>
    </row>
    <row r="1396" spans="1:5" ht="14.4">
      <c r="A1396" s="136">
        <v>42507</v>
      </c>
      <c r="B1396" s="137">
        <v>54.18</v>
      </c>
      <c r="C1396" s="133"/>
      <c r="D1396" s="50">
        <f t="shared" si="21"/>
        <v>-1.2575177692728201E-2</v>
      </c>
      <c r="E1396" s="49"/>
    </row>
    <row r="1397" spans="1:5" ht="14.4">
      <c r="A1397" s="136">
        <v>42506</v>
      </c>
      <c r="B1397" s="137">
        <v>54.87</v>
      </c>
      <c r="C1397" s="133"/>
      <c r="D1397" s="50">
        <f t="shared" si="21"/>
        <v>-4.8966267682264419E-3</v>
      </c>
      <c r="E1397" s="49"/>
    </row>
    <row r="1398" spans="1:5" ht="14.4">
      <c r="A1398" s="136">
        <v>42503</v>
      </c>
      <c r="B1398" s="137">
        <v>55.14</v>
      </c>
      <c r="C1398" s="133"/>
      <c r="D1398" s="50">
        <f t="shared" si="21"/>
        <v>-1.6295491580662347E-3</v>
      </c>
      <c r="E1398" s="49"/>
    </row>
    <row r="1399" spans="1:5" ht="14.4">
      <c r="A1399" s="136">
        <v>42502</v>
      </c>
      <c r="B1399" s="137">
        <v>55.23</v>
      </c>
      <c r="C1399" s="133"/>
      <c r="D1399" s="50">
        <f t="shared" si="21"/>
        <v>-4.6855289241305442E-3</v>
      </c>
      <c r="E1399" s="49"/>
    </row>
    <row r="1400" spans="1:5" ht="14.4">
      <c r="A1400" s="136">
        <v>42501</v>
      </c>
      <c r="B1400" s="137">
        <v>55.49</v>
      </c>
      <c r="C1400" s="133"/>
      <c r="D1400" s="50">
        <f t="shared" si="21"/>
        <v>-1.0801080108009398E-3</v>
      </c>
      <c r="E1400" s="49"/>
    </row>
    <row r="1401" spans="1:5" ht="14.4">
      <c r="A1401" s="136">
        <v>42500</v>
      </c>
      <c r="B1401" s="137">
        <v>55.55</v>
      </c>
      <c r="C1401" s="133"/>
      <c r="D1401" s="50">
        <f t="shared" si="21"/>
        <v>2.1515262964324933E-2</v>
      </c>
      <c r="E1401" s="49"/>
    </row>
    <row r="1402" spans="1:5" ht="14.4">
      <c r="A1402" s="136">
        <v>42499</v>
      </c>
      <c r="B1402" s="137">
        <v>54.38</v>
      </c>
      <c r="C1402" s="133"/>
      <c r="D1402" s="50">
        <f t="shared" si="21"/>
        <v>6.4778826577827076E-3</v>
      </c>
      <c r="E1402" s="49"/>
    </row>
    <row r="1403" spans="1:5" ht="14.4">
      <c r="A1403" s="136">
        <v>42496</v>
      </c>
      <c r="B1403" s="137">
        <v>54.03</v>
      </c>
      <c r="C1403" s="133"/>
      <c r="D1403" s="50">
        <f t="shared" si="21"/>
        <v>1.8511662347275859E-4</v>
      </c>
      <c r="E1403" s="49"/>
    </row>
    <row r="1404" spans="1:5" ht="14.4">
      <c r="A1404" s="136">
        <v>42495</v>
      </c>
      <c r="B1404" s="137">
        <v>54.02</v>
      </c>
      <c r="C1404" s="133"/>
      <c r="D1404" s="50">
        <f t="shared" si="21"/>
        <v>1.4460093896713655E-2</v>
      </c>
      <c r="E1404" s="49"/>
    </row>
    <row r="1405" spans="1:5" ht="14.4">
      <c r="A1405" s="136">
        <v>42494</v>
      </c>
      <c r="B1405" s="137">
        <v>53.25</v>
      </c>
      <c r="C1405" s="133"/>
      <c r="D1405" s="50">
        <f t="shared" si="21"/>
        <v>-5.7879014189694544E-3</v>
      </c>
      <c r="E1405" s="49"/>
    </row>
    <row r="1406" spans="1:5" ht="14.4">
      <c r="A1406" s="136">
        <v>42493</v>
      </c>
      <c r="B1406" s="137">
        <v>53.56</v>
      </c>
      <c r="C1406" s="133"/>
      <c r="D1406" s="50">
        <f t="shared" si="21"/>
        <v>-1.2718894009216553E-2</v>
      </c>
      <c r="E1406" s="49"/>
    </row>
    <row r="1407" spans="1:5" ht="14.4">
      <c r="A1407" s="136">
        <v>42492</v>
      </c>
      <c r="B1407" s="137">
        <v>54.25</v>
      </c>
      <c r="C1407" s="133"/>
      <c r="D1407" s="50">
        <f t="shared" si="21"/>
        <v>-6.5921992309100341E-3</v>
      </c>
      <c r="E1407" s="49"/>
    </row>
    <row r="1408" spans="1:5" ht="14.4">
      <c r="A1408" s="136">
        <v>42489</v>
      </c>
      <c r="B1408" s="137">
        <v>54.61</v>
      </c>
      <c r="C1408" s="133"/>
      <c r="D1408" s="50">
        <f t="shared" si="21"/>
        <v>-2.0799713107405471E-2</v>
      </c>
      <c r="E1408" s="49"/>
    </row>
    <row r="1409" spans="1:5" ht="14.4">
      <c r="A1409" s="136">
        <v>42488</v>
      </c>
      <c r="B1409" s="137">
        <v>55.77</v>
      </c>
      <c r="C1409" s="133"/>
      <c r="D1409" s="50">
        <f t="shared" si="21"/>
        <v>-4.6014368799178862E-2</v>
      </c>
      <c r="E1409" s="49"/>
    </row>
    <row r="1410" spans="1:5" ht="14.4">
      <c r="A1410" s="136">
        <v>42487</v>
      </c>
      <c r="B1410" s="137">
        <v>58.46</v>
      </c>
      <c r="C1410" s="133"/>
      <c r="D1410" s="50">
        <f t="shared" si="21"/>
        <v>3.9498540271338811E-3</v>
      </c>
      <c r="E1410" s="49"/>
    </row>
    <row r="1411" spans="1:5" ht="14.4">
      <c r="A1411" s="136">
        <v>42486</v>
      </c>
      <c r="B1411" s="137">
        <v>58.23</v>
      </c>
      <c r="C1411" s="133"/>
      <c r="D1411" s="50">
        <f t="shared" si="21"/>
        <v>-6.9918144611187394E-3</v>
      </c>
      <c r="E1411" s="49"/>
    </row>
    <row r="1412" spans="1:5" ht="14.4">
      <c r="A1412" s="136">
        <v>42485</v>
      </c>
      <c r="B1412" s="137">
        <v>58.64</v>
      </c>
      <c r="C1412" s="133"/>
      <c r="D1412" s="50">
        <f t="shared" si="21"/>
        <v>8.0797662025098305E-3</v>
      </c>
      <c r="E1412" s="49"/>
    </row>
    <row r="1413" spans="1:5" ht="14.4">
      <c r="A1413" s="136">
        <v>42482</v>
      </c>
      <c r="B1413" s="137">
        <v>58.17</v>
      </c>
      <c r="C1413" s="133"/>
      <c r="D1413" s="50">
        <f t="shared" si="21"/>
        <v>-1.7188037126159017E-4</v>
      </c>
      <c r="E1413" s="49"/>
    </row>
    <row r="1414" spans="1:5" ht="14.4">
      <c r="A1414" s="136">
        <v>42481</v>
      </c>
      <c r="B1414" s="137">
        <v>58.18</v>
      </c>
      <c r="C1414" s="133"/>
      <c r="D1414" s="50">
        <f t="shared" si="21"/>
        <v>1.2530455969369969E-2</v>
      </c>
      <c r="E1414" s="49"/>
    </row>
    <row r="1415" spans="1:5" ht="14.4">
      <c r="A1415" s="136">
        <v>42480</v>
      </c>
      <c r="B1415" s="137">
        <v>57.46</v>
      </c>
      <c r="C1415" s="133"/>
      <c r="D1415" s="50">
        <f t="shared" si="21"/>
        <v>1.3942140118508028E-3</v>
      </c>
      <c r="E1415" s="49"/>
    </row>
    <row r="1416" spans="1:5" ht="14.4">
      <c r="A1416" s="136">
        <v>42479</v>
      </c>
      <c r="B1416" s="137">
        <v>57.38</v>
      </c>
      <c r="C1416" s="133"/>
      <c r="D1416" s="50">
        <f t="shared" ref="D1416:D1479" si="22">(B1416-C1416)/B1417-1</f>
        <v>9.5003518648839602E-3</v>
      </c>
      <c r="E1416" s="49"/>
    </row>
    <row r="1417" spans="1:5" ht="14.4">
      <c r="A1417" s="136">
        <v>42478</v>
      </c>
      <c r="B1417" s="137">
        <v>56.84</v>
      </c>
      <c r="C1417" s="133"/>
      <c r="D1417" s="50">
        <f t="shared" si="22"/>
        <v>4.5952633439378943E-3</v>
      </c>
      <c r="E1417" s="49"/>
    </row>
    <row r="1418" spans="1:5" ht="14.4">
      <c r="A1418" s="136">
        <v>42475</v>
      </c>
      <c r="B1418" s="137">
        <v>56.58</v>
      </c>
      <c r="C1418" s="133"/>
      <c r="D1418" s="50">
        <f t="shared" si="22"/>
        <v>-5.0993493933532141E-3</v>
      </c>
      <c r="E1418" s="49"/>
    </row>
    <row r="1419" spans="1:5" ht="14.4">
      <c r="A1419" s="136">
        <v>42474</v>
      </c>
      <c r="B1419" s="137">
        <v>56.87</v>
      </c>
      <c r="C1419" s="133"/>
      <c r="D1419" s="50">
        <f t="shared" si="22"/>
        <v>-1.2844992188856152E-2</v>
      </c>
      <c r="E1419" s="49"/>
    </row>
    <row r="1420" spans="1:5" ht="14.4">
      <c r="A1420" s="136">
        <v>42473</v>
      </c>
      <c r="B1420" s="137">
        <v>57.61</v>
      </c>
      <c r="C1420" s="133"/>
      <c r="D1420" s="50">
        <f t="shared" si="22"/>
        <v>2.7465667915106184E-2</v>
      </c>
      <c r="E1420" s="49"/>
    </row>
    <row r="1421" spans="1:5" ht="14.4">
      <c r="A1421" s="136">
        <v>42472</v>
      </c>
      <c r="B1421" s="137">
        <v>56.07</v>
      </c>
      <c r="C1421" s="133"/>
      <c r="D1421" s="50">
        <f t="shared" si="22"/>
        <v>-4.9689440993788692E-3</v>
      </c>
      <c r="E1421" s="49"/>
    </row>
    <row r="1422" spans="1:5" ht="14.4">
      <c r="A1422" s="136">
        <v>42471</v>
      </c>
      <c r="B1422" s="137">
        <v>56.35</v>
      </c>
      <c r="C1422" s="133"/>
      <c r="D1422" s="50">
        <f t="shared" si="22"/>
        <v>-2.0170405146930914E-2</v>
      </c>
      <c r="E1422" s="49"/>
    </row>
    <row r="1423" spans="1:5" ht="14.4">
      <c r="A1423" s="136">
        <v>42468</v>
      </c>
      <c r="B1423" s="137">
        <v>57.51</v>
      </c>
      <c r="C1423" s="133"/>
      <c r="D1423" s="50">
        <f t="shared" si="22"/>
        <v>1.3570673246386944E-2</v>
      </c>
      <c r="E1423" s="49"/>
    </row>
    <row r="1424" spans="1:5" ht="14.4">
      <c r="A1424" s="136">
        <v>42467</v>
      </c>
      <c r="B1424" s="137">
        <v>56.74</v>
      </c>
      <c r="C1424" s="133"/>
      <c r="D1424" s="50">
        <f t="shared" si="22"/>
        <v>4.9592631951824728E-3</v>
      </c>
      <c r="E1424" s="49"/>
    </row>
    <row r="1425" spans="1:5" ht="14.4">
      <c r="A1425" s="136">
        <v>42466</v>
      </c>
      <c r="B1425" s="137">
        <v>56.46</v>
      </c>
      <c r="C1425" s="133"/>
      <c r="D1425" s="50">
        <f t="shared" si="22"/>
        <v>5.3163211057949411E-4</v>
      </c>
      <c r="E1425" s="49"/>
    </row>
    <row r="1426" spans="1:5" ht="14.4">
      <c r="A1426" s="136">
        <v>42465</v>
      </c>
      <c r="B1426" s="137">
        <v>56.43</v>
      </c>
      <c r="C1426" s="133"/>
      <c r="D1426" s="50">
        <f t="shared" si="22"/>
        <v>-1.5526866713189147E-2</v>
      </c>
      <c r="E1426" s="49"/>
    </row>
    <row r="1427" spans="1:5" ht="14.4">
      <c r="A1427" s="136">
        <v>42464</v>
      </c>
      <c r="B1427" s="137">
        <v>57.32</v>
      </c>
      <c r="C1427" s="133"/>
      <c r="D1427" s="50">
        <f t="shared" si="22"/>
        <v>5.967005967006056E-3</v>
      </c>
      <c r="E1427" s="49"/>
    </row>
    <row r="1428" spans="1:5" ht="14.4">
      <c r="A1428" s="136">
        <v>42461</v>
      </c>
      <c r="B1428" s="137">
        <v>56.98</v>
      </c>
      <c r="C1428" s="133"/>
      <c r="D1428" s="50">
        <f t="shared" si="22"/>
        <v>-2.3479005998286229E-2</v>
      </c>
      <c r="E1428" s="49"/>
    </row>
    <row r="1429" spans="1:5" ht="14.4">
      <c r="A1429" s="136">
        <v>42460</v>
      </c>
      <c r="B1429" s="137">
        <v>58.35</v>
      </c>
      <c r="C1429" s="133"/>
      <c r="D1429" s="50">
        <f t="shared" si="22"/>
        <v>-2.685123415610402E-2</v>
      </c>
      <c r="E1429" s="49"/>
    </row>
    <row r="1430" spans="1:5" ht="14.4">
      <c r="A1430" s="136">
        <v>42459</v>
      </c>
      <c r="B1430" s="137">
        <v>59.96</v>
      </c>
      <c r="C1430" s="133"/>
      <c r="D1430" s="50">
        <f t="shared" si="22"/>
        <v>-1.4987510407992177E-3</v>
      </c>
      <c r="E1430" s="49"/>
    </row>
    <row r="1431" spans="1:5" ht="14.4">
      <c r="A1431" s="136">
        <v>42458</v>
      </c>
      <c r="B1431" s="137">
        <v>60.05</v>
      </c>
      <c r="C1431" s="133"/>
      <c r="D1431" s="50">
        <f t="shared" si="22"/>
        <v>4.6846243935083631E-3</v>
      </c>
      <c r="E1431" s="49"/>
    </row>
    <row r="1432" spans="1:5" ht="14.4">
      <c r="A1432" s="136">
        <v>42453</v>
      </c>
      <c r="B1432" s="137">
        <v>59.77</v>
      </c>
      <c r="C1432" s="133"/>
      <c r="D1432" s="50">
        <f t="shared" si="22"/>
        <v>-2.5436165008967837E-2</v>
      </c>
      <c r="E1432" s="49"/>
    </row>
    <row r="1433" spans="1:5" ht="14.4">
      <c r="A1433" s="136">
        <v>42452</v>
      </c>
      <c r="B1433" s="137">
        <v>61.33</v>
      </c>
      <c r="C1433" s="133"/>
      <c r="D1433" s="50">
        <f t="shared" si="22"/>
        <v>1.3061224489796519E-3</v>
      </c>
      <c r="E1433" s="49"/>
    </row>
    <row r="1434" spans="1:5" ht="14.4">
      <c r="A1434" s="136">
        <v>42451</v>
      </c>
      <c r="B1434" s="137">
        <v>61.25</v>
      </c>
      <c r="C1434" s="133"/>
      <c r="D1434" s="50">
        <f t="shared" si="22"/>
        <v>6.0775295663599849E-3</v>
      </c>
      <c r="E1434" s="49"/>
    </row>
    <row r="1435" spans="1:5" ht="14.4">
      <c r="A1435" s="136">
        <v>42450</v>
      </c>
      <c r="B1435" s="137">
        <v>60.88</v>
      </c>
      <c r="C1435" s="133"/>
      <c r="D1435" s="50">
        <f t="shared" si="22"/>
        <v>4.6204620462046986E-3</v>
      </c>
      <c r="E1435" s="49"/>
    </row>
    <row r="1436" spans="1:5" ht="14.4">
      <c r="A1436" s="136">
        <v>42447</v>
      </c>
      <c r="B1436" s="137">
        <v>60.6</v>
      </c>
      <c r="C1436" s="133"/>
      <c r="D1436" s="50">
        <f t="shared" si="22"/>
        <v>1.7974130690408208E-2</v>
      </c>
      <c r="E1436" s="49"/>
    </row>
    <row r="1437" spans="1:5" ht="14.4">
      <c r="A1437" s="136">
        <v>42446</v>
      </c>
      <c r="B1437" s="137">
        <v>59.53</v>
      </c>
      <c r="C1437" s="133"/>
      <c r="D1437" s="50">
        <f t="shared" si="22"/>
        <v>-2.0565975649884827E-2</v>
      </c>
      <c r="E1437" s="49"/>
    </row>
    <row r="1438" spans="1:5" ht="14.4">
      <c r="A1438" s="136">
        <v>42445</v>
      </c>
      <c r="B1438" s="137">
        <v>60.78</v>
      </c>
      <c r="C1438" s="133"/>
      <c r="D1438" s="50">
        <f t="shared" si="22"/>
        <v>8.1273843091722586E-3</v>
      </c>
      <c r="E1438" s="49"/>
    </row>
    <row r="1439" spans="1:5" ht="14.4">
      <c r="A1439" s="136">
        <v>42444</v>
      </c>
      <c r="B1439" s="137">
        <v>60.29</v>
      </c>
      <c r="C1439" s="133"/>
      <c r="D1439" s="50">
        <f t="shared" si="22"/>
        <v>-1.9864260883959428E-3</v>
      </c>
      <c r="E1439" s="49"/>
    </row>
    <row r="1440" spans="1:5" ht="14.4">
      <c r="A1440" s="136">
        <v>42443</v>
      </c>
      <c r="B1440" s="137">
        <v>60.41</v>
      </c>
      <c r="C1440" s="133"/>
      <c r="D1440" s="50">
        <f t="shared" si="22"/>
        <v>4.6565774155993278E-3</v>
      </c>
      <c r="E1440" s="49"/>
    </row>
    <row r="1441" spans="1:5" ht="14.4">
      <c r="A1441" s="136">
        <v>42440</v>
      </c>
      <c r="B1441" s="137">
        <v>60.13</v>
      </c>
      <c r="C1441" s="133"/>
      <c r="D1441" s="50">
        <f t="shared" si="22"/>
        <v>3.2451923076923128E-2</v>
      </c>
      <c r="E1441" s="49"/>
    </row>
    <row r="1442" spans="1:5" ht="14.4">
      <c r="A1442" s="136">
        <v>42439</v>
      </c>
      <c r="B1442" s="137">
        <v>58.24</v>
      </c>
      <c r="C1442" s="133"/>
      <c r="D1442" s="50">
        <f t="shared" si="22"/>
        <v>-3.9577836411609502E-2</v>
      </c>
      <c r="E1442" s="49"/>
    </row>
    <row r="1443" spans="1:5" ht="14.4">
      <c r="A1443" s="136">
        <v>42438</v>
      </c>
      <c r="B1443" s="137">
        <v>60.64</v>
      </c>
      <c r="C1443" s="133"/>
      <c r="D1443" s="50">
        <f t="shared" si="22"/>
        <v>4.9496782709135267E-4</v>
      </c>
      <c r="E1443" s="49"/>
    </row>
    <row r="1444" spans="1:5" ht="14.4">
      <c r="A1444" s="136">
        <v>42437</v>
      </c>
      <c r="B1444" s="137">
        <v>60.61</v>
      </c>
      <c r="C1444" s="133"/>
      <c r="D1444" s="50">
        <f t="shared" si="22"/>
        <v>-1.4150943396226356E-2</v>
      </c>
      <c r="E1444" s="49"/>
    </row>
    <row r="1445" spans="1:5" ht="14.4">
      <c r="A1445" s="136">
        <v>42436</v>
      </c>
      <c r="B1445" s="137">
        <v>61.48</v>
      </c>
      <c r="C1445" s="133"/>
      <c r="D1445" s="50">
        <f t="shared" si="22"/>
        <v>-9.9838969404187905E-3</v>
      </c>
      <c r="E1445" s="49"/>
    </row>
    <row r="1446" spans="1:5" ht="14.4">
      <c r="A1446" s="136">
        <v>42433</v>
      </c>
      <c r="B1446" s="137">
        <v>62.1</v>
      </c>
      <c r="C1446" s="133"/>
      <c r="D1446" s="50">
        <f t="shared" si="22"/>
        <v>2.1885798913937826E-2</v>
      </c>
      <c r="E1446" s="49"/>
    </row>
    <row r="1447" spans="1:5" ht="14.4">
      <c r="A1447" s="136">
        <v>42432</v>
      </c>
      <c r="B1447" s="137">
        <v>60.77</v>
      </c>
      <c r="C1447" s="133"/>
      <c r="D1447" s="50">
        <f t="shared" si="22"/>
        <v>3.7991410637596701E-3</v>
      </c>
      <c r="E1447" s="49"/>
    </row>
    <row r="1448" spans="1:5" ht="14.4">
      <c r="A1448" s="136">
        <v>42431</v>
      </c>
      <c r="B1448" s="137">
        <v>60.54</v>
      </c>
      <c r="C1448" s="133"/>
      <c r="D1448" s="50">
        <f t="shared" si="22"/>
        <v>-4.2763157894736281E-3</v>
      </c>
      <c r="E1448" s="49"/>
    </row>
    <row r="1449" spans="1:5" ht="14.4">
      <c r="A1449" s="136">
        <v>42430</v>
      </c>
      <c r="B1449" s="137">
        <v>60.8</v>
      </c>
      <c r="C1449" s="133"/>
      <c r="D1449" s="50">
        <f t="shared" si="22"/>
        <v>1.7062562730010056E-2</v>
      </c>
      <c r="E1449" s="49"/>
    </row>
    <row r="1450" spans="1:5" ht="14.4">
      <c r="A1450" s="136">
        <v>42429</v>
      </c>
      <c r="B1450" s="137">
        <v>59.78</v>
      </c>
      <c r="C1450" s="133"/>
      <c r="D1450" s="50">
        <f t="shared" si="22"/>
        <v>3.9471396278908166E-2</v>
      </c>
      <c r="E1450" s="49"/>
    </row>
    <row r="1451" spans="1:5" ht="14.4">
      <c r="A1451" s="136">
        <v>42426</v>
      </c>
      <c r="B1451" s="137">
        <v>57.51</v>
      </c>
      <c r="C1451" s="133"/>
      <c r="D1451" s="50">
        <f t="shared" si="22"/>
        <v>2.440299808262214E-3</v>
      </c>
      <c r="E1451" s="49"/>
    </row>
    <row r="1452" spans="1:5" ht="14.4">
      <c r="A1452" s="136">
        <v>42425</v>
      </c>
      <c r="B1452" s="137">
        <v>57.37</v>
      </c>
      <c r="C1452" s="133"/>
      <c r="D1452" s="50">
        <f t="shared" si="22"/>
        <v>4.4040036396724158E-2</v>
      </c>
      <c r="E1452" s="49"/>
    </row>
    <row r="1453" spans="1:5" ht="14.4">
      <c r="A1453" s="136">
        <v>42424</v>
      </c>
      <c r="B1453" s="137">
        <v>54.95</v>
      </c>
      <c r="C1453" s="133"/>
      <c r="D1453" s="50">
        <f t="shared" si="22"/>
        <v>-8.3017505865365937E-3</v>
      </c>
      <c r="E1453" s="49"/>
    </row>
    <row r="1454" spans="1:5" ht="14.4">
      <c r="A1454" s="136">
        <v>42423</v>
      </c>
      <c r="B1454" s="137">
        <v>55.41</v>
      </c>
      <c r="C1454" s="133"/>
      <c r="D1454" s="50">
        <f t="shared" si="22"/>
        <v>-1.3178984861976883E-2</v>
      </c>
      <c r="E1454" s="49"/>
    </row>
    <row r="1455" spans="1:5" ht="14.4">
      <c r="A1455" s="136">
        <v>42422</v>
      </c>
      <c r="B1455" s="137">
        <v>56.15</v>
      </c>
      <c r="C1455" s="133"/>
      <c r="D1455" s="50">
        <f t="shared" si="22"/>
        <v>1.6289592760180938E-2</v>
      </c>
      <c r="E1455" s="49"/>
    </row>
    <row r="1456" spans="1:5" ht="14.4">
      <c r="A1456" s="136">
        <v>42419</v>
      </c>
      <c r="B1456" s="137">
        <v>55.25</v>
      </c>
      <c r="C1456" s="133"/>
      <c r="D1456" s="50">
        <f t="shared" si="22"/>
        <v>-1.07430617726052E-2</v>
      </c>
      <c r="E1456" s="49"/>
    </row>
    <row r="1457" spans="1:5" ht="14.4">
      <c r="A1457" s="136">
        <v>42418</v>
      </c>
      <c r="B1457" s="137">
        <v>55.85</v>
      </c>
      <c r="C1457" s="133"/>
      <c r="D1457" s="50">
        <f t="shared" si="22"/>
        <v>1.4532243415077195E-2</v>
      </c>
      <c r="E1457" s="49"/>
    </row>
    <row r="1458" spans="1:5" ht="14.4">
      <c r="A1458" s="136">
        <v>42417</v>
      </c>
      <c r="B1458" s="137">
        <v>55.05</v>
      </c>
      <c r="C1458" s="133"/>
      <c r="D1458" s="50">
        <f t="shared" si="22"/>
        <v>2.3614726664187291E-2</v>
      </c>
      <c r="E1458" s="49"/>
    </row>
    <row r="1459" spans="1:5" ht="14.4">
      <c r="A1459" s="136">
        <v>42416</v>
      </c>
      <c r="B1459" s="137">
        <v>53.78</v>
      </c>
      <c r="C1459" s="133"/>
      <c r="D1459" s="50">
        <f t="shared" si="22"/>
        <v>7.4934432371673854E-3</v>
      </c>
      <c r="E1459" s="49"/>
    </row>
    <row r="1460" spans="1:5" ht="14.4">
      <c r="A1460" s="136">
        <v>42415</v>
      </c>
      <c r="B1460" s="137">
        <v>53.38</v>
      </c>
      <c r="C1460" s="133"/>
      <c r="D1460" s="50">
        <f t="shared" si="22"/>
        <v>4.0343013057883459E-2</v>
      </c>
      <c r="E1460" s="49"/>
    </row>
    <row r="1461" spans="1:5" ht="14.4">
      <c r="A1461" s="136">
        <v>42412</v>
      </c>
      <c r="B1461" s="137">
        <v>51.31</v>
      </c>
      <c r="C1461" s="133"/>
      <c r="D1461" s="50">
        <f t="shared" si="22"/>
        <v>2.7021617293835121E-2</v>
      </c>
      <c r="E1461" s="49"/>
    </row>
    <row r="1462" spans="1:5" ht="14.4">
      <c r="A1462" s="136">
        <v>42411</v>
      </c>
      <c r="B1462" s="137">
        <v>49.96</v>
      </c>
      <c r="C1462" s="133"/>
      <c r="D1462" s="50">
        <f t="shared" si="22"/>
        <v>-4.601871300362792E-2</v>
      </c>
      <c r="E1462" s="49"/>
    </row>
    <row r="1463" spans="1:5" ht="14.4">
      <c r="A1463" s="136">
        <v>42410</v>
      </c>
      <c r="B1463" s="137">
        <v>52.37</v>
      </c>
      <c r="C1463" s="133"/>
      <c r="D1463" s="50">
        <f t="shared" si="22"/>
        <v>2.2452167122217759E-2</v>
      </c>
      <c r="E1463" s="49"/>
    </row>
    <row r="1464" spans="1:5" ht="14.4">
      <c r="A1464" s="136">
        <v>42409</v>
      </c>
      <c r="B1464" s="137">
        <v>51.22</v>
      </c>
      <c r="C1464" s="133"/>
      <c r="D1464" s="50">
        <f t="shared" si="22"/>
        <v>1.7602190494816483E-3</v>
      </c>
      <c r="E1464" s="49"/>
    </row>
    <row r="1465" spans="1:5" ht="14.4">
      <c r="A1465" s="136">
        <v>42408</v>
      </c>
      <c r="B1465" s="137">
        <v>51.13</v>
      </c>
      <c r="C1465" s="133"/>
      <c r="D1465" s="50">
        <f t="shared" si="22"/>
        <v>-5.4199038105808395E-2</v>
      </c>
      <c r="E1465" s="49"/>
    </row>
    <row r="1466" spans="1:5" ht="14.4">
      <c r="A1466" s="136">
        <v>42405</v>
      </c>
      <c r="B1466" s="137">
        <v>54.06</v>
      </c>
      <c r="C1466" s="133"/>
      <c r="D1466" s="50">
        <f t="shared" si="22"/>
        <v>4.645976584278122E-3</v>
      </c>
      <c r="E1466" s="49"/>
    </row>
    <row r="1467" spans="1:5" ht="14.4">
      <c r="A1467" s="136">
        <v>42404</v>
      </c>
      <c r="B1467" s="137">
        <v>53.81</v>
      </c>
      <c r="C1467" s="133"/>
      <c r="D1467" s="50">
        <f t="shared" si="22"/>
        <v>-1.6697588126158847E-3</v>
      </c>
      <c r="E1467" s="49"/>
    </row>
    <row r="1468" spans="1:5" ht="14.4">
      <c r="A1468" s="136">
        <v>42403</v>
      </c>
      <c r="B1468" s="137">
        <v>53.9</v>
      </c>
      <c r="C1468" s="133"/>
      <c r="D1468" s="50">
        <f t="shared" si="22"/>
        <v>-2.6196928635953132E-2</v>
      </c>
      <c r="E1468" s="49"/>
    </row>
    <row r="1469" spans="1:5" ht="14.4">
      <c r="A1469" s="136">
        <v>42402</v>
      </c>
      <c r="B1469" s="137">
        <v>55.35</v>
      </c>
      <c r="C1469" s="133"/>
      <c r="D1469" s="50">
        <f t="shared" si="22"/>
        <v>-4.3215211754537575E-2</v>
      </c>
      <c r="E1469" s="49"/>
    </row>
    <row r="1470" spans="1:5" ht="14.4">
      <c r="A1470" s="136">
        <v>42401</v>
      </c>
      <c r="B1470" s="137">
        <v>57.85</v>
      </c>
      <c r="C1470" s="133"/>
      <c r="D1470" s="50">
        <f t="shared" si="22"/>
        <v>5.1885160844000744E-4</v>
      </c>
      <c r="E1470" s="49"/>
    </row>
    <row r="1471" spans="1:5" ht="14.4">
      <c r="A1471" s="136">
        <v>42398</v>
      </c>
      <c r="B1471" s="137">
        <v>57.82</v>
      </c>
      <c r="C1471" s="133"/>
      <c r="D1471" s="50">
        <f t="shared" si="22"/>
        <v>5.0890585241730291E-2</v>
      </c>
      <c r="E1471" s="49"/>
    </row>
    <row r="1472" spans="1:5" ht="14.4">
      <c r="A1472" s="136">
        <v>42397</v>
      </c>
      <c r="B1472" s="137">
        <v>55.02</v>
      </c>
      <c r="C1472" s="133"/>
      <c r="D1472" s="50">
        <f t="shared" si="22"/>
        <v>-7.933645870897954E-3</v>
      </c>
      <c r="E1472" s="49"/>
    </row>
    <row r="1473" spans="1:7" ht="14.4">
      <c r="A1473" s="136">
        <v>42396</v>
      </c>
      <c r="B1473" s="137">
        <v>55.46</v>
      </c>
      <c r="C1473" s="133"/>
      <c r="D1473" s="50">
        <f t="shared" si="22"/>
        <v>-3.4134447927551381E-2</v>
      </c>
      <c r="E1473" s="49"/>
    </row>
    <row r="1474" spans="1:7" ht="14.4">
      <c r="A1474" s="136">
        <v>42395</v>
      </c>
      <c r="B1474" s="137">
        <v>57.42</v>
      </c>
      <c r="C1474" s="133"/>
      <c r="D1474" s="50">
        <f t="shared" si="22"/>
        <v>1.7445917655269927E-3</v>
      </c>
      <c r="E1474" s="49"/>
    </row>
    <row r="1475" spans="1:7" ht="14.4">
      <c r="A1475" s="136">
        <v>42394</v>
      </c>
      <c r="B1475" s="137">
        <v>57.32</v>
      </c>
      <c r="C1475" s="133"/>
      <c r="D1475" s="50">
        <f t="shared" si="22"/>
        <v>6.4969271290604702E-3</v>
      </c>
      <c r="E1475" s="49"/>
    </row>
    <row r="1476" spans="1:7" ht="14.4">
      <c r="A1476" s="136">
        <v>42391</v>
      </c>
      <c r="B1476" s="137">
        <v>56.95</v>
      </c>
      <c r="C1476" s="133"/>
      <c r="D1476" s="50">
        <f t="shared" si="22"/>
        <v>2.5571763010985071E-2</v>
      </c>
      <c r="E1476" s="49"/>
    </row>
    <row r="1477" spans="1:7" ht="14.4">
      <c r="A1477" s="136">
        <v>42390</v>
      </c>
      <c r="B1477" s="137">
        <v>55.53</v>
      </c>
      <c r="C1477" s="133"/>
      <c r="D1477" s="50">
        <f t="shared" si="22"/>
        <v>2.1523178807947074E-2</v>
      </c>
      <c r="E1477" s="49"/>
    </row>
    <row r="1478" spans="1:7" ht="14.4">
      <c r="A1478" s="136">
        <v>42389</v>
      </c>
      <c r="B1478" s="137">
        <v>54.36</v>
      </c>
      <c r="C1478" s="133"/>
      <c r="D1478" s="50">
        <f t="shared" si="22"/>
        <v>-4.1607898448518976E-2</v>
      </c>
      <c r="E1478" s="42"/>
      <c r="F1478" s="42"/>
      <c r="G1478" s="42"/>
    </row>
    <row r="1479" spans="1:7" ht="14.4">
      <c r="A1479" s="136">
        <v>42388</v>
      </c>
      <c r="B1479" s="137">
        <v>56.72</v>
      </c>
      <c r="C1479" s="133"/>
      <c r="D1479" s="50">
        <f t="shared" si="22"/>
        <v>1.5577439570277463E-2</v>
      </c>
      <c r="E1479" s="42"/>
      <c r="F1479" s="42"/>
      <c r="G1479" s="42"/>
    </row>
    <row r="1480" spans="1:7" ht="14.4">
      <c r="A1480" s="136">
        <v>42387</v>
      </c>
      <c r="B1480" s="137">
        <v>55.85</v>
      </c>
      <c r="C1480" s="133"/>
      <c r="D1480" s="50">
        <f t="shared" ref="D1480:D1543" si="23">(B1480-C1480)/B1481-1</f>
        <v>-5.3428317008014092E-3</v>
      </c>
      <c r="E1480" s="42"/>
      <c r="F1480" s="42"/>
      <c r="G1480" s="42"/>
    </row>
    <row r="1481" spans="1:7" ht="14.4">
      <c r="A1481" s="136">
        <v>42384</v>
      </c>
      <c r="B1481" s="137">
        <v>56.15</v>
      </c>
      <c r="C1481" s="133"/>
      <c r="D1481" s="50">
        <f t="shared" si="23"/>
        <v>-3.20634373383899E-2</v>
      </c>
      <c r="E1481" s="42"/>
      <c r="F1481" s="42"/>
      <c r="G1481" s="42"/>
    </row>
    <row r="1482" spans="1:7" ht="14.4">
      <c r="A1482" s="136">
        <v>42383</v>
      </c>
      <c r="B1482" s="137">
        <v>58.01</v>
      </c>
      <c r="C1482" s="133"/>
      <c r="D1482" s="50">
        <f t="shared" si="23"/>
        <v>-2.4878130778282159E-2</v>
      </c>
      <c r="E1482" s="42"/>
      <c r="F1482" s="42"/>
      <c r="G1482" s="42"/>
    </row>
    <row r="1483" spans="1:7" ht="14.4">
      <c r="A1483" s="136">
        <v>42382</v>
      </c>
      <c r="B1483" s="137">
        <v>59.49</v>
      </c>
      <c r="C1483" s="133"/>
      <c r="D1483" s="50">
        <f t="shared" si="23"/>
        <v>8.3050847457626364E-3</v>
      </c>
      <c r="E1483" s="42"/>
      <c r="F1483" s="42"/>
      <c r="G1483" s="42"/>
    </row>
    <row r="1484" spans="1:7" ht="14.4">
      <c r="A1484" s="136">
        <v>42381</v>
      </c>
      <c r="B1484" s="137">
        <v>59</v>
      </c>
      <c r="C1484" s="133"/>
      <c r="D1484" s="50">
        <f t="shared" si="23"/>
        <v>1.5315780416451652E-2</v>
      </c>
      <c r="E1484" s="42"/>
      <c r="F1484" s="42"/>
      <c r="G1484" s="42"/>
    </row>
    <row r="1485" spans="1:7" ht="14.4">
      <c r="A1485" s="136">
        <v>42380</v>
      </c>
      <c r="B1485" s="137">
        <v>58.11</v>
      </c>
      <c r="C1485" s="133"/>
      <c r="D1485" s="50">
        <f t="shared" si="23"/>
        <v>-1.1061946902654829E-2</v>
      </c>
      <c r="E1485" s="42"/>
      <c r="F1485" s="42"/>
      <c r="G1485" s="42"/>
    </row>
    <row r="1486" spans="1:7" ht="14.4">
      <c r="A1486" s="136">
        <v>42377</v>
      </c>
      <c r="B1486" s="137">
        <v>58.76</v>
      </c>
      <c r="C1486" s="133"/>
      <c r="D1486" s="50">
        <f t="shared" si="23"/>
        <v>-2.131912058627583E-2</v>
      </c>
      <c r="E1486" s="42"/>
      <c r="F1486" s="42"/>
      <c r="G1486" s="42"/>
    </row>
    <row r="1487" spans="1:7" ht="14.4">
      <c r="A1487" s="136">
        <v>42376</v>
      </c>
      <c r="B1487" s="137">
        <v>60.04</v>
      </c>
      <c r="C1487" s="133"/>
      <c r="D1487" s="50">
        <f t="shared" si="23"/>
        <v>-2.007507752570592E-2</v>
      </c>
      <c r="E1487" s="42"/>
      <c r="F1487" s="42"/>
      <c r="G1487" s="42"/>
    </row>
    <row r="1488" spans="1:7" ht="14.4">
      <c r="A1488" s="136">
        <v>42375</v>
      </c>
      <c r="B1488" s="137">
        <v>61.27</v>
      </c>
      <c r="C1488" s="133"/>
      <c r="D1488" s="50">
        <f t="shared" si="23"/>
        <v>-1.3206635529070754E-2</v>
      </c>
      <c r="E1488" s="42"/>
      <c r="F1488" s="42"/>
      <c r="G1488" s="42"/>
    </row>
    <row r="1489" spans="1:7" ht="14.4">
      <c r="A1489" s="136">
        <v>42374</v>
      </c>
      <c r="B1489" s="137">
        <v>62.09</v>
      </c>
      <c r="C1489" s="133"/>
      <c r="D1489" s="50">
        <f t="shared" si="23"/>
        <v>2.02103187643774E-2</v>
      </c>
      <c r="E1489" s="42"/>
      <c r="F1489" s="42"/>
      <c r="G1489" s="42"/>
    </row>
    <row r="1490" spans="1:7" ht="14.4">
      <c r="A1490" s="136">
        <v>42373</v>
      </c>
      <c r="B1490" s="137">
        <v>60.86</v>
      </c>
      <c r="C1490" s="133"/>
      <c r="D1490" s="50">
        <f t="shared" si="23"/>
        <v>-1.838709677419359E-2</v>
      </c>
      <c r="E1490" s="42"/>
      <c r="F1490" s="42"/>
      <c r="G1490" s="42"/>
    </row>
    <row r="1491" spans="1:7" ht="14.4">
      <c r="A1491" s="138">
        <v>42369</v>
      </c>
      <c r="B1491" s="139">
        <v>62</v>
      </c>
      <c r="C1491" s="134">
        <v>1.3</v>
      </c>
      <c r="D1491" s="50">
        <f t="shared" si="23"/>
        <v>-3.0041546820070208E-2</v>
      </c>
      <c r="E1491" s="46"/>
      <c r="F1491" s="46"/>
      <c r="G1491" s="45" t="e">
        <v>#REF!</v>
      </c>
    </row>
    <row r="1492" spans="1:7" ht="14.4">
      <c r="A1492" s="136">
        <v>42368</v>
      </c>
      <c r="B1492" s="137">
        <v>62.58</v>
      </c>
      <c r="C1492" s="133"/>
      <c r="D1492" s="50">
        <f t="shared" si="23"/>
        <v>-7.454401268834232E-3</v>
      </c>
      <c r="E1492" s="42"/>
      <c r="F1492" s="42"/>
      <c r="G1492" s="42"/>
    </row>
    <row r="1493" spans="1:7" ht="14.4">
      <c r="A1493" s="136">
        <v>42367</v>
      </c>
      <c r="B1493" s="137">
        <v>63.05</v>
      </c>
      <c r="C1493" s="133"/>
      <c r="D1493" s="50">
        <f t="shared" si="23"/>
        <v>2.1714470912331807E-2</v>
      </c>
      <c r="E1493" s="42"/>
      <c r="F1493" s="42"/>
      <c r="G1493" s="42"/>
    </row>
    <row r="1494" spans="1:7" ht="14.4">
      <c r="A1494" s="136">
        <v>42366</v>
      </c>
      <c r="B1494" s="137">
        <v>61.71</v>
      </c>
      <c r="C1494" s="133"/>
      <c r="D1494" s="50">
        <f t="shared" si="23"/>
        <v>-7.0796460176990594E-3</v>
      </c>
      <c r="E1494" s="49"/>
    </row>
    <row r="1495" spans="1:7" ht="14.4">
      <c r="A1495" s="136">
        <v>42362</v>
      </c>
      <c r="B1495" s="137">
        <v>62.15</v>
      </c>
      <c r="C1495" s="133"/>
      <c r="D1495" s="50">
        <f t="shared" si="23"/>
        <v>-6.8712048577820317E-3</v>
      </c>
      <c r="E1495" s="49"/>
    </row>
    <row r="1496" spans="1:7" ht="14.4">
      <c r="A1496" s="136">
        <v>42361</v>
      </c>
      <c r="B1496" s="137">
        <v>62.58</v>
      </c>
      <c r="C1496" s="133"/>
      <c r="D1496" s="50">
        <f t="shared" si="23"/>
        <v>1.0985460420032345E-2</v>
      </c>
      <c r="E1496" s="49"/>
    </row>
    <row r="1497" spans="1:7" ht="14.4">
      <c r="A1497" s="136">
        <v>42360</v>
      </c>
      <c r="B1497" s="137">
        <v>61.9</v>
      </c>
      <c r="C1497" s="133"/>
      <c r="D1497" s="50">
        <f t="shared" si="23"/>
        <v>-3.2299741602070942E-4</v>
      </c>
      <c r="E1497" s="49"/>
    </row>
    <row r="1498" spans="1:7" ht="14.4">
      <c r="A1498" s="136">
        <v>42359</v>
      </c>
      <c r="B1498" s="137">
        <v>61.92</v>
      </c>
      <c r="C1498" s="133"/>
      <c r="D1498" s="50">
        <f t="shared" si="23"/>
        <v>-2.1182421751501646E-2</v>
      </c>
      <c r="E1498" s="49"/>
    </row>
    <row r="1499" spans="1:7" ht="14.4">
      <c r="A1499" s="136">
        <v>42356</v>
      </c>
      <c r="B1499" s="137">
        <v>63.26</v>
      </c>
      <c r="C1499" s="133"/>
      <c r="D1499" s="50">
        <f t="shared" si="23"/>
        <v>-2.8711807154920943E-2</v>
      </c>
      <c r="E1499" s="49"/>
    </row>
    <row r="1500" spans="1:7" ht="14.4">
      <c r="A1500" s="136">
        <v>42355</v>
      </c>
      <c r="B1500" s="137">
        <v>65.13</v>
      </c>
      <c r="C1500" s="133"/>
      <c r="D1500" s="50">
        <f t="shared" si="23"/>
        <v>1.1492467774498971E-2</v>
      </c>
      <c r="E1500" s="49"/>
    </row>
    <row r="1501" spans="1:7" ht="14.4">
      <c r="A1501" s="136">
        <v>42354</v>
      </c>
      <c r="B1501" s="137">
        <v>64.39</v>
      </c>
      <c r="C1501" s="133"/>
      <c r="D1501" s="50">
        <f t="shared" si="23"/>
        <v>1.9797275894836819E-2</v>
      </c>
      <c r="E1501" s="49"/>
    </row>
    <row r="1502" spans="1:7" ht="14.4">
      <c r="A1502" s="136">
        <v>42353</v>
      </c>
      <c r="B1502" s="137">
        <v>63.14</v>
      </c>
      <c r="C1502" s="133"/>
      <c r="D1502" s="50">
        <f t="shared" si="23"/>
        <v>3.0016313213703238E-2</v>
      </c>
      <c r="E1502" s="49"/>
    </row>
    <row r="1503" spans="1:7" ht="14.4">
      <c r="A1503" s="136">
        <v>42352</v>
      </c>
      <c r="B1503" s="137">
        <v>61.3</v>
      </c>
      <c r="C1503" s="133"/>
      <c r="D1503" s="50">
        <f t="shared" si="23"/>
        <v>-1.5735388567758579E-2</v>
      </c>
      <c r="E1503" s="49"/>
    </row>
    <row r="1504" spans="1:7" ht="14.4">
      <c r="A1504" s="136">
        <v>42349</v>
      </c>
      <c r="B1504" s="137">
        <v>62.28</v>
      </c>
      <c r="C1504" s="133"/>
      <c r="D1504" s="50">
        <f t="shared" si="23"/>
        <v>-2.9604238080398915E-2</v>
      </c>
      <c r="E1504" s="49"/>
    </row>
    <row r="1505" spans="1:5" ht="14.4">
      <c r="A1505" s="136">
        <v>42348</v>
      </c>
      <c r="B1505" s="137">
        <v>64.180000000000007</v>
      </c>
      <c r="C1505" s="133"/>
      <c r="D1505" s="50">
        <f t="shared" si="23"/>
        <v>1.0867853205229316E-2</v>
      </c>
      <c r="E1505" s="49"/>
    </row>
    <row r="1506" spans="1:5" ht="14.4">
      <c r="A1506" s="136">
        <v>42347</v>
      </c>
      <c r="B1506" s="137">
        <v>63.49</v>
      </c>
      <c r="C1506" s="133"/>
      <c r="D1506" s="50">
        <f t="shared" si="23"/>
        <v>-1.8853345696182799E-2</v>
      </c>
      <c r="E1506" s="49"/>
    </row>
    <row r="1507" spans="1:5" ht="14.4">
      <c r="A1507" s="136">
        <v>42346</v>
      </c>
      <c r="B1507" s="137">
        <v>64.709999999999994</v>
      </c>
      <c r="C1507" s="133"/>
      <c r="D1507" s="50">
        <f t="shared" si="23"/>
        <v>-1.7908635604795942E-2</v>
      </c>
      <c r="E1507" s="49"/>
    </row>
    <row r="1508" spans="1:5" ht="14.4">
      <c r="A1508" s="136">
        <v>42345</v>
      </c>
      <c r="B1508" s="137">
        <v>65.89</v>
      </c>
      <c r="C1508" s="133"/>
      <c r="D1508" s="50">
        <f t="shared" si="23"/>
        <v>2.9370410873301056E-2</v>
      </c>
      <c r="E1508" s="49"/>
    </row>
    <row r="1509" spans="1:5" ht="14.4">
      <c r="A1509" s="136">
        <v>42342</v>
      </c>
      <c r="B1509" s="137">
        <v>64.010000000000005</v>
      </c>
      <c r="C1509" s="133"/>
      <c r="D1509" s="50">
        <f t="shared" si="23"/>
        <v>5.4979579013509916E-3</v>
      </c>
      <c r="E1509" s="49"/>
    </row>
    <row r="1510" spans="1:5" ht="14.4">
      <c r="A1510" s="136">
        <v>42341</v>
      </c>
      <c r="B1510" s="137">
        <v>63.66</v>
      </c>
      <c r="C1510" s="133"/>
      <c r="D1510" s="50">
        <f t="shared" si="23"/>
        <v>-5.2678571428571574E-2</v>
      </c>
      <c r="E1510" s="49"/>
    </row>
    <row r="1511" spans="1:5" ht="14.4">
      <c r="A1511" s="136">
        <v>42340</v>
      </c>
      <c r="B1511" s="137">
        <v>67.2</v>
      </c>
      <c r="C1511" s="133"/>
      <c r="D1511" s="50">
        <f t="shared" si="23"/>
        <v>-7.4349442379173514E-4</v>
      </c>
      <c r="E1511" s="49"/>
    </row>
    <row r="1512" spans="1:5" ht="14.4">
      <c r="A1512" s="136">
        <v>42339</v>
      </c>
      <c r="B1512" s="137">
        <v>67.25</v>
      </c>
      <c r="C1512" s="133"/>
      <c r="D1512" s="50">
        <f t="shared" si="23"/>
        <v>-1.7387492694330819E-2</v>
      </c>
      <c r="E1512" s="49"/>
    </row>
    <row r="1513" spans="1:5" ht="14.4">
      <c r="A1513" s="136">
        <v>42338</v>
      </c>
      <c r="B1513" s="137">
        <v>68.44</v>
      </c>
      <c r="C1513" s="133"/>
      <c r="D1513" s="50">
        <f t="shared" si="23"/>
        <v>7.2111846946283364E-3</v>
      </c>
      <c r="E1513" s="49"/>
    </row>
    <row r="1514" spans="1:5" ht="14.4">
      <c r="A1514" s="136">
        <v>42335</v>
      </c>
      <c r="B1514" s="137">
        <v>67.95</v>
      </c>
      <c r="C1514" s="133"/>
      <c r="D1514" s="50">
        <f t="shared" si="23"/>
        <v>-2.9347028613353476E-3</v>
      </c>
      <c r="E1514" s="49"/>
    </row>
    <row r="1515" spans="1:5" ht="14.4">
      <c r="A1515" s="136">
        <v>42334</v>
      </c>
      <c r="B1515" s="137">
        <v>68.150000000000006</v>
      </c>
      <c r="C1515" s="133"/>
      <c r="D1515" s="50">
        <f t="shared" si="23"/>
        <v>1.6405667412378921E-2</v>
      </c>
      <c r="E1515" s="49"/>
    </row>
    <row r="1516" spans="1:5" ht="14.4">
      <c r="A1516" s="136">
        <v>42333</v>
      </c>
      <c r="B1516" s="137">
        <v>67.05</v>
      </c>
      <c r="C1516" s="133"/>
      <c r="D1516" s="50">
        <f t="shared" si="23"/>
        <v>2.2259490776032731E-2</v>
      </c>
      <c r="E1516" s="49"/>
    </row>
    <row r="1517" spans="1:5" ht="14.4">
      <c r="A1517" s="136">
        <v>42332</v>
      </c>
      <c r="B1517" s="137">
        <v>65.59</v>
      </c>
      <c r="C1517" s="133"/>
      <c r="D1517" s="50">
        <f t="shared" si="23"/>
        <v>-1.4128964376972752E-2</v>
      </c>
      <c r="E1517" s="49"/>
    </row>
    <row r="1518" spans="1:5" ht="14.4">
      <c r="A1518" s="136">
        <v>42331</v>
      </c>
      <c r="B1518" s="137">
        <v>66.53</v>
      </c>
      <c r="C1518" s="133"/>
      <c r="D1518" s="50">
        <f t="shared" si="23"/>
        <v>1.6561276723878748E-3</v>
      </c>
      <c r="E1518" s="49"/>
    </row>
    <row r="1519" spans="1:5" ht="14.4">
      <c r="A1519" s="136">
        <v>42328</v>
      </c>
      <c r="B1519" s="137">
        <v>66.42</v>
      </c>
      <c r="C1519" s="133"/>
      <c r="D1519" s="50">
        <f t="shared" si="23"/>
        <v>8.3497798694398551E-3</v>
      </c>
      <c r="E1519" s="49"/>
    </row>
    <row r="1520" spans="1:5" ht="14.4">
      <c r="A1520" s="136">
        <v>42327</v>
      </c>
      <c r="B1520" s="137">
        <v>65.87</v>
      </c>
      <c r="C1520" s="133"/>
      <c r="D1520" s="50">
        <f t="shared" si="23"/>
        <v>1.3681970203709426E-3</v>
      </c>
      <c r="E1520" s="49"/>
    </row>
    <row r="1521" spans="1:5" ht="14.4">
      <c r="A1521" s="136">
        <v>42326</v>
      </c>
      <c r="B1521" s="137">
        <v>65.78</v>
      </c>
      <c r="C1521" s="133"/>
      <c r="D1521" s="50">
        <f t="shared" si="23"/>
        <v>-5.893909626719096E-3</v>
      </c>
      <c r="E1521" s="49"/>
    </row>
    <row r="1522" spans="1:5" ht="14.4">
      <c r="A1522" s="136">
        <v>42325</v>
      </c>
      <c r="B1522" s="137">
        <v>66.17</v>
      </c>
      <c r="C1522" s="133"/>
      <c r="D1522" s="50">
        <f t="shared" si="23"/>
        <v>4.2704065553104353E-2</v>
      </c>
      <c r="E1522" s="49"/>
    </row>
    <row r="1523" spans="1:5" ht="14.4">
      <c r="A1523" s="136">
        <v>42324</v>
      </c>
      <c r="B1523" s="137">
        <v>63.46</v>
      </c>
      <c r="C1523" s="133"/>
      <c r="D1523" s="50">
        <f t="shared" si="23"/>
        <v>-1.1018416496143546E-3</v>
      </c>
      <c r="E1523" s="49"/>
    </row>
    <row r="1524" spans="1:5" ht="14.4">
      <c r="A1524" s="136">
        <v>42321</v>
      </c>
      <c r="B1524" s="137">
        <v>63.53</v>
      </c>
      <c r="C1524" s="133"/>
      <c r="D1524" s="50">
        <f t="shared" si="23"/>
        <v>-8.2734935997502701E-3</v>
      </c>
      <c r="E1524" s="49"/>
    </row>
    <row r="1525" spans="1:5" ht="14.4">
      <c r="A1525" s="136">
        <v>42320</v>
      </c>
      <c r="B1525" s="137">
        <v>64.06</v>
      </c>
      <c r="C1525" s="133"/>
      <c r="D1525" s="50">
        <f t="shared" si="23"/>
        <v>-3.7415477084898452E-2</v>
      </c>
      <c r="E1525" s="49"/>
    </row>
    <row r="1526" spans="1:5" ht="14.4">
      <c r="A1526" s="136">
        <v>42319</v>
      </c>
      <c r="B1526" s="137">
        <v>66.55</v>
      </c>
      <c r="C1526" s="133"/>
      <c r="D1526" s="50">
        <f t="shared" si="23"/>
        <v>8.0278703423204423E-3</v>
      </c>
      <c r="E1526" s="49"/>
    </row>
    <row r="1527" spans="1:5" ht="14.4">
      <c r="A1527" s="136">
        <v>42318</v>
      </c>
      <c r="B1527" s="137">
        <v>66.02</v>
      </c>
      <c r="C1527" s="133"/>
      <c r="D1527" s="50">
        <f t="shared" si="23"/>
        <v>9.4801223241589572E-3</v>
      </c>
      <c r="E1527" s="49"/>
    </row>
    <row r="1528" spans="1:5" ht="14.4">
      <c r="A1528" s="136">
        <v>42317</v>
      </c>
      <c r="B1528" s="137">
        <v>65.400000000000006</v>
      </c>
      <c r="C1528" s="133"/>
      <c r="D1528" s="50">
        <f t="shared" si="23"/>
        <v>-1.0590015128592922E-2</v>
      </c>
      <c r="E1528" s="49"/>
    </row>
    <row r="1529" spans="1:5" ht="14.4">
      <c r="A1529" s="136">
        <v>42314</v>
      </c>
      <c r="B1529" s="137">
        <v>66.099999999999994</v>
      </c>
      <c r="C1529" s="133"/>
      <c r="D1529" s="50">
        <f t="shared" si="23"/>
        <v>2.3219814241486114E-2</v>
      </c>
      <c r="E1529" s="49"/>
    </row>
    <row r="1530" spans="1:5" ht="14.4">
      <c r="A1530" s="136">
        <v>42313</v>
      </c>
      <c r="B1530" s="137">
        <v>64.599999999999994</v>
      </c>
      <c r="C1530" s="133"/>
      <c r="D1530" s="50">
        <f t="shared" si="23"/>
        <v>9.2173097953442973E-3</v>
      </c>
      <c r="E1530" s="49"/>
    </row>
    <row r="1531" spans="1:5" ht="14.4">
      <c r="A1531" s="136">
        <v>42312</v>
      </c>
      <c r="B1531" s="137">
        <v>64.010000000000005</v>
      </c>
      <c r="C1531" s="133"/>
      <c r="D1531" s="50">
        <f t="shared" si="23"/>
        <v>1.233591649533472E-2</v>
      </c>
      <c r="E1531" s="49"/>
    </row>
    <row r="1532" spans="1:5" ht="14.4">
      <c r="A1532" s="136">
        <v>42311</v>
      </c>
      <c r="B1532" s="137">
        <v>63.23</v>
      </c>
      <c r="C1532" s="133"/>
      <c r="D1532" s="50">
        <f t="shared" si="23"/>
        <v>-5.6612674948892661E-3</v>
      </c>
      <c r="E1532" s="49"/>
    </row>
    <row r="1533" spans="1:5" ht="14.4">
      <c r="A1533" s="136">
        <v>42310</v>
      </c>
      <c r="B1533" s="137">
        <v>63.59</v>
      </c>
      <c r="C1533" s="133"/>
      <c r="D1533" s="50">
        <f t="shared" si="23"/>
        <v>3.6300505050506082E-3</v>
      </c>
      <c r="E1533" s="49"/>
    </row>
    <row r="1534" spans="1:5" ht="14.4">
      <c r="A1534" s="136">
        <v>42307</v>
      </c>
      <c r="B1534" s="137">
        <v>63.36</v>
      </c>
      <c r="C1534" s="133"/>
      <c r="D1534" s="50">
        <f t="shared" si="23"/>
        <v>4.3994068215521542E-2</v>
      </c>
      <c r="E1534" s="49"/>
    </row>
    <row r="1535" spans="1:5" ht="14.4">
      <c r="A1535" s="136">
        <v>42306</v>
      </c>
      <c r="B1535" s="137">
        <v>60.69</v>
      </c>
      <c r="C1535" s="133"/>
      <c r="D1535" s="50">
        <f t="shared" si="23"/>
        <v>1.7946997651794749E-2</v>
      </c>
      <c r="E1535" s="49"/>
    </row>
    <row r="1536" spans="1:5" ht="14.4">
      <c r="A1536" s="136">
        <v>42305</v>
      </c>
      <c r="B1536" s="137">
        <v>59.62</v>
      </c>
      <c r="C1536" s="133"/>
      <c r="D1536" s="50">
        <f t="shared" si="23"/>
        <v>8.4573748308525154E-3</v>
      </c>
      <c r="E1536" s="49"/>
    </row>
    <row r="1537" spans="1:5" ht="14.4">
      <c r="A1537" s="136">
        <v>42304</v>
      </c>
      <c r="B1537" s="137">
        <v>59.12</v>
      </c>
      <c r="C1537" s="133"/>
      <c r="D1537" s="50">
        <f t="shared" si="23"/>
        <v>-1.3844870725604808E-2</v>
      </c>
      <c r="E1537" s="49"/>
    </row>
    <row r="1538" spans="1:5" ht="14.4">
      <c r="A1538" s="136">
        <v>42303</v>
      </c>
      <c r="B1538" s="137">
        <v>59.95</v>
      </c>
      <c r="C1538" s="133"/>
      <c r="D1538" s="50">
        <f t="shared" si="23"/>
        <v>-3.6563071297989191E-3</v>
      </c>
      <c r="E1538" s="49"/>
    </row>
    <row r="1539" spans="1:5" ht="14.4">
      <c r="A1539" s="136">
        <v>42300</v>
      </c>
      <c r="B1539" s="137">
        <v>60.17</v>
      </c>
      <c r="C1539" s="133"/>
      <c r="D1539" s="50">
        <f t="shared" si="23"/>
        <v>4.6070931849791386E-2</v>
      </c>
      <c r="E1539" s="49"/>
    </row>
    <row r="1540" spans="1:5" ht="14.4">
      <c r="A1540" s="136">
        <v>42299</v>
      </c>
      <c r="B1540" s="137">
        <v>57.52</v>
      </c>
      <c r="C1540" s="133"/>
      <c r="D1540" s="50">
        <f t="shared" si="23"/>
        <v>2.2032693674484793E-2</v>
      </c>
      <c r="E1540" s="49"/>
    </row>
    <row r="1541" spans="1:5" ht="14.4">
      <c r="A1541" s="136">
        <v>42298</v>
      </c>
      <c r="B1541" s="137">
        <v>56.28</v>
      </c>
      <c r="C1541" s="133"/>
      <c r="D1541" s="50">
        <f t="shared" si="23"/>
        <v>2.2714882791204705E-2</v>
      </c>
      <c r="E1541" s="49"/>
    </row>
    <row r="1542" spans="1:5" ht="14.4">
      <c r="A1542" s="136">
        <v>42297</v>
      </c>
      <c r="B1542" s="137">
        <v>55.03</v>
      </c>
      <c r="C1542" s="133"/>
      <c r="D1542" s="50">
        <f t="shared" si="23"/>
        <v>-6.8579678758345919E-3</v>
      </c>
      <c r="E1542" s="49"/>
    </row>
    <row r="1543" spans="1:5" ht="14.4">
      <c r="A1543" s="136">
        <v>42296</v>
      </c>
      <c r="B1543" s="137">
        <v>55.41</v>
      </c>
      <c r="C1543" s="133"/>
      <c r="D1543" s="50">
        <f t="shared" si="23"/>
        <v>-2.160994057266441E-3</v>
      </c>
      <c r="E1543" s="49"/>
    </row>
    <row r="1544" spans="1:5" ht="14.4">
      <c r="A1544" s="136">
        <v>42293</v>
      </c>
      <c r="B1544" s="137">
        <v>55.53</v>
      </c>
      <c r="C1544" s="133"/>
      <c r="D1544" s="50">
        <f t="shared" ref="D1544:D1607" si="24">(B1544-C1544)/B1545-1</f>
        <v>1.833852924995405E-2</v>
      </c>
      <c r="E1544" s="49"/>
    </row>
    <row r="1545" spans="1:5" ht="14.4">
      <c r="A1545" s="136">
        <v>42292</v>
      </c>
      <c r="B1545" s="137">
        <v>54.53</v>
      </c>
      <c r="C1545" s="133"/>
      <c r="D1545" s="50">
        <f t="shared" si="24"/>
        <v>-2.8332145402708453E-2</v>
      </c>
      <c r="E1545" s="49"/>
    </row>
    <row r="1546" spans="1:5" ht="14.4">
      <c r="A1546" s="136">
        <v>42291</v>
      </c>
      <c r="B1546" s="137">
        <v>56.12</v>
      </c>
      <c r="C1546" s="133"/>
      <c r="D1546" s="50">
        <f t="shared" si="24"/>
        <v>-8.3053543028804855E-3</v>
      </c>
      <c r="E1546" s="49"/>
    </row>
    <row r="1547" spans="1:5" ht="14.4">
      <c r="A1547" s="136">
        <v>42290</v>
      </c>
      <c r="B1547" s="137">
        <v>56.59</v>
      </c>
      <c r="C1547" s="133"/>
      <c r="D1547" s="50">
        <f t="shared" si="24"/>
        <v>6.9395017793594249E-3</v>
      </c>
      <c r="E1547" s="49"/>
    </row>
    <row r="1548" spans="1:5" ht="14.4">
      <c r="A1548" s="136">
        <v>42289</v>
      </c>
      <c r="B1548" s="137">
        <v>56.2</v>
      </c>
      <c r="C1548" s="133"/>
      <c r="D1548" s="50">
        <f t="shared" si="24"/>
        <v>-2.4474917549036523E-2</v>
      </c>
      <c r="E1548" s="49"/>
    </row>
    <row r="1549" spans="1:5" ht="14.4">
      <c r="A1549" s="136">
        <v>42286</v>
      </c>
      <c r="B1549" s="137">
        <v>57.61</v>
      </c>
      <c r="C1549" s="133"/>
      <c r="D1549" s="50">
        <f t="shared" si="24"/>
        <v>9.1084252933963938E-3</v>
      </c>
      <c r="E1549" s="49"/>
    </row>
    <row r="1550" spans="1:5" ht="14.4">
      <c r="A1550" s="136">
        <v>42285</v>
      </c>
      <c r="B1550" s="137">
        <v>57.09</v>
      </c>
      <c r="C1550" s="133"/>
      <c r="D1550" s="50">
        <f t="shared" si="24"/>
        <v>3.3391915641476366E-3</v>
      </c>
      <c r="E1550" s="49"/>
    </row>
    <row r="1551" spans="1:5" ht="14.4">
      <c r="A1551" s="136">
        <v>42284</v>
      </c>
      <c r="B1551" s="137">
        <v>56.9</v>
      </c>
      <c r="C1551" s="133"/>
      <c r="D1551" s="50">
        <f t="shared" si="24"/>
        <v>-1.0533707865169051E-3</v>
      </c>
      <c r="E1551" s="49"/>
    </row>
    <row r="1552" spans="1:5" ht="14.4">
      <c r="A1552" s="136">
        <v>42283</v>
      </c>
      <c r="B1552" s="137">
        <v>56.96</v>
      </c>
      <c r="C1552" s="133"/>
      <c r="D1552" s="50">
        <f t="shared" si="24"/>
        <v>6.1826532414768209E-3</v>
      </c>
      <c r="E1552" s="49"/>
    </row>
    <row r="1553" spans="1:5" ht="14.4">
      <c r="A1553" s="136">
        <v>42282</v>
      </c>
      <c r="B1553" s="137">
        <v>56.61</v>
      </c>
      <c r="C1553" s="133"/>
      <c r="D1553" s="50">
        <f t="shared" si="24"/>
        <v>3.5296269202633512E-2</v>
      </c>
      <c r="E1553" s="49"/>
    </row>
    <row r="1554" spans="1:5" ht="14.4">
      <c r="A1554" s="136">
        <v>42279</v>
      </c>
      <c r="B1554" s="137">
        <v>54.68</v>
      </c>
      <c r="C1554" s="133"/>
      <c r="D1554" s="50">
        <f t="shared" si="24"/>
        <v>2.1101774042950661E-2</v>
      </c>
      <c r="E1554" s="49"/>
    </row>
    <row r="1555" spans="1:5" ht="14.4">
      <c r="A1555" s="136">
        <v>42278</v>
      </c>
      <c r="B1555" s="137">
        <v>53.55</v>
      </c>
      <c r="C1555" s="133"/>
      <c r="D1555" s="50">
        <f t="shared" si="24"/>
        <v>1.2096012096012076E-2</v>
      </c>
      <c r="E1555" s="49"/>
    </row>
    <row r="1556" spans="1:5" ht="14.4">
      <c r="A1556" s="136">
        <v>42277</v>
      </c>
      <c r="B1556" s="137">
        <v>52.91</v>
      </c>
      <c r="C1556" s="133"/>
      <c r="D1556" s="50">
        <f t="shared" si="24"/>
        <v>1.2437810945273631E-2</v>
      </c>
      <c r="E1556" s="49"/>
    </row>
    <row r="1557" spans="1:5" ht="14.4">
      <c r="A1557" s="136">
        <v>42276</v>
      </c>
      <c r="B1557" s="137">
        <v>52.26</v>
      </c>
      <c r="C1557" s="133"/>
      <c r="D1557" s="50">
        <f t="shared" si="24"/>
        <v>-4.3817870070490539E-3</v>
      </c>
      <c r="E1557" s="49"/>
    </row>
    <row r="1558" spans="1:5" ht="14.4">
      <c r="A1558" s="136">
        <v>42275</v>
      </c>
      <c r="B1558" s="137">
        <v>52.49</v>
      </c>
      <c r="C1558" s="133"/>
      <c r="D1558" s="50">
        <f t="shared" si="24"/>
        <v>-3.0834564254061947E-2</v>
      </c>
      <c r="E1558" s="49"/>
    </row>
    <row r="1559" spans="1:5" ht="14.4">
      <c r="A1559" s="136">
        <v>42272</v>
      </c>
      <c r="B1559" s="137">
        <v>54.16</v>
      </c>
      <c r="C1559" s="133"/>
      <c r="D1559" s="50">
        <f t="shared" si="24"/>
        <v>4.4148833622517758E-2</v>
      </c>
      <c r="E1559" s="49"/>
    </row>
    <row r="1560" spans="1:5" ht="14.4">
      <c r="A1560" s="136">
        <v>42271</v>
      </c>
      <c r="B1560" s="137">
        <v>51.87</v>
      </c>
      <c r="C1560" s="133"/>
      <c r="D1560" s="50">
        <f t="shared" si="24"/>
        <v>-2.6646650403452821E-2</v>
      </c>
      <c r="E1560" s="49"/>
    </row>
    <row r="1561" spans="1:5" ht="14.4">
      <c r="A1561" s="136">
        <v>42270</v>
      </c>
      <c r="B1561" s="137">
        <v>53.29</v>
      </c>
      <c r="C1561" s="133"/>
      <c r="D1561" s="50">
        <f t="shared" si="24"/>
        <v>3.5781544256119346E-3</v>
      </c>
      <c r="E1561" s="49"/>
    </row>
    <row r="1562" spans="1:5" ht="14.4">
      <c r="A1562" s="136">
        <v>42269</v>
      </c>
      <c r="B1562" s="137">
        <v>53.1</v>
      </c>
      <c r="C1562" s="133"/>
      <c r="D1562" s="50">
        <f t="shared" si="24"/>
        <v>-3.4545454545454546E-2</v>
      </c>
      <c r="E1562" s="49"/>
    </row>
    <row r="1563" spans="1:5" ht="14.4">
      <c r="A1563" s="136">
        <v>42268</v>
      </c>
      <c r="B1563" s="137">
        <v>55</v>
      </c>
      <c r="C1563" s="133"/>
      <c r="D1563" s="50">
        <f t="shared" si="24"/>
        <v>1.065784638000733E-2</v>
      </c>
      <c r="E1563" s="49"/>
    </row>
    <row r="1564" spans="1:5" ht="14.4">
      <c r="A1564" s="136">
        <v>42265</v>
      </c>
      <c r="B1564" s="137">
        <v>54.42</v>
      </c>
      <c r="C1564" s="133"/>
      <c r="D1564" s="50">
        <f t="shared" si="24"/>
        <v>-3.3735795454545414E-2</v>
      </c>
      <c r="E1564" s="49"/>
    </row>
    <row r="1565" spans="1:5" ht="14.4">
      <c r="A1565" s="136">
        <v>42264</v>
      </c>
      <c r="B1565" s="137">
        <v>56.32</v>
      </c>
      <c r="C1565" s="133"/>
      <c r="D1565" s="50">
        <f t="shared" si="24"/>
        <v>1.131262345124795E-2</v>
      </c>
      <c r="E1565" s="49"/>
    </row>
    <row r="1566" spans="1:5" ht="14.4">
      <c r="A1566" s="136">
        <v>42263</v>
      </c>
      <c r="B1566" s="137">
        <v>55.69</v>
      </c>
      <c r="C1566" s="133"/>
      <c r="D1566" s="50">
        <f t="shared" si="24"/>
        <v>1.1442063203777719E-2</v>
      </c>
      <c r="E1566" s="49"/>
    </row>
    <row r="1567" spans="1:5" ht="14.4">
      <c r="A1567" s="136">
        <v>42262</v>
      </c>
      <c r="B1567" s="137">
        <v>55.06</v>
      </c>
      <c r="C1567" s="133"/>
      <c r="D1567" s="50">
        <f t="shared" si="24"/>
        <v>1.0089891762979253E-2</v>
      </c>
      <c r="E1567" s="49"/>
    </row>
    <row r="1568" spans="1:5" ht="14.4">
      <c r="A1568" s="136">
        <v>42261</v>
      </c>
      <c r="B1568" s="137">
        <v>54.51</v>
      </c>
      <c r="C1568" s="133"/>
      <c r="D1568" s="50">
        <f t="shared" si="24"/>
        <v>-1.9075040489472728E-2</v>
      </c>
      <c r="E1568" s="49"/>
    </row>
    <row r="1569" spans="1:5" ht="14.4">
      <c r="A1569" s="136">
        <v>42258</v>
      </c>
      <c r="B1569" s="137">
        <v>55.57</v>
      </c>
      <c r="C1569" s="133"/>
      <c r="D1569" s="50">
        <f t="shared" si="24"/>
        <v>-1.6460176991150433E-2</v>
      </c>
      <c r="E1569" s="49"/>
    </row>
    <row r="1570" spans="1:5" ht="14.4">
      <c r="A1570" s="136">
        <v>42257</v>
      </c>
      <c r="B1570" s="137">
        <v>56.5</v>
      </c>
      <c r="C1570" s="133"/>
      <c r="D1570" s="50">
        <f t="shared" si="24"/>
        <v>-1.4305652477320296E-2</v>
      </c>
      <c r="E1570" s="49"/>
    </row>
    <row r="1571" spans="1:5" ht="14.4">
      <c r="A1571" s="136">
        <v>42256</v>
      </c>
      <c r="B1571" s="137">
        <v>57.32</v>
      </c>
      <c r="C1571" s="133"/>
      <c r="D1571" s="50">
        <f t="shared" si="24"/>
        <v>2.5585972445875793E-2</v>
      </c>
      <c r="E1571" s="49"/>
    </row>
    <row r="1572" spans="1:5" ht="14.4">
      <c r="A1572" s="136">
        <v>42255</v>
      </c>
      <c r="B1572" s="137">
        <v>55.89</v>
      </c>
      <c r="C1572" s="133"/>
      <c r="D1572" s="50">
        <f t="shared" si="24"/>
        <v>1.0121091632026014E-2</v>
      </c>
      <c r="E1572" s="49"/>
    </row>
    <row r="1573" spans="1:5" ht="14.4">
      <c r="A1573" s="136">
        <v>42254</v>
      </c>
      <c r="B1573" s="137">
        <v>55.33</v>
      </c>
      <c r="C1573" s="133"/>
      <c r="D1573" s="50">
        <f t="shared" si="24"/>
        <v>1.8076644974684974E-4</v>
      </c>
      <c r="E1573" s="49"/>
    </row>
    <row r="1574" spans="1:5" ht="14.4">
      <c r="A1574" s="136">
        <v>42251</v>
      </c>
      <c r="B1574" s="137">
        <v>55.32</v>
      </c>
      <c r="C1574" s="133"/>
      <c r="D1574" s="50">
        <f t="shared" si="24"/>
        <v>-3.6908077994428967E-2</v>
      </c>
      <c r="E1574" s="49"/>
    </row>
    <row r="1575" spans="1:5" ht="14.4">
      <c r="A1575" s="136">
        <v>42250</v>
      </c>
      <c r="B1575" s="137">
        <v>57.44</v>
      </c>
      <c r="C1575" s="133"/>
      <c r="D1575" s="50">
        <f t="shared" si="24"/>
        <v>3.0129124820659881E-2</v>
      </c>
      <c r="E1575" s="49"/>
    </row>
    <row r="1576" spans="1:5" ht="14.4">
      <c r="A1576" s="136">
        <v>42249</v>
      </c>
      <c r="B1576" s="137">
        <v>55.76</v>
      </c>
      <c r="C1576" s="133"/>
      <c r="D1576" s="50">
        <f t="shared" si="24"/>
        <v>-1.3271987258892226E-2</v>
      </c>
      <c r="E1576" s="49"/>
    </row>
    <row r="1577" spans="1:5" ht="14.4">
      <c r="A1577" s="136">
        <v>42248</v>
      </c>
      <c r="B1577" s="137">
        <v>56.51</v>
      </c>
      <c r="C1577" s="133"/>
      <c r="D1577" s="50">
        <f t="shared" si="24"/>
        <v>-2.7199173695989121E-2</v>
      </c>
      <c r="E1577" s="49"/>
    </row>
    <row r="1578" spans="1:5" ht="14.4">
      <c r="A1578" s="136">
        <v>42247</v>
      </c>
      <c r="B1578" s="137">
        <v>58.09</v>
      </c>
      <c r="C1578" s="133"/>
      <c r="D1578" s="50">
        <f t="shared" si="24"/>
        <v>-3.2601235415236074E-3</v>
      </c>
      <c r="E1578" s="49"/>
    </row>
    <row r="1579" spans="1:5" ht="14.4">
      <c r="A1579" s="136">
        <v>42244</v>
      </c>
      <c r="B1579" s="137">
        <v>58.28</v>
      </c>
      <c r="C1579" s="133"/>
      <c r="D1579" s="50">
        <f t="shared" si="24"/>
        <v>6.3892246589536406E-3</v>
      </c>
      <c r="E1579" s="49"/>
    </row>
    <row r="1580" spans="1:5" ht="14.4">
      <c r="A1580" s="136">
        <v>42243</v>
      </c>
      <c r="B1580" s="137">
        <v>57.91</v>
      </c>
      <c r="C1580" s="133"/>
      <c r="D1580" s="50">
        <f t="shared" si="24"/>
        <v>3.5586552217453438E-2</v>
      </c>
      <c r="E1580" s="49"/>
    </row>
    <row r="1581" spans="1:5" ht="14.4">
      <c r="A1581" s="136">
        <v>42242</v>
      </c>
      <c r="B1581" s="137">
        <v>55.92</v>
      </c>
      <c r="C1581" s="133"/>
      <c r="D1581" s="50">
        <f t="shared" si="24"/>
        <v>-4.982206405694023E-3</v>
      </c>
      <c r="E1581" s="49"/>
    </row>
    <row r="1582" spans="1:5" ht="14.4">
      <c r="A1582" s="136">
        <v>42241</v>
      </c>
      <c r="B1582" s="137">
        <v>56.2</v>
      </c>
      <c r="C1582" s="133"/>
      <c r="D1582" s="50">
        <f t="shared" si="24"/>
        <v>2.7422303473491727E-2</v>
      </c>
      <c r="E1582" s="49"/>
    </row>
    <row r="1583" spans="1:5" ht="14.4">
      <c r="A1583" s="136">
        <v>42240</v>
      </c>
      <c r="B1583" s="137">
        <v>54.7</v>
      </c>
      <c r="C1583" s="133"/>
      <c r="D1583" s="50">
        <f t="shared" si="24"/>
        <v>-4.6872277400243911E-2</v>
      </c>
      <c r="E1583" s="49"/>
    </row>
    <row r="1584" spans="1:5" ht="14.4">
      <c r="A1584" s="136">
        <v>42237</v>
      </c>
      <c r="B1584" s="137">
        <v>57.39</v>
      </c>
      <c r="C1584" s="133"/>
      <c r="D1584" s="50">
        <f t="shared" si="24"/>
        <v>-4.5091514143094868E-2</v>
      </c>
      <c r="E1584" s="49"/>
    </row>
    <row r="1585" spans="1:5" ht="14.4">
      <c r="A1585" s="136">
        <v>42236</v>
      </c>
      <c r="B1585" s="137">
        <v>60.1</v>
      </c>
      <c r="C1585" s="133"/>
      <c r="D1585" s="50">
        <f t="shared" si="24"/>
        <v>-2.8451341739411551E-2</v>
      </c>
      <c r="E1585" s="49"/>
    </row>
    <row r="1586" spans="1:5" ht="14.4">
      <c r="A1586" s="136">
        <v>42235</v>
      </c>
      <c r="B1586" s="137">
        <v>61.86</v>
      </c>
      <c r="C1586" s="133"/>
      <c r="D1586" s="50">
        <f t="shared" si="24"/>
        <v>-1.7471410419313882E-2</v>
      </c>
      <c r="E1586" s="49"/>
    </row>
    <row r="1587" spans="1:5" ht="14.4">
      <c r="A1587" s="136">
        <v>42234</v>
      </c>
      <c r="B1587" s="137">
        <v>62.96</v>
      </c>
      <c r="C1587" s="133"/>
      <c r="D1587" s="50">
        <f t="shared" si="24"/>
        <v>-7.935248373273085E-4</v>
      </c>
      <c r="E1587" s="49"/>
    </row>
    <row r="1588" spans="1:5" ht="14.4">
      <c r="A1588" s="136">
        <v>42233</v>
      </c>
      <c r="B1588" s="137">
        <v>63.01</v>
      </c>
      <c r="C1588" s="133"/>
      <c r="D1588" s="50">
        <f t="shared" si="24"/>
        <v>9.7756410256411019E-3</v>
      </c>
      <c r="E1588" s="49"/>
    </row>
    <row r="1589" spans="1:5" ht="14.4">
      <c r="A1589" s="136">
        <v>42230</v>
      </c>
      <c r="B1589" s="137">
        <v>62.4</v>
      </c>
      <c r="C1589" s="133"/>
      <c r="D1589" s="50">
        <f t="shared" si="24"/>
        <v>-8.0064051241002243E-4</v>
      </c>
      <c r="E1589" s="49"/>
    </row>
    <row r="1590" spans="1:5" ht="14.4">
      <c r="A1590" s="136">
        <v>42229</v>
      </c>
      <c r="B1590" s="137">
        <v>62.45</v>
      </c>
      <c r="C1590" s="133"/>
      <c r="D1590" s="50">
        <f t="shared" si="24"/>
        <v>2.4610336341263306E-2</v>
      </c>
      <c r="E1590" s="49"/>
    </row>
    <row r="1591" spans="1:5" ht="14.4">
      <c r="A1591" s="136">
        <v>42228</v>
      </c>
      <c r="B1591" s="137">
        <v>60.95</v>
      </c>
      <c r="C1591" s="133"/>
      <c r="D1591" s="50">
        <f t="shared" si="24"/>
        <v>-5.1804604853764702E-2</v>
      </c>
      <c r="E1591" s="49"/>
    </row>
    <row r="1592" spans="1:5" ht="14.4">
      <c r="A1592" s="136">
        <v>42227</v>
      </c>
      <c r="B1592" s="137">
        <v>64.28</v>
      </c>
      <c r="C1592" s="133"/>
      <c r="D1592" s="50">
        <f t="shared" si="24"/>
        <v>-2.7975200362921449E-2</v>
      </c>
      <c r="E1592" s="49"/>
    </row>
    <row r="1593" spans="1:5" ht="14.4">
      <c r="A1593" s="136">
        <v>42226</v>
      </c>
      <c r="B1593" s="137">
        <v>66.13</v>
      </c>
      <c r="C1593" s="133"/>
      <c r="D1593" s="50">
        <f t="shared" si="24"/>
        <v>-5.5639097744361043E-3</v>
      </c>
      <c r="E1593" s="49"/>
    </row>
    <row r="1594" spans="1:5" ht="14.4">
      <c r="A1594" s="136">
        <v>42223</v>
      </c>
      <c r="B1594" s="137">
        <v>66.5</v>
      </c>
      <c r="C1594" s="133"/>
      <c r="D1594" s="50">
        <f t="shared" si="24"/>
        <v>-1.012206013694561E-2</v>
      </c>
      <c r="E1594" s="49"/>
    </row>
    <row r="1595" spans="1:5" ht="14.4">
      <c r="A1595" s="136">
        <v>42222</v>
      </c>
      <c r="B1595" s="137">
        <v>67.180000000000007</v>
      </c>
      <c r="C1595" s="133"/>
      <c r="D1595" s="50">
        <f t="shared" si="24"/>
        <v>6.7435935860933327E-3</v>
      </c>
      <c r="E1595" s="49"/>
    </row>
    <row r="1596" spans="1:5" ht="14.4">
      <c r="A1596" s="136">
        <v>42221</v>
      </c>
      <c r="B1596" s="137">
        <v>66.73</v>
      </c>
      <c r="C1596" s="133"/>
      <c r="D1596" s="50">
        <f t="shared" si="24"/>
        <v>2.8355678841115894E-2</v>
      </c>
      <c r="E1596" s="49"/>
    </row>
    <row r="1597" spans="1:5" ht="14.4">
      <c r="A1597" s="136">
        <v>42220</v>
      </c>
      <c r="B1597" s="137">
        <v>64.89</v>
      </c>
      <c r="C1597" s="133"/>
      <c r="D1597" s="50">
        <f t="shared" si="24"/>
        <v>-1.2779552715655007E-2</v>
      </c>
      <c r="E1597" s="49"/>
    </row>
    <row r="1598" spans="1:5" ht="14.4">
      <c r="A1598" s="136">
        <v>42219</v>
      </c>
      <c r="B1598" s="137">
        <v>65.73</v>
      </c>
      <c r="C1598" s="133"/>
      <c r="D1598" s="50">
        <f t="shared" si="24"/>
        <v>1.7492260061919618E-2</v>
      </c>
      <c r="E1598" s="49"/>
    </row>
    <row r="1599" spans="1:5" ht="14.4">
      <c r="A1599" s="136">
        <v>42216</v>
      </c>
      <c r="B1599" s="137">
        <v>64.599999999999994</v>
      </c>
      <c r="C1599" s="133"/>
      <c r="D1599" s="50">
        <f t="shared" si="24"/>
        <v>3.5090530363723671E-2</v>
      </c>
      <c r="E1599" s="49"/>
    </row>
    <row r="1600" spans="1:5" ht="14.4">
      <c r="A1600" s="136">
        <v>42215</v>
      </c>
      <c r="B1600" s="137">
        <v>62.41</v>
      </c>
      <c r="C1600" s="133"/>
      <c r="D1600" s="50">
        <f t="shared" si="24"/>
        <v>4.6683837733418887E-3</v>
      </c>
      <c r="E1600" s="49"/>
    </row>
    <row r="1601" spans="1:5" ht="14.4">
      <c r="A1601" s="136">
        <v>42214</v>
      </c>
      <c r="B1601" s="137">
        <v>62.12</v>
      </c>
      <c r="C1601" s="133"/>
      <c r="D1601" s="50">
        <f t="shared" si="24"/>
        <v>1.4535358484403016E-2</v>
      </c>
      <c r="E1601" s="49"/>
    </row>
    <row r="1602" spans="1:5" ht="14.4">
      <c r="A1602" s="136">
        <v>42213</v>
      </c>
      <c r="B1602" s="137">
        <v>61.23</v>
      </c>
      <c r="C1602" s="133"/>
      <c r="D1602" s="50">
        <f t="shared" si="24"/>
        <v>1.5422885572139222E-2</v>
      </c>
      <c r="E1602" s="49"/>
    </row>
    <row r="1603" spans="1:5" ht="14.4">
      <c r="A1603" s="136">
        <v>42212</v>
      </c>
      <c r="B1603" s="137">
        <v>60.3</v>
      </c>
      <c r="C1603" s="133"/>
      <c r="D1603" s="50">
        <f t="shared" si="24"/>
        <v>-4.3767840152236004E-2</v>
      </c>
      <c r="E1603" s="49"/>
    </row>
    <row r="1604" spans="1:5" ht="14.4">
      <c r="A1604" s="136">
        <v>42209</v>
      </c>
      <c r="B1604" s="137">
        <v>63.06</v>
      </c>
      <c r="C1604" s="133"/>
      <c r="D1604" s="50">
        <f t="shared" si="24"/>
        <v>3.1725888324873885E-4</v>
      </c>
      <c r="E1604" s="49"/>
    </row>
    <row r="1605" spans="1:5" ht="14.4">
      <c r="A1605" s="136">
        <v>42208</v>
      </c>
      <c r="B1605" s="137">
        <v>63.04</v>
      </c>
      <c r="C1605" s="133"/>
      <c r="D1605" s="50">
        <f t="shared" si="24"/>
        <v>-5.050505050505083E-3</v>
      </c>
      <c r="E1605" s="49"/>
    </row>
    <row r="1606" spans="1:5" ht="14.4">
      <c r="A1606" s="136">
        <v>42207</v>
      </c>
      <c r="B1606" s="137">
        <v>63.36</v>
      </c>
      <c r="C1606" s="133"/>
      <c r="D1606" s="50">
        <f t="shared" si="24"/>
        <v>-1.1235955056179803E-2</v>
      </c>
      <c r="E1606" s="49"/>
    </row>
    <row r="1607" spans="1:5" ht="14.4">
      <c r="A1607" s="136">
        <v>42206</v>
      </c>
      <c r="B1607" s="137">
        <v>64.08</v>
      </c>
      <c r="C1607" s="133"/>
      <c r="D1607" s="50">
        <f t="shared" si="24"/>
        <v>-1.0194624652455908E-2</v>
      </c>
      <c r="E1607" s="49"/>
    </row>
    <row r="1608" spans="1:5" ht="14.4">
      <c r="A1608" s="136">
        <v>42205</v>
      </c>
      <c r="B1608" s="137">
        <v>64.739999999999995</v>
      </c>
      <c r="C1608" s="133"/>
      <c r="D1608" s="50">
        <f t="shared" ref="D1608:D1671" si="25">(B1608-C1608)/B1609-1</f>
        <v>1.3921113689092657E-3</v>
      </c>
      <c r="E1608" s="49"/>
    </row>
    <row r="1609" spans="1:5" ht="14.4">
      <c r="A1609" s="136">
        <v>42202</v>
      </c>
      <c r="B1609" s="137">
        <v>64.650000000000006</v>
      </c>
      <c r="C1609" s="133"/>
      <c r="D1609" s="50">
        <f t="shared" si="25"/>
        <v>-7.2174447174446765E-3</v>
      </c>
      <c r="E1609" s="49"/>
    </row>
    <row r="1610" spans="1:5" ht="14.4">
      <c r="A1610" s="136">
        <v>42201</v>
      </c>
      <c r="B1610" s="137">
        <v>65.12</v>
      </c>
      <c r="C1610" s="133"/>
      <c r="D1610" s="50">
        <f t="shared" si="25"/>
        <v>2.2452504317789446E-2</v>
      </c>
      <c r="E1610" s="49"/>
    </row>
    <row r="1611" spans="1:5" ht="14.4">
      <c r="A1611" s="136">
        <v>42200</v>
      </c>
      <c r="B1611" s="137">
        <v>63.69</v>
      </c>
      <c r="C1611" s="133"/>
      <c r="D1611" s="50">
        <f t="shared" si="25"/>
        <v>1.288167938931295E-2</v>
      </c>
      <c r="E1611" s="49"/>
    </row>
    <row r="1612" spans="1:5" ht="14.4">
      <c r="A1612" s="136">
        <v>42199</v>
      </c>
      <c r="B1612" s="137">
        <v>62.88</v>
      </c>
      <c r="C1612" s="133"/>
      <c r="D1612" s="50">
        <f t="shared" si="25"/>
        <v>9.633911368015502E-3</v>
      </c>
      <c r="E1612" s="49"/>
    </row>
    <row r="1613" spans="1:5" ht="14.4">
      <c r="A1613" s="136">
        <v>42198</v>
      </c>
      <c r="B1613" s="137">
        <v>62.28</v>
      </c>
      <c r="C1613" s="133"/>
      <c r="D1613" s="50">
        <f t="shared" si="25"/>
        <v>3.1125827814569629E-2</v>
      </c>
      <c r="E1613" s="49"/>
    </row>
    <row r="1614" spans="1:5" ht="14.4">
      <c r="A1614" s="136">
        <v>42195</v>
      </c>
      <c r="B1614" s="137">
        <v>60.4</v>
      </c>
      <c r="C1614" s="133"/>
      <c r="D1614" s="50">
        <f t="shared" si="25"/>
        <v>3.0716723549488067E-2</v>
      </c>
      <c r="E1614" s="49"/>
    </row>
    <row r="1615" spans="1:5" ht="14.4">
      <c r="A1615" s="136">
        <v>42194</v>
      </c>
      <c r="B1615" s="137">
        <v>58.6</v>
      </c>
      <c r="C1615" s="133"/>
      <c r="D1615" s="50">
        <f t="shared" si="25"/>
        <v>2.5192442267319981E-2</v>
      </c>
      <c r="E1615" s="49"/>
    </row>
    <row r="1616" spans="1:5" ht="14.4">
      <c r="A1616" s="136">
        <v>42193</v>
      </c>
      <c r="B1616" s="137">
        <v>57.16</v>
      </c>
      <c r="C1616" s="133"/>
      <c r="D1616" s="50">
        <f t="shared" si="25"/>
        <v>9.5372659837513751E-3</v>
      </c>
      <c r="E1616" s="49"/>
    </row>
    <row r="1617" spans="1:5" ht="14.4">
      <c r="A1617" s="136">
        <v>42192</v>
      </c>
      <c r="B1617" s="137">
        <v>56.62</v>
      </c>
      <c r="C1617" s="133"/>
      <c r="D1617" s="50">
        <f t="shared" si="25"/>
        <v>-3.0147310722850373E-2</v>
      </c>
      <c r="E1617" s="49"/>
    </row>
    <row r="1618" spans="1:5" ht="14.4">
      <c r="A1618" s="136">
        <v>42191</v>
      </c>
      <c r="B1618" s="137">
        <v>58.38</v>
      </c>
      <c r="C1618" s="133"/>
      <c r="D1618" s="50">
        <f t="shared" si="25"/>
        <v>-1.4017902381354475E-2</v>
      </c>
      <c r="E1618" s="49"/>
    </row>
    <row r="1619" spans="1:5" ht="14.4">
      <c r="A1619" s="136">
        <v>42188</v>
      </c>
      <c r="B1619" s="137">
        <v>59.21</v>
      </c>
      <c r="C1619" s="133"/>
      <c r="D1619" s="50">
        <f t="shared" si="25"/>
        <v>-5.2083333333333703E-3</v>
      </c>
      <c r="E1619" s="49"/>
    </row>
    <row r="1620" spans="1:5" ht="14.4">
      <c r="A1620" s="136">
        <v>42187</v>
      </c>
      <c r="B1620" s="137">
        <v>59.52</v>
      </c>
      <c r="C1620" s="133"/>
      <c r="D1620" s="50">
        <f t="shared" si="25"/>
        <v>-1.4079840980619429E-2</v>
      </c>
      <c r="E1620" s="49"/>
    </row>
    <row r="1621" spans="1:5" ht="14.4">
      <c r="A1621" s="136">
        <v>42186</v>
      </c>
      <c r="B1621" s="137">
        <v>60.37</v>
      </c>
      <c r="C1621" s="133"/>
      <c r="D1621" s="50">
        <f t="shared" si="25"/>
        <v>3.7285223367697462E-2</v>
      </c>
      <c r="E1621" s="49"/>
    </row>
    <row r="1622" spans="1:5" ht="14.4">
      <c r="A1622" s="136">
        <v>42185</v>
      </c>
      <c r="B1622" s="137">
        <v>58.2</v>
      </c>
      <c r="C1622" s="133"/>
      <c r="D1622" s="50">
        <f t="shared" si="25"/>
        <v>-1.8549747048903775E-2</v>
      </c>
      <c r="E1622" s="49"/>
    </row>
    <row r="1623" spans="1:5" ht="14.4">
      <c r="A1623" s="136">
        <v>42184</v>
      </c>
      <c r="B1623" s="137">
        <v>59.3</v>
      </c>
      <c r="C1623" s="133"/>
      <c r="D1623" s="50">
        <f t="shared" si="25"/>
        <v>-3.5929117216712769E-2</v>
      </c>
      <c r="E1623" s="49"/>
    </row>
    <row r="1624" spans="1:5" ht="14.4">
      <c r="A1624" s="136">
        <v>42181</v>
      </c>
      <c r="B1624" s="137">
        <v>61.51</v>
      </c>
      <c r="C1624" s="133"/>
      <c r="D1624" s="50">
        <f t="shared" si="25"/>
        <v>-5.1754811580139171E-3</v>
      </c>
      <c r="E1624" s="49"/>
    </row>
    <row r="1625" spans="1:5" ht="14.4">
      <c r="A1625" s="136">
        <v>42180</v>
      </c>
      <c r="B1625" s="137">
        <v>61.83</v>
      </c>
      <c r="C1625" s="133"/>
      <c r="D1625" s="50">
        <f t="shared" si="25"/>
        <v>2.2694115739989584E-3</v>
      </c>
      <c r="E1625" s="49"/>
    </row>
    <row r="1626" spans="1:5" ht="14.4">
      <c r="A1626" s="136">
        <v>42179</v>
      </c>
      <c r="B1626" s="137">
        <v>61.69</v>
      </c>
      <c r="C1626" s="133"/>
      <c r="D1626" s="50">
        <f t="shared" si="25"/>
        <v>-4.8394902403614548E-3</v>
      </c>
      <c r="E1626" s="49"/>
    </row>
    <row r="1627" spans="1:5" ht="14.4">
      <c r="A1627" s="136">
        <v>42178</v>
      </c>
      <c r="B1627" s="137">
        <v>61.99</v>
      </c>
      <c r="C1627" s="133"/>
      <c r="D1627" s="50">
        <f t="shared" si="25"/>
        <v>2.226253298153047E-2</v>
      </c>
      <c r="E1627" s="49"/>
    </row>
    <row r="1628" spans="1:5" ht="14.4">
      <c r="A1628" s="136">
        <v>42177</v>
      </c>
      <c r="B1628" s="137">
        <v>60.64</v>
      </c>
      <c r="C1628" s="133"/>
      <c r="D1628" s="50">
        <f t="shared" si="25"/>
        <v>2.8842891075670174E-2</v>
      </c>
      <c r="E1628" s="49"/>
    </row>
    <row r="1629" spans="1:5" ht="14.4">
      <c r="A1629" s="136">
        <v>42174</v>
      </c>
      <c r="B1629" s="137">
        <v>58.94</v>
      </c>
      <c r="C1629" s="133"/>
      <c r="D1629" s="50">
        <f t="shared" si="25"/>
        <v>2.1667533368001424E-2</v>
      </c>
      <c r="E1629" s="49"/>
    </row>
    <row r="1630" spans="1:5" ht="14.4">
      <c r="A1630" s="136">
        <v>42173</v>
      </c>
      <c r="B1630" s="137">
        <v>57.69</v>
      </c>
      <c r="C1630" s="133"/>
      <c r="D1630" s="50">
        <f t="shared" si="25"/>
        <v>-4.6583850931677384E-3</v>
      </c>
      <c r="E1630" s="49"/>
    </row>
    <row r="1631" spans="1:5" ht="14.4">
      <c r="A1631" s="136">
        <v>42172</v>
      </c>
      <c r="B1631" s="137">
        <v>57.96</v>
      </c>
      <c r="C1631" s="133"/>
      <c r="D1631" s="50">
        <f t="shared" si="25"/>
        <v>-2.3749368367862456E-2</v>
      </c>
      <c r="E1631" s="49"/>
    </row>
    <row r="1632" spans="1:5" ht="14.4">
      <c r="A1632" s="136">
        <v>42171</v>
      </c>
      <c r="B1632" s="137">
        <v>59.37</v>
      </c>
      <c r="C1632" s="133"/>
      <c r="D1632" s="50">
        <f t="shared" si="25"/>
        <v>1.3493000505986341E-3</v>
      </c>
      <c r="E1632" s="49"/>
    </row>
    <row r="1633" spans="1:5" ht="14.4">
      <c r="A1633" s="136">
        <v>42170</v>
      </c>
      <c r="B1633" s="137">
        <v>59.29</v>
      </c>
      <c r="C1633" s="133"/>
      <c r="D1633" s="50">
        <f t="shared" si="25"/>
        <v>-1.9027134348113761E-2</v>
      </c>
      <c r="E1633" s="49"/>
    </row>
    <row r="1634" spans="1:5" ht="14.4">
      <c r="A1634" s="136">
        <v>42167</v>
      </c>
      <c r="B1634" s="137">
        <v>60.44</v>
      </c>
      <c r="C1634" s="133"/>
      <c r="D1634" s="50">
        <f t="shared" si="25"/>
        <v>-1.6436126932465545E-2</v>
      </c>
      <c r="E1634" s="49"/>
    </row>
    <row r="1635" spans="1:5" ht="14.4">
      <c r="A1635" s="136">
        <v>42166</v>
      </c>
      <c r="B1635" s="137">
        <v>61.45</v>
      </c>
      <c r="C1635" s="133"/>
      <c r="D1635" s="50">
        <f t="shared" si="25"/>
        <v>1.5199074838922799E-2</v>
      </c>
      <c r="E1635" s="49"/>
    </row>
    <row r="1636" spans="1:5" ht="14.4">
      <c r="A1636" s="136">
        <v>42165</v>
      </c>
      <c r="B1636" s="137">
        <v>60.53</v>
      </c>
      <c r="C1636" s="133"/>
      <c r="D1636" s="50">
        <f t="shared" si="25"/>
        <v>2.6802374893977854E-2</v>
      </c>
      <c r="E1636" s="49"/>
    </row>
    <row r="1637" spans="1:5" ht="14.4">
      <c r="A1637" s="136">
        <v>42164</v>
      </c>
      <c r="B1637" s="137">
        <v>58.95</v>
      </c>
      <c r="C1637" s="133"/>
      <c r="D1637" s="50">
        <f t="shared" si="25"/>
        <v>-3.3812341504648735E-3</v>
      </c>
      <c r="E1637" s="49"/>
    </row>
    <row r="1638" spans="1:5" ht="14.4">
      <c r="A1638" s="136">
        <v>42163</v>
      </c>
      <c r="B1638" s="137">
        <v>59.15</v>
      </c>
      <c r="C1638" s="133"/>
      <c r="D1638" s="50">
        <f t="shared" si="25"/>
        <v>-8.5484411666107984E-3</v>
      </c>
      <c r="E1638" s="49"/>
    </row>
    <row r="1639" spans="1:5" ht="14.4">
      <c r="A1639" s="136">
        <v>42160</v>
      </c>
      <c r="B1639" s="137">
        <v>59.66</v>
      </c>
      <c r="C1639" s="133"/>
      <c r="D1639" s="50">
        <f t="shared" si="25"/>
        <v>-1.8265591574790352E-2</v>
      </c>
      <c r="E1639" s="49"/>
    </row>
    <row r="1640" spans="1:5" ht="14.4">
      <c r="A1640" s="136">
        <v>42159</v>
      </c>
      <c r="B1640" s="137">
        <v>60.77</v>
      </c>
      <c r="C1640" s="133"/>
      <c r="D1640" s="50">
        <f t="shared" si="25"/>
        <v>-1.0743936187530445E-2</v>
      </c>
      <c r="E1640" s="49"/>
    </row>
    <row r="1641" spans="1:5" ht="14.4">
      <c r="A1641" s="136">
        <v>42158</v>
      </c>
      <c r="B1641" s="137">
        <v>61.43</v>
      </c>
      <c r="C1641" s="133"/>
      <c r="D1641" s="50">
        <f t="shared" si="25"/>
        <v>-1.3006015282067684E-3</v>
      </c>
      <c r="E1641" s="49"/>
    </row>
    <row r="1642" spans="1:5" ht="14.4">
      <c r="A1642" s="136">
        <v>42157</v>
      </c>
      <c r="B1642" s="137">
        <v>61.51</v>
      </c>
      <c r="C1642" s="133"/>
      <c r="D1642" s="50">
        <f t="shared" si="25"/>
        <v>-5.014558395341373E-3</v>
      </c>
      <c r="E1642" s="49"/>
    </row>
    <row r="1643" spans="1:5" ht="14.4">
      <c r="A1643" s="136">
        <v>42156</v>
      </c>
      <c r="B1643" s="137">
        <v>61.82</v>
      </c>
      <c r="C1643" s="133"/>
      <c r="D1643" s="50">
        <f t="shared" si="25"/>
        <v>-2.903225806451637E-3</v>
      </c>
      <c r="E1643" s="49"/>
    </row>
    <row r="1644" spans="1:5" ht="14.4">
      <c r="A1644" s="136">
        <v>42153</v>
      </c>
      <c r="B1644" s="137">
        <v>62</v>
      </c>
      <c r="C1644" s="133"/>
      <c r="D1644" s="50">
        <f t="shared" si="25"/>
        <v>-4.0841584158415878E-2</v>
      </c>
      <c r="E1644" s="49"/>
    </row>
    <row r="1645" spans="1:5" ht="14.4">
      <c r="A1645" s="136">
        <v>42152</v>
      </c>
      <c r="B1645" s="137">
        <v>64.64</v>
      </c>
      <c r="C1645" s="133"/>
      <c r="D1645" s="50">
        <f t="shared" si="25"/>
        <v>-9.5004596996629553E-3</v>
      </c>
      <c r="E1645" s="49"/>
    </row>
    <row r="1646" spans="1:5" ht="14.4">
      <c r="A1646" s="136">
        <v>42151</v>
      </c>
      <c r="B1646" s="137">
        <v>65.260000000000005</v>
      </c>
      <c r="C1646" s="133"/>
      <c r="D1646" s="50">
        <f t="shared" si="25"/>
        <v>2.7878406048196691E-2</v>
      </c>
      <c r="E1646" s="49"/>
    </row>
    <row r="1647" spans="1:5" ht="14.4">
      <c r="A1647" s="136">
        <v>42150</v>
      </c>
      <c r="B1647" s="137">
        <v>63.49</v>
      </c>
      <c r="C1647" s="133"/>
      <c r="D1647" s="50">
        <f t="shared" si="25"/>
        <v>2.0517676767677351E-3</v>
      </c>
      <c r="E1647" s="49"/>
    </row>
    <row r="1648" spans="1:5" ht="14.4">
      <c r="A1648" s="136">
        <v>42149</v>
      </c>
      <c r="B1648" s="137">
        <v>63.36</v>
      </c>
      <c r="C1648" s="133"/>
      <c r="D1648" s="50">
        <f t="shared" si="25"/>
        <v>-5.8057429781891434E-3</v>
      </c>
      <c r="E1648" s="49"/>
    </row>
    <row r="1649" spans="1:5" ht="14.4">
      <c r="A1649" s="136">
        <v>42146</v>
      </c>
      <c r="B1649" s="137">
        <v>63.73</v>
      </c>
      <c r="C1649" s="133"/>
      <c r="D1649" s="50">
        <f t="shared" si="25"/>
        <v>-3.2843290584922968E-3</v>
      </c>
      <c r="E1649" s="49"/>
    </row>
    <row r="1650" spans="1:5" ht="14.4">
      <c r="A1650" s="136">
        <v>42145</v>
      </c>
      <c r="B1650" s="137">
        <v>63.94</v>
      </c>
      <c r="C1650" s="133"/>
      <c r="D1650" s="50">
        <f t="shared" si="25"/>
        <v>9.4726870855699197E-3</v>
      </c>
      <c r="E1650" s="49"/>
    </row>
    <row r="1651" spans="1:5" ht="14.4">
      <c r="A1651" s="136">
        <v>42144</v>
      </c>
      <c r="B1651" s="137">
        <v>63.34</v>
      </c>
      <c r="C1651" s="133"/>
      <c r="D1651" s="50">
        <f t="shared" si="25"/>
        <v>8.4381467919121267E-3</v>
      </c>
      <c r="E1651" s="49"/>
    </row>
    <row r="1652" spans="1:5" ht="14.4">
      <c r="A1652" s="136">
        <v>42143</v>
      </c>
      <c r="B1652" s="137">
        <v>62.81</v>
      </c>
      <c r="C1652" s="133"/>
      <c r="D1652" s="50">
        <f t="shared" si="25"/>
        <v>2.1300813008130026E-2</v>
      </c>
      <c r="E1652" s="49"/>
    </row>
    <row r="1653" spans="1:5" ht="14.4">
      <c r="A1653" s="136">
        <v>42142</v>
      </c>
      <c r="B1653" s="137">
        <v>61.5</v>
      </c>
      <c r="C1653" s="133"/>
      <c r="D1653" s="50">
        <f t="shared" si="25"/>
        <v>1.0515938218862875E-2</v>
      </c>
      <c r="E1653" s="49"/>
    </row>
    <row r="1654" spans="1:5" ht="14.4">
      <c r="A1654" s="136">
        <v>42139</v>
      </c>
      <c r="B1654" s="137">
        <v>60.86</v>
      </c>
      <c r="C1654" s="133"/>
      <c r="D1654" s="50">
        <f t="shared" si="25"/>
        <v>-1.6428454082462185E-4</v>
      </c>
      <c r="E1654" s="49"/>
    </row>
    <row r="1655" spans="1:5" ht="14.4">
      <c r="A1655" s="136">
        <v>42138</v>
      </c>
      <c r="B1655" s="137">
        <v>60.87</v>
      </c>
      <c r="C1655" s="133"/>
      <c r="D1655" s="50">
        <f t="shared" si="25"/>
        <v>1.112956810631216E-2</v>
      </c>
      <c r="E1655" s="49"/>
    </row>
    <row r="1656" spans="1:5" ht="14.4">
      <c r="A1656" s="136">
        <v>42137</v>
      </c>
      <c r="B1656" s="137">
        <v>60.2</v>
      </c>
      <c r="C1656" s="133"/>
      <c r="D1656" s="50">
        <f t="shared" si="25"/>
        <v>-8.4005929830340831E-3</v>
      </c>
      <c r="E1656" s="49"/>
    </row>
    <row r="1657" spans="1:5" ht="14.4">
      <c r="A1657" s="136">
        <v>42136</v>
      </c>
      <c r="B1657" s="137">
        <v>60.71</v>
      </c>
      <c r="C1657" s="133"/>
      <c r="D1657" s="50">
        <f t="shared" si="25"/>
        <v>-2.2225801256240962E-2</v>
      </c>
      <c r="E1657" s="49"/>
    </row>
    <row r="1658" spans="1:5" ht="14.4">
      <c r="A1658" s="136">
        <v>42135</v>
      </c>
      <c r="B1658" s="137">
        <v>62.09</v>
      </c>
      <c r="C1658" s="133"/>
      <c r="D1658" s="50">
        <f t="shared" si="25"/>
        <v>-2.0662460567823282E-2</v>
      </c>
      <c r="E1658" s="49"/>
    </row>
    <row r="1659" spans="1:5" ht="14.4">
      <c r="A1659" s="136">
        <v>42132</v>
      </c>
      <c r="B1659" s="137">
        <v>63.4</v>
      </c>
      <c r="C1659" s="133"/>
      <c r="D1659" s="50">
        <f t="shared" si="25"/>
        <v>5.0364479787939009E-2</v>
      </c>
      <c r="E1659" s="49"/>
    </row>
    <row r="1660" spans="1:5" ht="14.4">
      <c r="A1660" s="136">
        <v>42131</v>
      </c>
      <c r="B1660" s="137">
        <v>60.36</v>
      </c>
      <c r="C1660" s="133"/>
      <c r="D1660" s="50">
        <f t="shared" si="25"/>
        <v>1.3271400132712774E-3</v>
      </c>
      <c r="E1660" s="49"/>
    </row>
    <row r="1661" spans="1:5" ht="14.4">
      <c r="A1661" s="136">
        <v>42130</v>
      </c>
      <c r="B1661" s="137">
        <v>60.28</v>
      </c>
      <c r="C1661" s="133"/>
      <c r="D1661" s="50">
        <f t="shared" si="25"/>
        <v>6.3439065108514825E-3</v>
      </c>
      <c r="E1661" s="49"/>
    </row>
    <row r="1662" spans="1:5" ht="14.4">
      <c r="A1662" s="136">
        <v>42129</v>
      </c>
      <c r="B1662" s="137">
        <v>59.9</v>
      </c>
      <c r="C1662" s="133"/>
      <c r="D1662" s="50">
        <f t="shared" si="25"/>
        <v>-2.759740259740262E-2</v>
      </c>
      <c r="E1662" s="49"/>
    </row>
    <row r="1663" spans="1:5" ht="14.4">
      <c r="A1663" s="136">
        <v>42128</v>
      </c>
      <c r="B1663" s="137">
        <v>61.6</v>
      </c>
      <c r="C1663" s="133"/>
      <c r="D1663" s="50">
        <f t="shared" si="25"/>
        <v>-6.4516129032258229E-3</v>
      </c>
      <c r="E1663" s="49"/>
    </row>
    <row r="1664" spans="1:5" ht="14.4">
      <c r="A1664" s="136">
        <v>42124</v>
      </c>
      <c r="B1664" s="137">
        <v>62</v>
      </c>
      <c r="C1664" s="133"/>
      <c r="D1664" s="50">
        <f t="shared" si="25"/>
        <v>2.3440079234070765E-2</v>
      </c>
      <c r="E1664" s="49"/>
    </row>
    <row r="1665" spans="1:5" ht="14.4">
      <c r="A1665" s="136">
        <v>42123</v>
      </c>
      <c r="B1665" s="137">
        <v>60.58</v>
      </c>
      <c r="C1665" s="133"/>
      <c r="D1665" s="50">
        <f t="shared" si="25"/>
        <v>-3.6883942766295696E-2</v>
      </c>
      <c r="E1665" s="49"/>
    </row>
    <row r="1666" spans="1:5" ht="14.4">
      <c r="A1666" s="136">
        <v>42122</v>
      </c>
      <c r="B1666" s="137">
        <v>62.9</v>
      </c>
      <c r="C1666" s="133"/>
      <c r="D1666" s="50">
        <f t="shared" si="25"/>
        <v>-4.3346007604562753E-2</v>
      </c>
      <c r="E1666" s="49"/>
    </row>
    <row r="1667" spans="1:5" ht="14.4">
      <c r="A1667" s="136">
        <v>42121</v>
      </c>
      <c r="B1667" s="137">
        <v>65.75</v>
      </c>
      <c r="C1667" s="133"/>
      <c r="D1667" s="50">
        <f t="shared" si="25"/>
        <v>9.3644458090267335E-3</v>
      </c>
      <c r="E1667" s="49"/>
    </row>
    <row r="1668" spans="1:5" ht="14.4">
      <c r="A1668" s="136">
        <v>42118</v>
      </c>
      <c r="B1668" s="137">
        <v>65.14</v>
      </c>
      <c r="C1668" s="133"/>
      <c r="D1668" s="50">
        <f t="shared" si="25"/>
        <v>-7.6173065204143686E-3</v>
      </c>
      <c r="E1668" s="49"/>
    </row>
    <row r="1669" spans="1:5" ht="14.4">
      <c r="A1669" s="136">
        <v>42117</v>
      </c>
      <c r="B1669" s="137">
        <v>65.64</v>
      </c>
      <c r="C1669" s="133"/>
      <c r="D1669" s="50">
        <f t="shared" si="25"/>
        <v>-2.4316109422491961E-3</v>
      </c>
      <c r="E1669" s="49"/>
    </row>
    <row r="1670" spans="1:5" ht="14.4">
      <c r="A1670" s="136">
        <v>42116</v>
      </c>
      <c r="B1670" s="137">
        <v>65.8</v>
      </c>
      <c r="C1670" s="133"/>
      <c r="D1670" s="50">
        <f t="shared" si="25"/>
        <v>1.9522776572667988E-2</v>
      </c>
      <c r="E1670" s="49"/>
    </row>
    <row r="1671" spans="1:5" ht="14.4">
      <c r="A1671" s="136">
        <v>42115</v>
      </c>
      <c r="B1671" s="137">
        <v>64.540000000000006</v>
      </c>
      <c r="C1671" s="133"/>
      <c r="D1671" s="50">
        <f t="shared" si="25"/>
        <v>2.2658849627634314E-2</v>
      </c>
      <c r="E1671" s="49"/>
    </row>
    <row r="1672" spans="1:5" ht="14.4">
      <c r="A1672" s="136">
        <v>42114</v>
      </c>
      <c r="B1672" s="137">
        <v>63.11</v>
      </c>
      <c r="C1672" s="133"/>
      <c r="D1672" s="50">
        <f t="shared" ref="D1672:D1735" si="26">(B1672-C1672)/B1673-1</f>
        <v>1.4956577677709859E-2</v>
      </c>
      <c r="E1672" s="49"/>
    </row>
    <row r="1673" spans="1:5" ht="14.4">
      <c r="A1673" s="136">
        <v>42111</v>
      </c>
      <c r="B1673" s="137">
        <v>62.18</v>
      </c>
      <c r="C1673" s="133"/>
      <c r="D1673" s="50">
        <f t="shared" si="26"/>
        <v>-2.7981866499921848E-2</v>
      </c>
      <c r="E1673" s="49"/>
    </row>
    <row r="1674" spans="1:5" ht="14.4">
      <c r="A1674" s="136">
        <v>42110</v>
      </c>
      <c r="B1674" s="137">
        <v>63.97</v>
      </c>
      <c r="C1674" s="133"/>
      <c r="D1674" s="50">
        <f t="shared" si="26"/>
        <v>1.9767256496094454E-2</v>
      </c>
      <c r="E1674" s="49"/>
    </row>
    <row r="1675" spans="1:5" ht="14.4">
      <c r="A1675" s="136">
        <v>42109</v>
      </c>
      <c r="B1675" s="137">
        <v>62.73</v>
      </c>
      <c r="C1675" s="133"/>
      <c r="D1675" s="50">
        <f t="shared" si="26"/>
        <v>2.6173728120399087E-2</v>
      </c>
      <c r="E1675" s="49"/>
    </row>
    <row r="1676" spans="1:5" ht="14.4">
      <c r="A1676" s="136">
        <v>42108</v>
      </c>
      <c r="B1676" s="137">
        <v>61.13</v>
      </c>
      <c r="C1676" s="133"/>
      <c r="D1676" s="50">
        <f t="shared" si="26"/>
        <v>-2.6437330785156865E-2</v>
      </c>
      <c r="E1676" s="49"/>
    </row>
    <row r="1677" spans="1:5" ht="14.4">
      <c r="A1677" s="136">
        <v>42107</v>
      </c>
      <c r="B1677" s="137">
        <v>62.79</v>
      </c>
      <c r="C1677" s="133"/>
      <c r="D1677" s="50">
        <f t="shared" si="26"/>
        <v>1.4214181876918142E-2</v>
      </c>
      <c r="E1677" s="49"/>
    </row>
    <row r="1678" spans="1:5" ht="14.4">
      <c r="A1678" s="136">
        <v>42104</v>
      </c>
      <c r="B1678" s="137">
        <v>61.91</v>
      </c>
      <c r="C1678" s="133"/>
      <c r="D1678" s="50">
        <f t="shared" si="26"/>
        <v>1.0445568793863158E-2</v>
      </c>
      <c r="E1678" s="49"/>
    </row>
    <row r="1679" spans="1:5" ht="14.4">
      <c r="A1679" s="136">
        <v>42103</v>
      </c>
      <c r="B1679" s="137">
        <v>61.27</v>
      </c>
      <c r="C1679" s="133"/>
      <c r="D1679" s="50">
        <f t="shared" si="26"/>
        <v>2.048634243837455E-2</v>
      </c>
      <c r="E1679" s="49"/>
    </row>
    <row r="1680" spans="1:5" ht="14.4">
      <c r="A1680" s="136">
        <v>42102</v>
      </c>
      <c r="B1680" s="137">
        <v>60.04</v>
      </c>
      <c r="C1680" s="133"/>
      <c r="D1680" s="50">
        <f t="shared" si="26"/>
        <v>-5.9602649006622599E-3</v>
      </c>
      <c r="E1680" s="49"/>
    </row>
    <row r="1681" spans="1:5" ht="14.4">
      <c r="A1681" s="136">
        <v>42101</v>
      </c>
      <c r="B1681" s="137">
        <v>60.4</v>
      </c>
      <c r="C1681" s="133"/>
      <c r="D1681" s="50">
        <f t="shared" si="26"/>
        <v>-5.9249506254114293E-3</v>
      </c>
      <c r="E1681" s="49"/>
    </row>
    <row r="1682" spans="1:5" ht="14.4">
      <c r="A1682" s="136">
        <v>42096</v>
      </c>
      <c r="B1682" s="137">
        <v>60.76</v>
      </c>
      <c r="C1682" s="133"/>
      <c r="D1682" s="50">
        <f t="shared" si="26"/>
        <v>-2.4626498111968154E-3</v>
      </c>
      <c r="E1682" s="49"/>
    </row>
    <row r="1683" spans="1:5" ht="14.4">
      <c r="A1683" s="136">
        <v>42095</v>
      </c>
      <c r="B1683" s="137">
        <v>60.91</v>
      </c>
      <c r="C1683" s="133"/>
      <c r="D1683" s="50">
        <f t="shared" si="26"/>
        <v>7.7763070814029778E-3</v>
      </c>
      <c r="E1683" s="49"/>
    </row>
    <row r="1684" spans="1:5" ht="14.4">
      <c r="A1684" s="136">
        <v>42094</v>
      </c>
      <c r="B1684" s="137">
        <v>60.44</v>
      </c>
      <c r="C1684" s="133"/>
      <c r="D1684" s="50">
        <f t="shared" si="26"/>
        <v>-1.22569047229939E-2</v>
      </c>
      <c r="E1684" s="49"/>
    </row>
    <row r="1685" spans="1:5" ht="14.4">
      <c r="A1685" s="136">
        <v>42093</v>
      </c>
      <c r="B1685" s="137">
        <v>61.19</v>
      </c>
      <c r="C1685" s="133"/>
      <c r="D1685" s="50">
        <f t="shared" si="26"/>
        <v>1.2911769574573739E-2</v>
      </c>
      <c r="E1685" s="49"/>
    </row>
    <row r="1686" spans="1:5" ht="14.4">
      <c r="A1686" s="136">
        <v>42090</v>
      </c>
      <c r="B1686" s="137">
        <v>60.41</v>
      </c>
      <c r="C1686" s="133"/>
      <c r="D1686" s="50">
        <f t="shared" si="26"/>
        <v>4.4895244429663528E-3</v>
      </c>
      <c r="E1686" s="49"/>
    </row>
    <row r="1687" spans="1:5" ht="14.4">
      <c r="A1687" s="136">
        <v>42089</v>
      </c>
      <c r="B1687" s="137">
        <v>60.14</v>
      </c>
      <c r="C1687" s="133"/>
      <c r="D1687" s="50">
        <f t="shared" si="26"/>
        <v>2.1226014603498156E-2</v>
      </c>
      <c r="E1687" s="49"/>
    </row>
    <row r="1688" spans="1:5" ht="14.4">
      <c r="A1688" s="136">
        <v>42088</v>
      </c>
      <c r="B1688" s="137">
        <v>58.89</v>
      </c>
      <c r="C1688" s="133"/>
      <c r="D1688" s="50">
        <f t="shared" si="26"/>
        <v>-2.3545017410048108E-2</v>
      </c>
      <c r="E1688" s="49"/>
    </row>
    <row r="1689" spans="1:5" ht="14.4">
      <c r="A1689" s="136">
        <v>42087</v>
      </c>
      <c r="B1689" s="137">
        <v>60.31</v>
      </c>
      <c r="C1689" s="133"/>
      <c r="D1689" s="50">
        <f t="shared" si="26"/>
        <v>5.1666666666667638E-3</v>
      </c>
      <c r="E1689" s="49"/>
    </row>
    <row r="1690" spans="1:5" ht="14.4">
      <c r="A1690" s="136">
        <v>42086</v>
      </c>
      <c r="B1690" s="137">
        <v>60</v>
      </c>
      <c r="C1690" s="133"/>
      <c r="D1690" s="50">
        <f t="shared" si="26"/>
        <v>-2.2801302931596101E-2</v>
      </c>
      <c r="E1690" s="49"/>
    </row>
    <row r="1691" spans="1:5" ht="14.4">
      <c r="A1691" s="136">
        <v>42083</v>
      </c>
      <c r="B1691" s="137">
        <v>61.4</v>
      </c>
      <c r="C1691" s="133"/>
      <c r="D1691" s="50">
        <f t="shared" si="26"/>
        <v>5.2390307793057644E-3</v>
      </c>
      <c r="E1691" s="49"/>
    </row>
    <row r="1692" spans="1:5" ht="14.4">
      <c r="A1692" s="136">
        <v>42082</v>
      </c>
      <c r="B1692" s="137">
        <v>61.08</v>
      </c>
      <c r="C1692" s="133"/>
      <c r="D1692" s="50">
        <f t="shared" si="26"/>
        <v>-1.7976793593724727E-3</v>
      </c>
      <c r="E1692" s="49"/>
    </row>
    <row r="1693" spans="1:5" ht="14.4">
      <c r="A1693" s="136">
        <v>42081</v>
      </c>
      <c r="B1693" s="137">
        <v>61.19</v>
      </c>
      <c r="C1693" s="133"/>
      <c r="D1693" s="50">
        <f t="shared" si="26"/>
        <v>3.4437520498524776E-3</v>
      </c>
      <c r="E1693" s="49"/>
    </row>
    <row r="1694" spans="1:5" ht="14.4">
      <c r="A1694" s="136">
        <v>42080</v>
      </c>
      <c r="B1694" s="137">
        <v>60.98</v>
      </c>
      <c r="C1694" s="133"/>
      <c r="D1694" s="50">
        <f t="shared" si="26"/>
        <v>-4.5098653304102787E-2</v>
      </c>
      <c r="E1694" s="49"/>
    </row>
    <row r="1695" spans="1:5" ht="14.4">
      <c r="A1695" s="136">
        <v>42079</v>
      </c>
      <c r="B1695" s="137">
        <v>63.86</v>
      </c>
      <c r="C1695" s="133"/>
      <c r="D1695" s="50">
        <f t="shared" si="26"/>
        <v>4.7199496538703478E-3</v>
      </c>
      <c r="E1695" s="49"/>
    </row>
    <row r="1696" spans="1:5" ht="14.4">
      <c r="A1696" s="136">
        <v>42076</v>
      </c>
      <c r="B1696" s="137">
        <v>63.56</v>
      </c>
      <c r="C1696" s="133"/>
      <c r="D1696" s="50">
        <f t="shared" si="26"/>
        <v>2.3840206185567148E-2</v>
      </c>
      <c r="E1696" s="49"/>
    </row>
    <row r="1697" spans="1:5" ht="14.4">
      <c r="A1697" s="136">
        <v>42075</v>
      </c>
      <c r="B1697" s="137">
        <v>62.08</v>
      </c>
      <c r="C1697" s="133"/>
      <c r="D1697" s="50">
        <f t="shared" si="26"/>
        <v>1.0581149275598278E-2</v>
      </c>
      <c r="E1697" s="49"/>
    </row>
    <row r="1698" spans="1:5" ht="14.4">
      <c r="A1698" s="136">
        <v>42074</v>
      </c>
      <c r="B1698" s="137">
        <v>61.43</v>
      </c>
      <c r="C1698" s="133"/>
      <c r="D1698" s="50">
        <f t="shared" si="26"/>
        <v>4.3308423913043459E-2</v>
      </c>
      <c r="E1698" s="49"/>
    </row>
    <row r="1699" spans="1:5" ht="14.4">
      <c r="A1699" s="136">
        <v>42073</v>
      </c>
      <c r="B1699" s="137">
        <v>58.88</v>
      </c>
      <c r="C1699" s="133"/>
      <c r="D1699" s="50">
        <f t="shared" si="26"/>
        <v>0</v>
      </c>
      <c r="E1699" s="49"/>
    </row>
    <row r="1700" spans="1:5" ht="14.4">
      <c r="A1700" s="136">
        <v>42072</v>
      </c>
      <c r="B1700" s="137">
        <v>58.88</v>
      </c>
      <c r="C1700" s="133"/>
      <c r="D1700" s="50">
        <f t="shared" si="26"/>
        <v>-9.0878492090205043E-3</v>
      </c>
      <c r="E1700" s="49"/>
    </row>
    <row r="1701" spans="1:5" ht="14.4">
      <c r="A1701" s="136">
        <v>42069</v>
      </c>
      <c r="B1701" s="137">
        <v>59.42</v>
      </c>
      <c r="C1701" s="133"/>
      <c r="D1701" s="50">
        <f t="shared" si="26"/>
        <v>3.5466981928728991E-3</v>
      </c>
      <c r="E1701" s="49"/>
    </row>
    <row r="1702" spans="1:5" ht="14.4">
      <c r="A1702" s="136">
        <v>42068</v>
      </c>
      <c r="B1702" s="137">
        <v>59.21</v>
      </c>
      <c r="C1702" s="133"/>
      <c r="D1702" s="50">
        <f t="shared" si="26"/>
        <v>4.7593772116065081E-2</v>
      </c>
      <c r="E1702" s="49"/>
    </row>
    <row r="1703" spans="1:5" ht="14.4">
      <c r="A1703" s="136">
        <v>42067</v>
      </c>
      <c r="B1703" s="137">
        <v>56.52</v>
      </c>
      <c r="C1703" s="133"/>
      <c r="D1703" s="50">
        <f t="shared" si="26"/>
        <v>2.0216606498195011E-2</v>
      </c>
      <c r="E1703" s="49"/>
    </row>
    <row r="1704" spans="1:5" ht="14.4">
      <c r="A1704" s="136">
        <v>42066</v>
      </c>
      <c r="B1704" s="137">
        <v>55.4</v>
      </c>
      <c r="C1704" s="133"/>
      <c r="D1704" s="50">
        <f t="shared" si="26"/>
        <v>-1.2301658049563291E-2</v>
      </c>
      <c r="E1704" s="49"/>
    </row>
    <row r="1705" spans="1:5" ht="14.4">
      <c r="A1705" s="136">
        <v>42065</v>
      </c>
      <c r="B1705" s="137">
        <v>56.09</v>
      </c>
      <c r="C1705" s="133"/>
      <c r="D1705" s="50">
        <f t="shared" si="26"/>
        <v>1.3735767214892558E-2</v>
      </c>
      <c r="E1705" s="49"/>
    </row>
    <row r="1706" spans="1:5" ht="14.4">
      <c r="A1706" s="136">
        <v>42062</v>
      </c>
      <c r="B1706" s="137">
        <v>55.33</v>
      </c>
      <c r="C1706" s="133"/>
      <c r="D1706" s="50">
        <f t="shared" si="26"/>
        <v>7.1663761379043178E-2</v>
      </c>
      <c r="E1706" s="49"/>
    </row>
    <row r="1707" spans="1:5" ht="14.4">
      <c r="A1707" s="136">
        <v>42061</v>
      </c>
      <c r="B1707" s="137">
        <v>51.63</v>
      </c>
      <c r="C1707" s="133"/>
      <c r="D1707" s="50">
        <f t="shared" si="26"/>
        <v>4.4747081712062098E-3</v>
      </c>
      <c r="E1707" s="49"/>
    </row>
    <row r="1708" spans="1:5" ht="14.4">
      <c r="A1708" s="136">
        <v>42060</v>
      </c>
      <c r="B1708" s="137">
        <v>51.4</v>
      </c>
      <c r="C1708" s="133"/>
      <c r="D1708" s="50">
        <f t="shared" si="26"/>
        <v>-8.6788813886210514E-3</v>
      </c>
      <c r="E1708" s="49"/>
    </row>
    <row r="1709" spans="1:5" ht="14.4">
      <c r="A1709" s="136">
        <v>42059</v>
      </c>
      <c r="B1709" s="137">
        <v>51.85</v>
      </c>
      <c r="C1709" s="133"/>
      <c r="D1709" s="50">
        <f t="shared" si="26"/>
        <v>-1.8735806207418659E-2</v>
      </c>
      <c r="E1709" s="49"/>
    </row>
    <row r="1710" spans="1:5" ht="14.4">
      <c r="A1710" s="136">
        <v>42058</v>
      </c>
      <c r="B1710" s="137">
        <v>52.84</v>
      </c>
      <c r="C1710" s="133"/>
      <c r="D1710" s="50">
        <f t="shared" si="26"/>
        <v>7.2436141822340705E-3</v>
      </c>
      <c r="E1710" s="49"/>
    </row>
    <row r="1711" spans="1:5" ht="14.4">
      <c r="A1711" s="136">
        <v>42055</v>
      </c>
      <c r="B1711" s="137">
        <v>52.46</v>
      </c>
      <c r="C1711" s="133"/>
      <c r="D1711" s="50">
        <f t="shared" si="26"/>
        <v>9.0402000384688375E-3</v>
      </c>
      <c r="E1711" s="49"/>
    </row>
    <row r="1712" spans="1:5" ht="14.4">
      <c r="A1712" s="136">
        <v>42054</v>
      </c>
      <c r="B1712" s="137">
        <v>51.99</v>
      </c>
      <c r="C1712" s="133"/>
      <c r="D1712" s="50">
        <f t="shared" si="26"/>
        <v>1.1675423234092319E-2</v>
      </c>
      <c r="E1712" s="49"/>
    </row>
    <row r="1713" spans="1:5" ht="14.4">
      <c r="A1713" s="136">
        <v>42053</v>
      </c>
      <c r="B1713" s="137">
        <v>51.39</v>
      </c>
      <c r="C1713" s="133"/>
      <c r="D1713" s="50">
        <f t="shared" si="26"/>
        <v>1.4209591474245054E-2</v>
      </c>
      <c r="E1713" s="49"/>
    </row>
    <row r="1714" spans="1:5" ht="14.4">
      <c r="A1714" s="136">
        <v>42052</v>
      </c>
      <c r="B1714" s="137">
        <v>50.67</v>
      </c>
      <c r="C1714" s="133"/>
      <c r="D1714" s="50">
        <f t="shared" si="26"/>
        <v>4.3607532210108157E-3</v>
      </c>
      <c r="E1714" s="49"/>
    </row>
    <row r="1715" spans="1:5" ht="14.4">
      <c r="A1715" s="136">
        <v>42051</v>
      </c>
      <c r="B1715" s="137">
        <v>50.45</v>
      </c>
      <c r="C1715" s="133"/>
      <c r="D1715" s="50">
        <f t="shared" si="26"/>
        <v>1.407035175879412E-2</v>
      </c>
      <c r="E1715" s="49"/>
    </row>
    <row r="1716" spans="1:5" ht="14.4">
      <c r="A1716" s="136">
        <v>42048</v>
      </c>
      <c r="B1716" s="137">
        <v>49.75</v>
      </c>
      <c r="C1716" s="133"/>
      <c r="D1716" s="50">
        <f t="shared" si="26"/>
        <v>-5.0226017076837604E-4</v>
      </c>
      <c r="E1716" s="49"/>
    </row>
    <row r="1717" spans="1:5" ht="14.4">
      <c r="A1717" s="136">
        <v>42047</v>
      </c>
      <c r="B1717" s="137">
        <v>49.774999999999999</v>
      </c>
      <c r="C1717" s="133"/>
      <c r="D1717" s="50">
        <f t="shared" si="26"/>
        <v>7.1833265884255759E-3</v>
      </c>
      <c r="E1717" s="49"/>
    </row>
    <row r="1718" spans="1:5" ht="14.4">
      <c r="A1718" s="136">
        <v>42046</v>
      </c>
      <c r="B1718" s="137">
        <v>49.42</v>
      </c>
      <c r="C1718" s="133"/>
      <c r="D1718" s="50">
        <f t="shared" si="26"/>
        <v>-6.3335679099225661E-3</v>
      </c>
      <c r="E1718" s="49"/>
    </row>
    <row r="1719" spans="1:5" ht="14.4">
      <c r="A1719" s="136">
        <v>42045</v>
      </c>
      <c r="B1719" s="137">
        <v>49.734999999999999</v>
      </c>
      <c r="C1719" s="133"/>
      <c r="D1719" s="50">
        <f t="shared" si="26"/>
        <v>3.1097750596040141E-2</v>
      </c>
      <c r="E1719" s="49"/>
    </row>
    <row r="1720" spans="1:5" ht="14.4">
      <c r="A1720" s="136">
        <v>42044</v>
      </c>
      <c r="B1720" s="137">
        <v>48.234999999999999</v>
      </c>
      <c r="C1720" s="133"/>
      <c r="D1720" s="50">
        <f t="shared" si="26"/>
        <v>-2.2753128555176305E-3</v>
      </c>
      <c r="E1720" s="49"/>
    </row>
    <row r="1721" spans="1:5" ht="14.4">
      <c r="A1721" s="136">
        <v>42041</v>
      </c>
      <c r="B1721" s="137">
        <v>48.344999999999999</v>
      </c>
      <c r="C1721" s="133"/>
      <c r="D1721" s="50">
        <f t="shared" si="26"/>
        <v>-1.3426977897128545E-3</v>
      </c>
      <c r="E1721" s="49"/>
    </row>
    <row r="1722" spans="1:5" ht="14.4">
      <c r="A1722" s="136">
        <v>42040</v>
      </c>
      <c r="B1722" s="137">
        <v>48.41</v>
      </c>
      <c r="C1722" s="133"/>
      <c r="D1722" s="50">
        <f t="shared" si="26"/>
        <v>1.6269549700850261E-2</v>
      </c>
      <c r="E1722" s="49"/>
    </row>
    <row r="1723" spans="1:5" ht="14.4">
      <c r="A1723" s="136">
        <v>42039</v>
      </c>
      <c r="B1723" s="137">
        <v>47.634999999999998</v>
      </c>
      <c r="C1723" s="133"/>
      <c r="D1723" s="50">
        <f t="shared" si="26"/>
        <v>8.2548417821992626E-3</v>
      </c>
      <c r="E1723" s="49"/>
    </row>
    <row r="1724" spans="1:5" ht="14.4">
      <c r="A1724" s="136">
        <v>42038</v>
      </c>
      <c r="B1724" s="137">
        <v>47.244999999999997</v>
      </c>
      <c r="C1724" s="133"/>
      <c r="D1724" s="50">
        <f t="shared" si="26"/>
        <v>8.0008534243651841E-3</v>
      </c>
      <c r="E1724" s="49"/>
    </row>
    <row r="1725" spans="1:5" ht="14.4">
      <c r="A1725" s="136">
        <v>42037</v>
      </c>
      <c r="B1725" s="137">
        <v>46.87</v>
      </c>
      <c r="C1725" s="133"/>
      <c r="D1725" s="50">
        <f t="shared" si="26"/>
        <v>-6.9915254237289393E-3</v>
      </c>
      <c r="E1725" s="49"/>
    </row>
    <row r="1726" spans="1:5" ht="14.4">
      <c r="A1726" s="136">
        <v>42034</v>
      </c>
      <c r="B1726" s="137">
        <v>47.2</v>
      </c>
      <c r="C1726" s="133"/>
      <c r="D1726" s="50">
        <f t="shared" si="26"/>
        <v>-2.2268254790264064E-2</v>
      </c>
      <c r="E1726" s="49"/>
    </row>
    <row r="1727" spans="1:5" ht="14.4">
      <c r="A1727" s="136">
        <v>42033</v>
      </c>
      <c r="B1727" s="137">
        <v>48.274999999999999</v>
      </c>
      <c r="C1727" s="133"/>
      <c r="D1727" s="50">
        <f t="shared" si="26"/>
        <v>-1.3890307425186377E-2</v>
      </c>
      <c r="E1727" s="49"/>
    </row>
    <row r="1728" spans="1:5" ht="14.4">
      <c r="A1728" s="136">
        <v>42032</v>
      </c>
      <c r="B1728" s="137">
        <v>48.954999999999998</v>
      </c>
      <c r="C1728" s="133"/>
      <c r="D1728" s="50">
        <f t="shared" si="26"/>
        <v>-2.343590788669303E-3</v>
      </c>
      <c r="E1728" s="49"/>
    </row>
    <row r="1729" spans="1:7" ht="14.4">
      <c r="A1729" s="136">
        <v>42031</v>
      </c>
      <c r="B1729" s="137">
        <v>49.07</v>
      </c>
      <c r="C1729" s="133"/>
      <c r="D1729" s="50">
        <f t="shared" si="26"/>
        <v>-2.1340247307538918E-2</v>
      </c>
      <c r="E1729" s="49"/>
    </row>
    <row r="1730" spans="1:7" ht="14.4">
      <c r="A1730" s="136">
        <v>42030</v>
      </c>
      <c r="B1730" s="137">
        <v>50.14</v>
      </c>
      <c r="C1730" s="133"/>
      <c r="D1730" s="50">
        <f t="shared" si="26"/>
        <v>1.745129870129869E-2</v>
      </c>
      <c r="E1730" s="49"/>
    </row>
    <row r="1731" spans="1:7" ht="14.4">
      <c r="A1731" s="136">
        <v>42027</v>
      </c>
      <c r="B1731" s="137">
        <v>49.28</v>
      </c>
      <c r="C1731" s="133"/>
      <c r="D1731" s="50">
        <f t="shared" si="26"/>
        <v>4.120008451299384E-2</v>
      </c>
      <c r="E1731" s="49"/>
    </row>
    <row r="1732" spans="1:7" ht="14.4">
      <c r="A1732" s="136">
        <v>42026</v>
      </c>
      <c r="B1732" s="137">
        <v>47.33</v>
      </c>
      <c r="C1732" s="133"/>
      <c r="D1732" s="50">
        <f t="shared" si="26"/>
        <v>1.0892780862879148E-2</v>
      </c>
      <c r="E1732" s="49"/>
    </row>
    <row r="1733" spans="1:7" ht="14.4">
      <c r="A1733" s="136">
        <v>42025</v>
      </c>
      <c r="B1733" s="137">
        <v>46.82</v>
      </c>
      <c r="C1733" s="133"/>
      <c r="D1733" s="50">
        <f t="shared" si="26"/>
        <v>-5.5225148683092362E-3</v>
      </c>
      <c r="E1733" s="49"/>
    </row>
    <row r="1734" spans="1:7" ht="14.4">
      <c r="A1734" s="136">
        <v>42024</v>
      </c>
      <c r="B1734" s="137">
        <v>47.08</v>
      </c>
      <c r="C1734" s="133"/>
      <c r="D1734" s="50">
        <f t="shared" si="26"/>
        <v>9.2175777063236985E-3</v>
      </c>
      <c r="E1734" s="42"/>
      <c r="F1734" s="42"/>
      <c r="G1734" s="42"/>
    </row>
    <row r="1735" spans="1:7" ht="14.4">
      <c r="A1735" s="136">
        <v>42023</v>
      </c>
      <c r="B1735" s="137">
        <v>46.65</v>
      </c>
      <c r="C1735" s="133"/>
      <c r="D1735" s="50">
        <f t="shared" si="26"/>
        <v>5.4962819269317453E-3</v>
      </c>
      <c r="E1735" s="42"/>
      <c r="F1735" s="42"/>
      <c r="G1735" s="42"/>
    </row>
    <row r="1736" spans="1:7" ht="14.4">
      <c r="A1736" s="136">
        <v>42020</v>
      </c>
      <c r="B1736" s="137">
        <v>46.395000000000003</v>
      </c>
      <c r="C1736" s="133"/>
      <c r="D1736" s="50">
        <f t="shared" ref="D1736:D1799" si="27">(B1736-C1736)/B1737-1</f>
        <v>2.7015344715799472E-3</v>
      </c>
      <c r="E1736" s="42"/>
      <c r="F1736" s="42"/>
      <c r="G1736" s="42"/>
    </row>
    <row r="1737" spans="1:7" ht="14.4">
      <c r="A1737" s="136">
        <v>42019</v>
      </c>
      <c r="B1737" s="137">
        <v>46.27</v>
      </c>
      <c r="C1737" s="133"/>
      <c r="D1737" s="50">
        <f t="shared" si="27"/>
        <v>2.5033229951262781E-2</v>
      </c>
      <c r="E1737" s="42"/>
      <c r="F1737" s="42"/>
      <c r="G1737" s="42"/>
    </row>
    <row r="1738" spans="1:7" ht="14.4">
      <c r="A1738" s="136">
        <v>42018</v>
      </c>
      <c r="B1738" s="137">
        <v>45.14</v>
      </c>
      <c r="C1738" s="133"/>
      <c r="D1738" s="50">
        <f t="shared" si="27"/>
        <v>-9.3273345769778748E-3</v>
      </c>
      <c r="E1738" s="42"/>
      <c r="F1738" s="42"/>
      <c r="G1738" s="42"/>
    </row>
    <row r="1739" spans="1:7" ht="14.4">
      <c r="A1739" s="136">
        <v>42017</v>
      </c>
      <c r="B1739" s="137">
        <v>45.564999999999998</v>
      </c>
      <c r="C1739" s="133"/>
      <c r="D1739" s="50">
        <f t="shared" si="27"/>
        <v>1.3681868743047776E-2</v>
      </c>
      <c r="E1739" s="42"/>
      <c r="F1739" s="42"/>
      <c r="G1739" s="42"/>
    </row>
    <row r="1740" spans="1:7" ht="14.4">
      <c r="A1740" s="136">
        <v>42016</v>
      </c>
      <c r="B1740" s="137">
        <v>44.95</v>
      </c>
      <c r="C1740" s="133"/>
      <c r="D1740" s="50">
        <f t="shared" si="27"/>
        <v>8.9786756453424932E-3</v>
      </c>
      <c r="E1740" s="42"/>
      <c r="F1740" s="42"/>
      <c r="G1740" s="42"/>
    </row>
    <row r="1741" spans="1:7" ht="14.4">
      <c r="A1741" s="136">
        <v>42013</v>
      </c>
      <c r="B1741" s="137">
        <v>44.55</v>
      </c>
      <c r="C1741" s="133"/>
      <c r="D1741" s="50">
        <f t="shared" si="27"/>
        <v>-1.4707508570164896E-2</v>
      </c>
      <c r="E1741" s="42"/>
      <c r="F1741" s="42"/>
      <c r="G1741" s="42"/>
    </row>
    <row r="1742" spans="1:7" ht="14.4">
      <c r="A1742" s="136">
        <v>42012</v>
      </c>
      <c r="B1742" s="137">
        <v>45.215000000000003</v>
      </c>
      <c r="C1742" s="133"/>
      <c r="D1742" s="50">
        <f t="shared" si="27"/>
        <v>3.4076615208690653E-2</v>
      </c>
      <c r="E1742" s="42"/>
      <c r="F1742" s="42"/>
      <c r="G1742" s="42"/>
    </row>
    <row r="1743" spans="1:7" ht="14.4">
      <c r="A1743" s="136">
        <v>42011</v>
      </c>
      <c r="B1743" s="137">
        <v>43.725000000000001</v>
      </c>
      <c r="C1743" s="133"/>
      <c r="D1743" s="50">
        <f t="shared" si="27"/>
        <v>2.6047166490672291E-2</v>
      </c>
      <c r="E1743" s="42"/>
      <c r="F1743" s="42"/>
      <c r="G1743" s="42"/>
    </row>
    <row r="1744" spans="1:7" ht="14.4">
      <c r="A1744" s="136">
        <v>42010</v>
      </c>
      <c r="B1744" s="137">
        <v>42.615000000000002</v>
      </c>
      <c r="C1744" s="133"/>
      <c r="D1744" s="50">
        <f t="shared" si="27"/>
        <v>2.3169267707082941E-2</v>
      </c>
      <c r="E1744" s="42"/>
      <c r="F1744" s="42"/>
      <c r="G1744" s="42"/>
    </row>
    <row r="1745" spans="1:7" ht="14.4">
      <c r="A1745" s="136">
        <v>42009</v>
      </c>
      <c r="B1745" s="137">
        <v>41.65</v>
      </c>
      <c r="C1745" s="133"/>
      <c r="D1745" s="50">
        <f t="shared" si="27"/>
        <v>3.0102347983143041E-3</v>
      </c>
      <c r="E1745" s="42"/>
      <c r="F1745" s="42"/>
      <c r="G1745" s="42"/>
    </row>
    <row r="1746" spans="1:7" ht="14.4">
      <c r="A1746" s="136">
        <v>42006</v>
      </c>
      <c r="B1746" s="137">
        <v>41.524999999999999</v>
      </c>
      <c r="C1746" s="133"/>
      <c r="D1746" s="50">
        <f t="shared" si="27"/>
        <v>4.232164449818443E-3</v>
      </c>
      <c r="E1746" s="42"/>
      <c r="F1746" s="42"/>
      <c r="G1746" s="42"/>
    </row>
    <row r="1747" spans="1:7" ht="14.4">
      <c r="A1747" s="138">
        <v>42004</v>
      </c>
      <c r="B1747" s="139">
        <v>41.35</v>
      </c>
      <c r="C1747" s="134">
        <v>1.2</v>
      </c>
      <c r="D1747" s="50">
        <f t="shared" si="27"/>
        <v>-1.9296531509526149E-2</v>
      </c>
      <c r="E1747" s="46"/>
      <c r="F1747" s="46"/>
      <c r="G1747" s="45" t="e">
        <v>#REF!</v>
      </c>
    </row>
    <row r="1748" spans="1:7" ht="14.4">
      <c r="A1748" s="136">
        <v>42003</v>
      </c>
      <c r="B1748" s="137">
        <v>40.94</v>
      </c>
      <c r="C1748" s="133"/>
      <c r="D1748" s="50">
        <f t="shared" si="27"/>
        <v>-1.4087898856110836E-2</v>
      </c>
      <c r="E1748" s="42"/>
      <c r="F1748" s="42"/>
      <c r="G1748" s="42"/>
    </row>
    <row r="1749" spans="1:7" ht="14.4">
      <c r="A1749" s="136">
        <v>42002</v>
      </c>
      <c r="B1749" s="137">
        <v>41.524999999999999</v>
      </c>
      <c r="C1749" s="133"/>
      <c r="D1749" s="50">
        <f t="shared" si="27"/>
        <v>-1.2039489525650371E-4</v>
      </c>
      <c r="E1749" s="42"/>
      <c r="F1749" s="42"/>
      <c r="G1749" s="42"/>
    </row>
    <row r="1750" spans="1:7" ht="14.4">
      <c r="A1750" s="136">
        <v>41997</v>
      </c>
      <c r="B1750" s="137">
        <v>41.53</v>
      </c>
      <c r="C1750" s="133"/>
      <c r="D1750" s="50">
        <f t="shared" si="27"/>
        <v>-5.0311451844753385E-3</v>
      </c>
      <c r="E1750" s="49"/>
    </row>
    <row r="1751" spans="1:7" ht="14.4">
      <c r="A1751" s="136">
        <v>41996</v>
      </c>
      <c r="B1751" s="137">
        <v>41.74</v>
      </c>
      <c r="C1751" s="133"/>
      <c r="D1751" s="50">
        <f t="shared" si="27"/>
        <v>6.5107306486618111E-3</v>
      </c>
      <c r="E1751" s="49"/>
    </row>
    <row r="1752" spans="1:7" ht="14.4">
      <c r="A1752" s="136">
        <v>41995</v>
      </c>
      <c r="B1752" s="137">
        <v>41.47</v>
      </c>
      <c r="C1752" s="133"/>
      <c r="D1752" s="50">
        <f t="shared" si="27"/>
        <v>-5.2770448548812299E-3</v>
      </c>
      <c r="E1752" s="49"/>
    </row>
    <row r="1753" spans="1:7" ht="14.4">
      <c r="A1753" s="136">
        <v>41992</v>
      </c>
      <c r="B1753" s="137">
        <v>41.69</v>
      </c>
      <c r="C1753" s="133"/>
      <c r="D1753" s="50">
        <f t="shared" si="27"/>
        <v>-3.8231780167264917E-3</v>
      </c>
      <c r="E1753" s="49"/>
    </row>
    <row r="1754" spans="1:7" ht="14.4">
      <c r="A1754" s="136">
        <v>41991</v>
      </c>
      <c r="B1754" s="137">
        <v>41.85</v>
      </c>
      <c r="C1754" s="133"/>
      <c r="D1754" s="50">
        <f t="shared" si="27"/>
        <v>2.19780219780219E-2</v>
      </c>
      <c r="E1754" s="49"/>
    </row>
    <row r="1755" spans="1:7" ht="14.4">
      <c r="A1755" s="136">
        <v>41990</v>
      </c>
      <c r="B1755" s="137">
        <v>40.950000000000003</v>
      </c>
      <c r="C1755" s="133"/>
      <c r="D1755" s="50">
        <f t="shared" si="27"/>
        <v>-3.6616623947272053E-4</v>
      </c>
      <c r="E1755" s="49"/>
    </row>
    <row r="1756" spans="1:7" ht="14.4">
      <c r="A1756" s="136">
        <v>41989</v>
      </c>
      <c r="B1756" s="137">
        <v>40.965000000000003</v>
      </c>
      <c r="C1756" s="133"/>
      <c r="D1756" s="50">
        <f t="shared" si="27"/>
        <v>1.0358860525342184E-2</v>
      </c>
      <c r="E1756" s="49"/>
    </row>
    <row r="1757" spans="1:7" ht="14.4">
      <c r="A1757" s="136">
        <v>41988</v>
      </c>
      <c r="B1757" s="137">
        <v>40.545000000000002</v>
      </c>
      <c r="C1757" s="133"/>
      <c r="D1757" s="50">
        <f t="shared" si="27"/>
        <v>-4.0530582166543594E-3</v>
      </c>
      <c r="E1757" s="49"/>
    </row>
    <row r="1758" spans="1:7" ht="14.4">
      <c r="A1758" s="136">
        <v>41985</v>
      </c>
      <c r="B1758" s="137">
        <v>40.71</v>
      </c>
      <c r="C1758" s="133"/>
      <c r="D1758" s="50">
        <f t="shared" si="27"/>
        <v>-1.4762826718296207E-2</v>
      </c>
      <c r="E1758" s="49"/>
    </row>
    <row r="1759" spans="1:7" ht="14.4">
      <c r="A1759" s="136">
        <v>41984</v>
      </c>
      <c r="B1759" s="137">
        <v>41.32</v>
      </c>
      <c r="C1759" s="133"/>
      <c r="D1759" s="50">
        <f t="shared" si="27"/>
        <v>-4.2964678633468423E-2</v>
      </c>
      <c r="E1759" s="49"/>
    </row>
    <row r="1760" spans="1:7" ht="14.4">
      <c r="A1760" s="136">
        <v>41983</v>
      </c>
      <c r="B1760" s="137">
        <v>43.174999999999997</v>
      </c>
      <c r="C1760" s="133"/>
      <c r="D1760" s="50">
        <f t="shared" si="27"/>
        <v>-0.10416018259155524</v>
      </c>
      <c r="E1760" s="49"/>
    </row>
    <row r="1761" spans="1:5" ht="14.4">
      <c r="A1761" s="136">
        <v>41982</v>
      </c>
      <c r="B1761" s="137">
        <v>48.195</v>
      </c>
      <c r="C1761" s="133"/>
      <c r="D1761" s="50">
        <f t="shared" si="27"/>
        <v>-2.0128087831655983E-2</v>
      </c>
      <c r="E1761" s="49"/>
    </row>
    <row r="1762" spans="1:5" ht="14.4">
      <c r="A1762" s="136">
        <v>41981</v>
      </c>
      <c r="B1762" s="137">
        <v>49.185000000000002</v>
      </c>
      <c r="C1762" s="133"/>
      <c r="D1762" s="50">
        <f t="shared" si="27"/>
        <v>-1.294400963275133E-2</v>
      </c>
      <c r="E1762" s="49"/>
    </row>
    <row r="1763" spans="1:5" ht="14.4">
      <c r="A1763" s="136">
        <v>41978</v>
      </c>
      <c r="B1763" s="137">
        <v>49.83</v>
      </c>
      <c r="C1763" s="133"/>
      <c r="D1763" s="50">
        <f t="shared" si="27"/>
        <v>3.446128295619677E-2</v>
      </c>
      <c r="E1763" s="49"/>
    </row>
    <row r="1764" spans="1:5" ht="14.4">
      <c r="A1764" s="136">
        <v>41977</v>
      </c>
      <c r="B1764" s="137">
        <v>48.17</v>
      </c>
      <c r="C1764" s="133"/>
      <c r="D1764" s="50">
        <f t="shared" si="27"/>
        <v>-5.2658750645326879E-3</v>
      </c>
      <c r="E1764" s="49"/>
    </row>
    <row r="1765" spans="1:5" ht="14.4">
      <c r="A1765" s="136">
        <v>41976</v>
      </c>
      <c r="B1765" s="137">
        <v>48.424999999999997</v>
      </c>
      <c r="C1765" s="133"/>
      <c r="D1765" s="50">
        <f t="shared" si="27"/>
        <v>-5.0339017875489223E-3</v>
      </c>
      <c r="E1765" s="49"/>
    </row>
    <row r="1766" spans="1:5" ht="14.4">
      <c r="A1766" s="136">
        <v>41975</v>
      </c>
      <c r="B1766" s="137">
        <v>48.67</v>
      </c>
      <c r="C1766" s="133"/>
      <c r="D1766" s="50">
        <f t="shared" si="27"/>
        <v>-1.5386193455738661E-3</v>
      </c>
      <c r="E1766" s="49"/>
    </row>
    <row r="1767" spans="1:5" ht="14.4">
      <c r="A1767" s="136">
        <v>41974</v>
      </c>
      <c r="B1767" s="137">
        <v>48.744999999999997</v>
      </c>
      <c r="C1767" s="133"/>
      <c r="D1767" s="50">
        <f t="shared" si="27"/>
        <v>-5.102561485865853E-3</v>
      </c>
      <c r="E1767" s="49"/>
    </row>
    <row r="1768" spans="1:5" ht="14.4">
      <c r="A1768" s="136">
        <v>41971</v>
      </c>
      <c r="B1768" s="137">
        <v>48.994999999999997</v>
      </c>
      <c r="C1768" s="133"/>
      <c r="D1768" s="50">
        <f t="shared" si="27"/>
        <v>-1.5967061658967663E-2</v>
      </c>
      <c r="E1768" s="49"/>
    </row>
    <row r="1769" spans="1:5" ht="14.4">
      <c r="A1769" s="136">
        <v>41970</v>
      </c>
      <c r="B1769" s="137">
        <v>49.79</v>
      </c>
      <c r="C1769" s="133"/>
      <c r="D1769" s="50">
        <f t="shared" si="27"/>
        <v>8.2008707097296352E-3</v>
      </c>
      <c r="E1769" s="49"/>
    </row>
    <row r="1770" spans="1:5" ht="14.4">
      <c r="A1770" s="136">
        <v>41969</v>
      </c>
      <c r="B1770" s="137">
        <v>49.384999999999998</v>
      </c>
      <c r="C1770" s="133"/>
      <c r="D1770" s="50">
        <f t="shared" si="27"/>
        <v>-3.8325769036814394E-3</v>
      </c>
      <c r="E1770" s="49"/>
    </row>
    <row r="1771" spans="1:5" ht="14.4">
      <c r="A1771" s="136">
        <v>41968</v>
      </c>
      <c r="B1771" s="137">
        <v>49.575000000000003</v>
      </c>
      <c r="C1771" s="133"/>
      <c r="D1771" s="50">
        <f t="shared" si="27"/>
        <v>1.1631466176920791E-2</v>
      </c>
      <c r="E1771" s="49"/>
    </row>
    <row r="1772" spans="1:5" ht="14.4">
      <c r="A1772" s="136">
        <v>41967</v>
      </c>
      <c r="B1772" s="137">
        <v>49.005000000000003</v>
      </c>
      <c r="C1772" s="133"/>
      <c r="D1772" s="50">
        <f t="shared" si="27"/>
        <v>1.5121698601760825E-2</v>
      </c>
      <c r="E1772" s="49"/>
    </row>
    <row r="1773" spans="1:5" ht="14.4">
      <c r="A1773" s="136">
        <v>41964</v>
      </c>
      <c r="B1773" s="137">
        <v>48.274999999999999</v>
      </c>
      <c r="C1773" s="133"/>
      <c r="D1773" s="50">
        <f t="shared" si="27"/>
        <v>3.0196329492104157E-2</v>
      </c>
      <c r="E1773" s="49"/>
    </row>
    <row r="1774" spans="1:5" ht="14.4">
      <c r="A1774" s="136">
        <v>41963</v>
      </c>
      <c r="B1774" s="137">
        <v>46.86</v>
      </c>
      <c r="C1774" s="133"/>
      <c r="D1774" s="50">
        <f t="shared" si="27"/>
        <v>-2.9787234042553123E-3</v>
      </c>
      <c r="E1774" s="49"/>
    </row>
    <row r="1775" spans="1:5" ht="14.4">
      <c r="A1775" s="136">
        <v>41962</v>
      </c>
      <c r="B1775" s="137">
        <v>47</v>
      </c>
      <c r="C1775" s="133"/>
      <c r="D1775" s="50">
        <f t="shared" si="27"/>
        <v>5.5626872058194277E-3</v>
      </c>
      <c r="E1775" s="49"/>
    </row>
    <row r="1776" spans="1:5" ht="14.4">
      <c r="A1776" s="136">
        <v>41961</v>
      </c>
      <c r="B1776" s="137">
        <v>46.74</v>
      </c>
      <c r="C1776" s="133"/>
      <c r="D1776" s="50">
        <f t="shared" si="27"/>
        <v>-2.51329648555636E-2</v>
      </c>
      <c r="E1776" s="49"/>
    </row>
    <row r="1777" spans="1:5" ht="14.4">
      <c r="A1777" s="136">
        <v>41960</v>
      </c>
      <c r="B1777" s="137">
        <v>47.945</v>
      </c>
      <c r="C1777" s="133"/>
      <c r="D1777" s="50">
        <f t="shared" si="27"/>
        <v>-1.052522959446911E-2</v>
      </c>
      <c r="E1777" s="49"/>
    </row>
    <row r="1778" spans="1:5" ht="14.4">
      <c r="A1778" s="136">
        <v>41957</v>
      </c>
      <c r="B1778" s="137">
        <v>48.454999999999998</v>
      </c>
      <c r="C1778" s="133"/>
      <c r="D1778" s="50">
        <f t="shared" si="27"/>
        <v>1.5828092243186376E-2</v>
      </c>
      <c r="E1778" s="49"/>
    </row>
    <row r="1779" spans="1:5" ht="14.4">
      <c r="A1779" s="136">
        <v>41956</v>
      </c>
      <c r="B1779" s="137">
        <v>47.7</v>
      </c>
      <c r="C1779" s="133"/>
      <c r="D1779" s="50">
        <f t="shared" si="27"/>
        <v>-7.2840790842870762E-3</v>
      </c>
      <c r="E1779" s="49"/>
    </row>
    <row r="1780" spans="1:5" ht="14.4">
      <c r="A1780" s="136">
        <v>41955</v>
      </c>
      <c r="B1780" s="137">
        <v>48.05</v>
      </c>
      <c r="C1780" s="133"/>
      <c r="D1780" s="50">
        <f t="shared" si="27"/>
        <v>-1.2332990750256956E-2</v>
      </c>
      <c r="E1780" s="49"/>
    </row>
    <row r="1781" spans="1:5" ht="14.4">
      <c r="A1781" s="136">
        <v>41954</v>
      </c>
      <c r="B1781" s="137">
        <v>48.65</v>
      </c>
      <c r="C1781" s="133"/>
      <c r="D1781" s="50">
        <f t="shared" si="27"/>
        <v>5.6847545219638196E-3</v>
      </c>
      <c r="E1781" s="49"/>
    </row>
    <row r="1782" spans="1:5" ht="14.4">
      <c r="A1782" s="136">
        <v>41953</v>
      </c>
      <c r="B1782" s="137">
        <v>48.375</v>
      </c>
      <c r="C1782" s="133"/>
      <c r="D1782" s="50">
        <f t="shared" si="27"/>
        <v>2.7985074626866169E-3</v>
      </c>
      <c r="E1782" s="49"/>
    </row>
    <row r="1783" spans="1:5" ht="14.4">
      <c r="A1783" s="136">
        <v>41950</v>
      </c>
      <c r="B1783" s="137">
        <v>48.24</v>
      </c>
      <c r="C1783" s="133"/>
      <c r="D1783" s="50">
        <f t="shared" si="27"/>
        <v>-3.4087387666563718E-3</v>
      </c>
      <c r="E1783" s="49"/>
    </row>
    <row r="1784" spans="1:5" ht="14.4">
      <c r="A1784" s="136">
        <v>41949</v>
      </c>
      <c r="B1784" s="137">
        <v>48.405000000000001</v>
      </c>
      <c r="C1784" s="133"/>
      <c r="D1784" s="50">
        <f t="shared" si="27"/>
        <v>1.22333751568382E-2</v>
      </c>
      <c r="E1784" s="49"/>
    </row>
    <row r="1785" spans="1:5" ht="14.4">
      <c r="A1785" s="136">
        <v>41948</v>
      </c>
      <c r="B1785" s="137">
        <v>47.82</v>
      </c>
      <c r="C1785" s="133"/>
      <c r="D1785" s="50">
        <f t="shared" si="27"/>
        <v>2.0051194539249195E-2</v>
      </c>
      <c r="E1785" s="49"/>
    </row>
    <row r="1786" spans="1:5" ht="14.4">
      <c r="A1786" s="136">
        <v>41947</v>
      </c>
      <c r="B1786" s="137">
        <v>46.88</v>
      </c>
      <c r="C1786" s="133"/>
      <c r="D1786" s="50">
        <f t="shared" si="27"/>
        <v>-1.4090431125131309E-2</v>
      </c>
      <c r="E1786" s="49"/>
    </row>
    <row r="1787" spans="1:5" ht="14.4">
      <c r="A1787" s="136">
        <v>41946</v>
      </c>
      <c r="B1787" s="137">
        <v>47.55</v>
      </c>
      <c r="C1787" s="133"/>
      <c r="D1787" s="50">
        <f t="shared" si="27"/>
        <v>-1.0504201680673342E-3</v>
      </c>
      <c r="E1787" s="49"/>
    </row>
    <row r="1788" spans="1:5" ht="14.4">
      <c r="A1788" s="136">
        <v>41943</v>
      </c>
      <c r="B1788" s="137">
        <v>47.6</v>
      </c>
      <c r="C1788" s="133"/>
      <c r="D1788" s="50">
        <f t="shared" si="27"/>
        <v>3.6924082343971154E-2</v>
      </c>
      <c r="E1788" s="49"/>
    </row>
    <row r="1789" spans="1:5" ht="14.4">
      <c r="A1789" s="136">
        <v>41942</v>
      </c>
      <c r="B1789" s="137">
        <v>45.905000000000001</v>
      </c>
      <c r="C1789" s="133"/>
      <c r="D1789" s="50">
        <f t="shared" si="27"/>
        <v>2.2925764192140985E-3</v>
      </c>
      <c r="E1789" s="49"/>
    </row>
    <row r="1790" spans="1:5" ht="14.4">
      <c r="A1790" s="136">
        <v>41941</v>
      </c>
      <c r="B1790" s="137">
        <v>45.8</v>
      </c>
      <c r="C1790" s="133"/>
      <c r="D1790" s="50">
        <f t="shared" si="27"/>
        <v>8.4773753165252597E-3</v>
      </c>
      <c r="E1790" s="49"/>
    </row>
    <row r="1791" spans="1:5" ht="14.4">
      <c r="A1791" s="136">
        <v>41940</v>
      </c>
      <c r="B1791" s="137">
        <v>45.414999999999999</v>
      </c>
      <c r="C1791" s="133"/>
      <c r="D1791" s="50">
        <f t="shared" si="27"/>
        <v>1.4633601429848042E-2</v>
      </c>
      <c r="E1791" s="49"/>
    </row>
    <row r="1792" spans="1:5" ht="14.4">
      <c r="A1792" s="136">
        <v>41939</v>
      </c>
      <c r="B1792" s="137">
        <v>44.76</v>
      </c>
      <c r="C1792" s="133"/>
      <c r="D1792" s="50">
        <f t="shared" si="27"/>
        <v>-1.1702362552439838E-2</v>
      </c>
      <c r="E1792" s="49"/>
    </row>
    <row r="1793" spans="1:5" ht="14.4">
      <c r="A1793" s="136">
        <v>41936</v>
      </c>
      <c r="B1793" s="137">
        <v>45.29</v>
      </c>
      <c r="C1793" s="133"/>
      <c r="D1793" s="50">
        <f t="shared" si="27"/>
        <v>-5.3804765564949841E-3</v>
      </c>
      <c r="E1793" s="49"/>
    </row>
    <row r="1794" spans="1:5" ht="14.4">
      <c r="A1794" s="136">
        <v>41935</v>
      </c>
      <c r="B1794" s="137">
        <v>45.534999999999997</v>
      </c>
      <c r="C1794" s="133"/>
      <c r="D1794" s="50">
        <f t="shared" si="27"/>
        <v>7.1886750718865855E-3</v>
      </c>
      <c r="E1794" s="49"/>
    </row>
    <row r="1795" spans="1:5" ht="14.4">
      <c r="A1795" s="136">
        <v>41934</v>
      </c>
      <c r="B1795" s="137">
        <v>45.21</v>
      </c>
      <c r="C1795" s="133"/>
      <c r="D1795" s="50">
        <f t="shared" si="27"/>
        <v>7.6897358742895605E-3</v>
      </c>
      <c r="E1795" s="49"/>
    </row>
    <row r="1796" spans="1:5" ht="14.4">
      <c r="A1796" s="136">
        <v>41933</v>
      </c>
      <c r="B1796" s="137">
        <v>44.865000000000002</v>
      </c>
      <c r="C1796" s="133"/>
      <c r="D1796" s="50">
        <f t="shared" si="27"/>
        <v>2.7364323334096552E-2</v>
      </c>
      <c r="E1796" s="49"/>
    </row>
    <row r="1797" spans="1:5" ht="14.4">
      <c r="A1797" s="136">
        <v>41932</v>
      </c>
      <c r="B1797" s="137">
        <v>43.67</v>
      </c>
      <c r="C1797" s="133"/>
      <c r="D1797" s="50">
        <f t="shared" si="27"/>
        <v>-6.5969062784348997E-3</v>
      </c>
      <c r="E1797" s="49"/>
    </row>
    <row r="1798" spans="1:5" ht="14.4">
      <c r="A1798" s="136">
        <v>41929</v>
      </c>
      <c r="B1798" s="137">
        <v>43.96</v>
      </c>
      <c r="C1798" s="133"/>
      <c r="D1798" s="50">
        <f t="shared" si="27"/>
        <v>2.8304093567251387E-2</v>
      </c>
      <c r="E1798" s="49"/>
    </row>
    <row r="1799" spans="1:5" ht="14.4">
      <c r="A1799" s="136">
        <v>41928</v>
      </c>
      <c r="B1799" s="137">
        <v>42.75</v>
      </c>
      <c r="C1799" s="133"/>
      <c r="D1799" s="50">
        <f t="shared" si="27"/>
        <v>-2.1739130434782705E-2</v>
      </c>
      <c r="E1799" s="49"/>
    </row>
    <row r="1800" spans="1:5" ht="14.4">
      <c r="A1800" s="136">
        <v>41927</v>
      </c>
      <c r="B1800" s="137">
        <v>43.7</v>
      </c>
      <c r="C1800" s="133"/>
      <c r="D1800" s="50">
        <f t="shared" ref="D1800:D1863" si="28">(B1800-C1800)/B1801-1</f>
        <v>-4.8033983226228094E-2</v>
      </c>
      <c r="E1800" s="49"/>
    </row>
    <row r="1801" spans="1:5" ht="14.4">
      <c r="A1801" s="136">
        <v>41926</v>
      </c>
      <c r="B1801" s="137">
        <v>45.905000000000001</v>
      </c>
      <c r="C1801" s="133"/>
      <c r="D1801" s="50">
        <f t="shared" si="28"/>
        <v>9.8999010009901411E-3</v>
      </c>
      <c r="E1801" s="49"/>
    </row>
    <row r="1802" spans="1:5" ht="14.4">
      <c r="A1802" s="136">
        <v>41925</v>
      </c>
      <c r="B1802" s="137">
        <v>45.454999999999998</v>
      </c>
      <c r="C1802" s="133"/>
      <c r="D1802" s="50">
        <f t="shared" si="28"/>
        <v>3.3010563380275748E-4</v>
      </c>
      <c r="E1802" s="49"/>
    </row>
    <row r="1803" spans="1:5" ht="14.4">
      <c r="A1803" s="136">
        <v>41922</v>
      </c>
      <c r="B1803" s="137">
        <v>45.44</v>
      </c>
      <c r="C1803" s="133"/>
      <c r="D1803" s="50">
        <f t="shared" si="28"/>
        <v>-4.6002190580504143E-3</v>
      </c>
      <c r="E1803" s="49"/>
    </row>
    <row r="1804" spans="1:5" ht="14.4">
      <c r="A1804" s="136">
        <v>41921</v>
      </c>
      <c r="B1804" s="137">
        <v>45.65</v>
      </c>
      <c r="C1804" s="133"/>
      <c r="D1804" s="50">
        <f t="shared" si="28"/>
        <v>-4.0563261874737244E-2</v>
      </c>
      <c r="E1804" s="49"/>
    </row>
    <row r="1805" spans="1:5" ht="14.4">
      <c r="A1805" s="136">
        <v>41920</v>
      </c>
      <c r="B1805" s="137">
        <v>47.58</v>
      </c>
      <c r="C1805" s="133"/>
      <c r="D1805" s="50">
        <f t="shared" si="28"/>
        <v>-2.1189055749845753E-2</v>
      </c>
      <c r="E1805" s="49"/>
    </row>
    <row r="1806" spans="1:5" ht="14.4">
      <c r="A1806" s="136">
        <v>41919</v>
      </c>
      <c r="B1806" s="137">
        <v>48.61</v>
      </c>
      <c r="C1806" s="133"/>
      <c r="D1806" s="50">
        <f t="shared" si="28"/>
        <v>-2.6339509263895833E-2</v>
      </c>
      <c r="E1806" s="49"/>
    </row>
    <row r="1807" spans="1:5" ht="14.4">
      <c r="A1807" s="136">
        <v>41918</v>
      </c>
      <c r="B1807" s="137">
        <v>49.924999999999997</v>
      </c>
      <c r="C1807" s="133"/>
      <c r="D1807" s="50">
        <f t="shared" si="28"/>
        <v>6.9584509883016121E-3</v>
      </c>
      <c r="E1807" s="49"/>
    </row>
    <row r="1808" spans="1:5" ht="14.4">
      <c r="A1808" s="136">
        <v>41915</v>
      </c>
      <c r="B1808" s="137">
        <v>49.58</v>
      </c>
      <c r="C1808" s="133"/>
      <c r="D1808" s="50">
        <f t="shared" si="28"/>
        <v>3.5721746396490506E-2</v>
      </c>
      <c r="E1808" s="49"/>
    </row>
    <row r="1809" spans="1:5" ht="14.4">
      <c r="A1809" s="136">
        <v>41914</v>
      </c>
      <c r="B1809" s="137">
        <v>47.87</v>
      </c>
      <c r="C1809" s="133"/>
      <c r="D1809" s="50">
        <f t="shared" si="28"/>
        <v>-2.48523120798535E-2</v>
      </c>
      <c r="E1809" s="49"/>
    </row>
    <row r="1810" spans="1:5" ht="14.4">
      <c r="A1810" s="136">
        <v>41913</v>
      </c>
      <c r="B1810" s="137">
        <v>49.09</v>
      </c>
      <c r="C1810" s="133"/>
      <c r="D1810" s="50">
        <f t="shared" si="28"/>
        <v>-1.4652749899638606E-2</v>
      </c>
      <c r="E1810" s="49"/>
    </row>
    <row r="1811" spans="1:5" ht="14.4">
      <c r="A1811" s="136">
        <v>41912</v>
      </c>
      <c r="B1811" s="137">
        <v>49.82</v>
      </c>
      <c r="C1811" s="133"/>
      <c r="D1811" s="50">
        <f t="shared" si="28"/>
        <v>2.6052929667387481E-2</v>
      </c>
      <c r="E1811" s="49"/>
    </row>
    <row r="1812" spans="1:5" ht="14.4">
      <c r="A1812" s="136">
        <v>41911</v>
      </c>
      <c r="B1812" s="137">
        <v>48.555</v>
      </c>
      <c r="C1812" s="133"/>
      <c r="D1812" s="50">
        <f t="shared" si="28"/>
        <v>-1.5910012160518905E-2</v>
      </c>
      <c r="E1812" s="49"/>
    </row>
    <row r="1813" spans="1:5" ht="14.4">
      <c r="A1813" s="136">
        <v>41908</v>
      </c>
      <c r="B1813" s="137">
        <v>49.34</v>
      </c>
      <c r="C1813" s="133"/>
      <c r="D1813" s="50">
        <f t="shared" si="28"/>
        <v>1.5644298065047524E-2</v>
      </c>
      <c r="E1813" s="49"/>
    </row>
    <row r="1814" spans="1:5" ht="14.4">
      <c r="A1814" s="136">
        <v>41907</v>
      </c>
      <c r="B1814" s="137">
        <v>48.58</v>
      </c>
      <c r="C1814" s="133"/>
      <c r="D1814" s="50">
        <f t="shared" si="28"/>
        <v>2.1876314682372611E-2</v>
      </c>
      <c r="E1814" s="49"/>
    </row>
    <row r="1815" spans="1:5" ht="14.4">
      <c r="A1815" s="136">
        <v>41906</v>
      </c>
      <c r="B1815" s="137">
        <v>47.54</v>
      </c>
      <c r="C1815" s="133"/>
      <c r="D1815" s="50">
        <f t="shared" si="28"/>
        <v>8.4210526315797729E-4</v>
      </c>
      <c r="E1815" s="49"/>
    </row>
    <row r="1816" spans="1:5" ht="14.4">
      <c r="A1816" s="136">
        <v>41905</v>
      </c>
      <c r="B1816" s="137">
        <v>47.5</v>
      </c>
      <c r="C1816" s="133"/>
      <c r="D1816" s="50">
        <f t="shared" si="28"/>
        <v>-3.3865554764568317E-2</v>
      </c>
      <c r="E1816" s="49"/>
    </row>
    <row r="1817" spans="1:5" ht="14.4">
      <c r="A1817" s="136">
        <v>41904</v>
      </c>
      <c r="B1817" s="137">
        <v>49.164999999999999</v>
      </c>
      <c r="C1817" s="133"/>
      <c r="D1817" s="50">
        <f t="shared" si="28"/>
        <v>-4.3539894694208936E-3</v>
      </c>
      <c r="E1817" s="49"/>
    </row>
    <row r="1818" spans="1:5" ht="14.4">
      <c r="A1818" s="136">
        <v>41901</v>
      </c>
      <c r="B1818" s="137">
        <v>49.38</v>
      </c>
      <c r="C1818" s="133"/>
      <c r="D1818" s="50">
        <f t="shared" si="28"/>
        <v>-3.4308779011098522E-3</v>
      </c>
      <c r="E1818" s="49"/>
    </row>
    <row r="1819" spans="1:5" ht="14.4">
      <c r="A1819" s="136">
        <v>41900</v>
      </c>
      <c r="B1819" s="137">
        <v>49.55</v>
      </c>
      <c r="C1819" s="133"/>
      <c r="D1819" s="50">
        <f t="shared" si="28"/>
        <v>1.5368852459016313E-2</v>
      </c>
      <c r="E1819" s="49"/>
    </row>
    <row r="1820" spans="1:5" ht="14.4">
      <c r="A1820" s="136">
        <v>41899</v>
      </c>
      <c r="B1820" s="137">
        <v>48.8</v>
      </c>
      <c r="C1820" s="133"/>
      <c r="D1820" s="50">
        <f t="shared" si="28"/>
        <v>-5.5023435907887164E-3</v>
      </c>
      <c r="E1820" s="49"/>
    </row>
    <row r="1821" spans="1:5" ht="14.4">
      <c r="A1821" s="136">
        <v>41898</v>
      </c>
      <c r="B1821" s="137">
        <v>49.07</v>
      </c>
      <c r="C1821" s="133"/>
      <c r="D1821" s="50">
        <f t="shared" si="28"/>
        <v>3.066230580539564E-3</v>
      </c>
      <c r="E1821" s="49"/>
    </row>
    <row r="1822" spans="1:5" ht="14.4">
      <c r="A1822" s="136">
        <v>41897</v>
      </c>
      <c r="B1822" s="137">
        <v>48.92</v>
      </c>
      <c r="C1822" s="133"/>
      <c r="D1822" s="50">
        <f t="shared" si="28"/>
        <v>8.6597938144330477E-3</v>
      </c>
      <c r="E1822" s="49"/>
    </row>
    <row r="1823" spans="1:5" ht="14.4">
      <c r="A1823" s="136">
        <v>41894</v>
      </c>
      <c r="B1823" s="137">
        <v>48.5</v>
      </c>
      <c r="C1823" s="133"/>
      <c r="D1823" s="50">
        <f t="shared" si="28"/>
        <v>6.1196971268540068E-3</v>
      </c>
      <c r="E1823" s="49"/>
    </row>
    <row r="1824" spans="1:5" ht="14.4">
      <c r="A1824" s="136">
        <v>41893</v>
      </c>
      <c r="B1824" s="137">
        <v>48.204999999999998</v>
      </c>
      <c r="C1824" s="133"/>
      <c r="D1824" s="50">
        <f t="shared" si="28"/>
        <v>-4.0289256198347001E-3</v>
      </c>
      <c r="E1824" s="49"/>
    </row>
    <row r="1825" spans="1:5" ht="14.4">
      <c r="A1825" s="136">
        <v>41892</v>
      </c>
      <c r="B1825" s="137">
        <v>48.4</v>
      </c>
      <c r="C1825" s="133"/>
      <c r="D1825" s="50">
        <f t="shared" si="28"/>
        <v>-3.9102696027990547E-3</v>
      </c>
      <c r="E1825" s="49"/>
    </row>
    <row r="1826" spans="1:5" ht="14.4">
      <c r="A1826" s="136">
        <v>41891</v>
      </c>
      <c r="B1826" s="137">
        <v>48.59</v>
      </c>
      <c r="C1826" s="133"/>
      <c r="D1826" s="50">
        <f t="shared" si="28"/>
        <v>-6.1362241767232151E-3</v>
      </c>
      <c r="E1826" s="49"/>
    </row>
    <row r="1827" spans="1:5" ht="14.4">
      <c r="A1827" s="136">
        <v>41890</v>
      </c>
      <c r="B1827" s="137">
        <v>48.89</v>
      </c>
      <c r="C1827" s="133"/>
      <c r="D1827" s="50">
        <f t="shared" si="28"/>
        <v>-6.0988005692212965E-3</v>
      </c>
      <c r="E1827" s="49"/>
    </row>
    <row r="1828" spans="1:5" ht="14.4">
      <c r="A1828" s="136">
        <v>41887</v>
      </c>
      <c r="B1828" s="137">
        <v>49.19</v>
      </c>
      <c r="C1828" s="133"/>
      <c r="D1828" s="50">
        <f t="shared" si="28"/>
        <v>6.4450127877238028E-3</v>
      </c>
      <c r="E1828" s="49"/>
    </row>
    <row r="1829" spans="1:5" ht="14.4">
      <c r="A1829" s="136">
        <v>41886</v>
      </c>
      <c r="B1829" s="137">
        <v>48.875</v>
      </c>
      <c r="C1829" s="133"/>
      <c r="D1829" s="50">
        <f t="shared" si="28"/>
        <v>3.2534065701911974E-2</v>
      </c>
      <c r="E1829" s="49"/>
    </row>
    <row r="1830" spans="1:5" ht="14.4">
      <c r="A1830" s="136">
        <v>41885</v>
      </c>
      <c r="B1830" s="137">
        <v>47.335000000000001</v>
      </c>
      <c r="C1830" s="133"/>
      <c r="D1830" s="50">
        <f t="shared" si="28"/>
        <v>7.1276595744680371E-3</v>
      </c>
      <c r="E1830" s="49"/>
    </row>
    <row r="1831" spans="1:5" ht="14.4">
      <c r="A1831" s="136">
        <v>41884</v>
      </c>
      <c r="B1831" s="137">
        <v>47</v>
      </c>
      <c r="C1831" s="133"/>
      <c r="D1831" s="50">
        <f t="shared" si="28"/>
        <v>4.2735042735042583E-3</v>
      </c>
      <c r="E1831" s="49"/>
    </row>
    <row r="1832" spans="1:5" ht="14.4">
      <c r="A1832" s="136">
        <v>41883</v>
      </c>
      <c r="B1832" s="137">
        <v>46.8</v>
      </c>
      <c r="C1832" s="133"/>
      <c r="D1832" s="50">
        <f t="shared" si="28"/>
        <v>-1.0682619378277192E-4</v>
      </c>
      <c r="E1832" s="49"/>
    </row>
    <row r="1833" spans="1:5" ht="14.4">
      <c r="A1833" s="136">
        <v>41880</v>
      </c>
      <c r="B1833" s="137">
        <v>46.805</v>
      </c>
      <c r="C1833" s="133"/>
      <c r="D1833" s="50">
        <f t="shared" si="28"/>
        <v>4.399141630901271E-3</v>
      </c>
      <c r="E1833" s="49"/>
    </row>
    <row r="1834" spans="1:5" ht="14.4">
      <c r="A1834" s="136">
        <v>41879</v>
      </c>
      <c r="B1834" s="137">
        <v>46.6</v>
      </c>
      <c r="C1834" s="133"/>
      <c r="D1834" s="50">
        <f t="shared" si="28"/>
        <v>-3.528279696354053E-3</v>
      </c>
      <c r="E1834" s="49"/>
    </row>
    <row r="1835" spans="1:5" ht="14.4">
      <c r="A1835" s="136">
        <v>41878</v>
      </c>
      <c r="B1835" s="137">
        <v>46.765000000000001</v>
      </c>
      <c r="C1835" s="133"/>
      <c r="D1835" s="50">
        <f t="shared" si="28"/>
        <v>4.7266086582875566E-3</v>
      </c>
      <c r="E1835" s="49"/>
    </row>
    <row r="1836" spans="1:5" ht="14.4">
      <c r="A1836" s="136">
        <v>41877</v>
      </c>
      <c r="B1836" s="137">
        <v>46.545000000000002</v>
      </c>
      <c r="C1836" s="133"/>
      <c r="D1836" s="50">
        <f t="shared" si="28"/>
        <v>1.3059092393078675E-2</v>
      </c>
      <c r="E1836" s="49"/>
    </row>
    <row r="1837" spans="1:5" ht="14.4">
      <c r="A1837" s="136">
        <v>41876</v>
      </c>
      <c r="B1837" s="137">
        <v>45.945</v>
      </c>
      <c r="C1837" s="133"/>
      <c r="D1837" s="50">
        <f t="shared" si="28"/>
        <v>2.7162977867203342E-2</v>
      </c>
      <c r="E1837" s="49"/>
    </row>
    <row r="1838" spans="1:5" ht="14.4">
      <c r="A1838" s="136">
        <v>41873</v>
      </c>
      <c r="B1838" s="137">
        <v>44.73</v>
      </c>
      <c r="C1838" s="133"/>
      <c r="D1838" s="50">
        <f t="shared" si="28"/>
        <v>1.0070493454177321E-3</v>
      </c>
      <c r="E1838" s="49"/>
    </row>
    <row r="1839" spans="1:5" ht="14.4">
      <c r="A1839" s="136">
        <v>41872</v>
      </c>
      <c r="B1839" s="137">
        <v>44.685000000000002</v>
      </c>
      <c r="C1839" s="133"/>
      <c r="D1839" s="50">
        <f t="shared" si="28"/>
        <v>4.1573033707864582E-3</v>
      </c>
      <c r="E1839" s="49"/>
    </row>
    <row r="1840" spans="1:5" ht="14.4">
      <c r="A1840" s="136">
        <v>41871</v>
      </c>
      <c r="B1840" s="137">
        <v>44.5</v>
      </c>
      <c r="C1840" s="133"/>
      <c r="D1840" s="50">
        <f t="shared" si="28"/>
        <v>-3.4710558728026086E-3</v>
      </c>
      <c r="E1840" s="49"/>
    </row>
    <row r="1841" spans="1:5" ht="14.4">
      <c r="A1841" s="136">
        <v>41870</v>
      </c>
      <c r="B1841" s="137">
        <v>44.655000000000001</v>
      </c>
      <c r="C1841" s="133"/>
      <c r="D1841" s="50">
        <f t="shared" si="28"/>
        <v>1.1896668932698917E-2</v>
      </c>
      <c r="E1841" s="49"/>
    </row>
    <row r="1842" spans="1:5" ht="14.4">
      <c r="A1842" s="136">
        <v>41869</v>
      </c>
      <c r="B1842" s="137">
        <v>44.13</v>
      </c>
      <c r="C1842" s="133"/>
      <c r="D1842" s="50">
        <f t="shared" si="28"/>
        <v>1.5182884748102143E-2</v>
      </c>
      <c r="E1842" s="49"/>
    </row>
    <row r="1843" spans="1:5" ht="14.4">
      <c r="A1843" s="136">
        <v>41866</v>
      </c>
      <c r="B1843" s="137">
        <v>43.47</v>
      </c>
      <c r="C1843" s="133"/>
      <c r="D1843" s="50">
        <f t="shared" si="28"/>
        <v>-3.0959752321980671E-3</v>
      </c>
      <c r="E1843" s="49"/>
    </row>
    <row r="1844" spans="1:5" ht="14.4">
      <c r="A1844" s="136">
        <v>41865</v>
      </c>
      <c r="B1844" s="137">
        <v>43.604999999999997</v>
      </c>
      <c r="C1844" s="133"/>
      <c r="D1844" s="50">
        <f t="shared" si="28"/>
        <v>1.1834319526627279E-2</v>
      </c>
      <c r="E1844" s="49"/>
    </row>
    <row r="1845" spans="1:5" ht="14.4">
      <c r="A1845" s="136">
        <v>41864</v>
      </c>
      <c r="B1845" s="137">
        <v>43.094999999999999</v>
      </c>
      <c r="C1845" s="133"/>
      <c r="D1845" s="50">
        <f t="shared" si="28"/>
        <v>9.2904424573214683E-4</v>
      </c>
      <c r="E1845" s="49"/>
    </row>
    <row r="1846" spans="1:5" ht="14.4">
      <c r="A1846" s="136">
        <v>41863</v>
      </c>
      <c r="B1846" s="137">
        <v>43.055</v>
      </c>
      <c r="C1846" s="133"/>
      <c r="D1846" s="50">
        <f t="shared" si="28"/>
        <v>-6.6905064021224314E-3</v>
      </c>
      <c r="E1846" s="49"/>
    </row>
    <row r="1847" spans="1:5" ht="14.4">
      <c r="A1847" s="136">
        <v>41862</v>
      </c>
      <c r="B1847" s="137">
        <v>43.344999999999999</v>
      </c>
      <c r="C1847" s="133"/>
      <c r="D1847" s="50">
        <f t="shared" si="28"/>
        <v>2.6767736586521318E-2</v>
      </c>
      <c r="E1847" s="49"/>
    </row>
    <row r="1848" spans="1:5" ht="14.4">
      <c r="A1848" s="136">
        <v>41859</v>
      </c>
      <c r="B1848" s="137">
        <v>42.215000000000003</v>
      </c>
      <c r="C1848" s="133"/>
      <c r="D1848" s="50">
        <f t="shared" si="28"/>
        <v>-8.1062030075187419E-3</v>
      </c>
      <c r="E1848" s="49"/>
    </row>
    <row r="1849" spans="1:5" ht="14.4">
      <c r="A1849" s="136">
        <v>41858</v>
      </c>
      <c r="B1849" s="137">
        <v>42.56</v>
      </c>
      <c r="C1849" s="133"/>
      <c r="D1849" s="50">
        <f t="shared" si="28"/>
        <v>-9.8871699430033155E-3</v>
      </c>
      <c r="E1849" s="49"/>
    </row>
    <row r="1850" spans="1:5" ht="14.4">
      <c r="A1850" s="136">
        <v>41857</v>
      </c>
      <c r="B1850" s="137">
        <v>42.984999999999999</v>
      </c>
      <c r="C1850" s="133"/>
      <c r="D1850" s="50">
        <f t="shared" si="28"/>
        <v>1.2603062426383982E-2</v>
      </c>
      <c r="E1850" s="49"/>
    </row>
    <row r="1851" spans="1:5" ht="14.4">
      <c r="A1851" s="136">
        <v>41856</v>
      </c>
      <c r="B1851" s="137">
        <v>42.45</v>
      </c>
      <c r="C1851" s="133"/>
      <c r="D1851" s="50">
        <f t="shared" si="28"/>
        <v>-3.2871566095327154E-3</v>
      </c>
      <c r="E1851" s="49"/>
    </row>
    <row r="1852" spans="1:5" ht="14.4">
      <c r="A1852" s="136">
        <v>41855</v>
      </c>
      <c r="B1852" s="137">
        <v>42.59</v>
      </c>
      <c r="C1852" s="133"/>
      <c r="D1852" s="50">
        <f t="shared" si="28"/>
        <v>-1.9917984768598185E-3</v>
      </c>
      <c r="E1852" s="49"/>
    </row>
    <row r="1853" spans="1:5" ht="14.4">
      <c r="A1853" s="136">
        <v>41852</v>
      </c>
      <c r="B1853" s="137">
        <v>42.674999999999997</v>
      </c>
      <c r="C1853" s="133"/>
      <c r="D1853" s="50">
        <f t="shared" si="28"/>
        <v>-1.5797970479704881E-2</v>
      </c>
      <c r="E1853" s="49"/>
    </row>
    <row r="1854" spans="1:5" ht="14.4">
      <c r="A1854" s="136">
        <v>41851</v>
      </c>
      <c r="B1854" s="137">
        <v>43.36</v>
      </c>
      <c r="C1854" s="133"/>
      <c r="D1854" s="50">
        <f t="shared" si="28"/>
        <v>-3.6444444444444501E-2</v>
      </c>
      <c r="E1854" s="49"/>
    </row>
    <row r="1855" spans="1:5" ht="14.4">
      <c r="A1855" s="136">
        <v>41850</v>
      </c>
      <c r="B1855" s="137">
        <v>45</v>
      </c>
      <c r="C1855" s="133"/>
      <c r="D1855" s="50">
        <f t="shared" si="28"/>
        <v>3.0101865628934465E-2</v>
      </c>
      <c r="E1855" s="49"/>
    </row>
    <row r="1856" spans="1:5" ht="14.4">
      <c r="A1856" s="136">
        <v>41849</v>
      </c>
      <c r="B1856" s="137">
        <v>43.685000000000002</v>
      </c>
      <c r="C1856" s="133"/>
      <c r="D1856" s="50">
        <f t="shared" si="28"/>
        <v>-7.6101771921853745E-3</v>
      </c>
      <c r="E1856" s="49"/>
    </row>
    <row r="1857" spans="1:5" ht="14.4">
      <c r="A1857" s="136">
        <v>41848</v>
      </c>
      <c r="B1857" s="137">
        <v>44.02</v>
      </c>
      <c r="C1857" s="133"/>
      <c r="D1857" s="50">
        <f t="shared" si="28"/>
        <v>-1.0786516853932504E-2</v>
      </c>
      <c r="E1857" s="49"/>
    </row>
    <row r="1858" spans="1:5" ht="14.4">
      <c r="A1858" s="136">
        <v>41845</v>
      </c>
      <c r="B1858" s="137">
        <v>44.5</v>
      </c>
      <c r="C1858" s="133"/>
      <c r="D1858" s="50">
        <f t="shared" si="28"/>
        <v>-1.895943562610225E-2</v>
      </c>
      <c r="E1858" s="49"/>
    </row>
    <row r="1859" spans="1:5" ht="14.4">
      <c r="A1859" s="136">
        <v>41844</v>
      </c>
      <c r="B1859" s="137">
        <v>45.36</v>
      </c>
      <c r="C1859" s="133"/>
      <c r="D1859" s="50">
        <f t="shared" si="28"/>
        <v>9.6828046744574792E-3</v>
      </c>
      <c r="E1859" s="49"/>
    </row>
    <row r="1860" spans="1:5" ht="14.4">
      <c r="A1860" s="136">
        <v>41843</v>
      </c>
      <c r="B1860" s="137">
        <v>44.924999999999997</v>
      </c>
      <c r="C1860" s="133"/>
      <c r="D1860" s="50">
        <f t="shared" si="28"/>
        <v>1.1710392973764083E-2</v>
      </c>
      <c r="E1860" s="49"/>
    </row>
    <row r="1861" spans="1:5" ht="14.4">
      <c r="A1861" s="136">
        <v>41842</v>
      </c>
      <c r="B1861" s="137">
        <v>44.405000000000001</v>
      </c>
      <c r="C1861" s="133"/>
      <c r="D1861" s="50">
        <f t="shared" si="28"/>
        <v>2.5756525756525761E-2</v>
      </c>
      <c r="E1861" s="49"/>
    </row>
    <row r="1862" spans="1:5" ht="14.4">
      <c r="A1862" s="136">
        <v>41841</v>
      </c>
      <c r="B1862" s="137">
        <v>43.29</v>
      </c>
      <c r="C1862" s="133"/>
      <c r="D1862" s="50">
        <f t="shared" si="28"/>
        <v>-2.6753597122302075E-2</v>
      </c>
      <c r="E1862" s="49"/>
    </row>
    <row r="1863" spans="1:5" ht="14.4">
      <c r="A1863" s="136">
        <v>41838</v>
      </c>
      <c r="B1863" s="137">
        <v>44.48</v>
      </c>
      <c r="C1863" s="133"/>
      <c r="D1863" s="50">
        <f t="shared" si="28"/>
        <v>-1.111605157847928E-2</v>
      </c>
      <c r="E1863" s="49"/>
    </row>
    <row r="1864" spans="1:5" ht="14.4">
      <c r="A1864" s="136">
        <v>41837</v>
      </c>
      <c r="B1864" s="137">
        <v>44.98</v>
      </c>
      <c r="C1864" s="133"/>
      <c r="D1864" s="50">
        <f t="shared" ref="D1864:D1927" si="29">(B1864-C1864)/B1865-1</f>
        <v>-8.3774250440917797E-3</v>
      </c>
      <c r="E1864" s="49"/>
    </row>
    <row r="1865" spans="1:5" ht="14.4">
      <c r="A1865" s="136">
        <v>41836</v>
      </c>
      <c r="B1865" s="137">
        <v>45.36</v>
      </c>
      <c r="C1865" s="133"/>
      <c r="D1865" s="50">
        <f t="shared" si="29"/>
        <v>-2.4621008493710406E-2</v>
      </c>
      <c r="E1865" s="49"/>
    </row>
    <row r="1866" spans="1:5" ht="14.4">
      <c r="A1866" s="136">
        <v>41835</v>
      </c>
      <c r="B1866" s="137">
        <v>46.505000000000003</v>
      </c>
      <c r="C1866" s="133"/>
      <c r="D1866" s="50">
        <f t="shared" si="29"/>
        <v>-1.3365864007637507E-2</v>
      </c>
      <c r="E1866" s="49"/>
    </row>
    <row r="1867" spans="1:5" ht="14.4">
      <c r="A1867" s="136">
        <v>41834</v>
      </c>
      <c r="B1867" s="137">
        <v>47.134999999999998</v>
      </c>
      <c r="C1867" s="133"/>
      <c r="D1867" s="50">
        <f t="shared" si="29"/>
        <v>5.30672893228612E-4</v>
      </c>
      <c r="E1867" s="49"/>
    </row>
    <row r="1868" spans="1:5" ht="14.4">
      <c r="A1868" s="136">
        <v>41831</v>
      </c>
      <c r="B1868" s="137">
        <v>47.11</v>
      </c>
      <c r="C1868" s="133"/>
      <c r="D1868" s="50">
        <f t="shared" si="29"/>
        <v>6.301399124212459E-3</v>
      </c>
      <c r="E1868" s="49"/>
    </row>
    <row r="1869" spans="1:5" ht="14.4">
      <c r="A1869" s="136">
        <v>41830</v>
      </c>
      <c r="B1869" s="137">
        <v>46.814999999999998</v>
      </c>
      <c r="C1869" s="133"/>
      <c r="D1869" s="50">
        <f t="shared" si="29"/>
        <v>-4.0421231783853706E-3</v>
      </c>
      <c r="E1869" s="49"/>
    </row>
    <row r="1870" spans="1:5" ht="14.4">
      <c r="A1870" s="136">
        <v>41829</v>
      </c>
      <c r="B1870" s="137">
        <v>47.005000000000003</v>
      </c>
      <c r="C1870" s="133"/>
      <c r="D1870" s="50">
        <f t="shared" si="29"/>
        <v>3.2013659161242991E-3</v>
      </c>
      <c r="E1870" s="49"/>
    </row>
    <row r="1871" spans="1:5" ht="14.4">
      <c r="A1871" s="136">
        <v>41828</v>
      </c>
      <c r="B1871" s="137">
        <v>46.854999999999997</v>
      </c>
      <c r="C1871" s="133"/>
      <c r="D1871" s="50">
        <f t="shared" si="29"/>
        <v>-8.4647127288118851E-3</v>
      </c>
      <c r="E1871" s="49"/>
    </row>
    <row r="1872" spans="1:5" ht="14.4">
      <c r="A1872" s="136">
        <v>41827</v>
      </c>
      <c r="B1872" s="137">
        <v>47.255000000000003</v>
      </c>
      <c r="C1872" s="133"/>
      <c r="D1872" s="50">
        <f t="shared" si="29"/>
        <v>-1.5007816571130816E-2</v>
      </c>
      <c r="E1872" s="49"/>
    </row>
    <row r="1873" spans="1:5" ht="14.4">
      <c r="A1873" s="136">
        <v>41824</v>
      </c>
      <c r="B1873" s="137">
        <v>47.975000000000001</v>
      </c>
      <c r="C1873" s="133"/>
      <c r="D1873" s="50">
        <f t="shared" si="29"/>
        <v>4.3965246519417356E-3</v>
      </c>
      <c r="E1873" s="49"/>
    </row>
    <row r="1874" spans="1:5" ht="14.4">
      <c r="A1874" s="136">
        <v>41823</v>
      </c>
      <c r="B1874" s="137">
        <v>47.765000000000001</v>
      </c>
      <c r="C1874" s="133"/>
      <c r="D1874" s="50">
        <f t="shared" si="29"/>
        <v>1.004440685134278E-2</v>
      </c>
      <c r="E1874" s="49"/>
    </row>
    <row r="1875" spans="1:5" ht="14.4">
      <c r="A1875" s="136">
        <v>41822</v>
      </c>
      <c r="B1875" s="137">
        <v>47.29</v>
      </c>
      <c r="C1875" s="133"/>
      <c r="D1875" s="50">
        <f t="shared" si="29"/>
        <v>-1.3661487120659066E-2</v>
      </c>
      <c r="E1875" s="49"/>
    </row>
    <row r="1876" spans="1:5" ht="14.4">
      <c r="A1876" s="136">
        <v>41821</v>
      </c>
      <c r="B1876" s="137">
        <v>47.945</v>
      </c>
      <c r="C1876" s="133"/>
      <c r="D1876" s="50">
        <f t="shared" si="29"/>
        <v>-2.0331017572537746E-2</v>
      </c>
      <c r="E1876" s="49"/>
    </row>
    <row r="1877" spans="1:5" ht="14.4">
      <c r="A1877" s="136">
        <v>41820</v>
      </c>
      <c r="B1877" s="137">
        <v>48.94</v>
      </c>
      <c r="C1877" s="133"/>
      <c r="D1877" s="50">
        <f t="shared" si="29"/>
        <v>-7.1008318117264935E-3</v>
      </c>
      <c r="E1877" s="49"/>
    </row>
    <row r="1878" spans="1:5" ht="14.4">
      <c r="A1878" s="136">
        <v>41817</v>
      </c>
      <c r="B1878" s="137">
        <v>49.29</v>
      </c>
      <c r="C1878" s="133"/>
      <c r="D1878" s="50">
        <f t="shared" si="29"/>
        <v>1.5555784485423052E-2</v>
      </c>
      <c r="E1878" s="49"/>
    </row>
    <row r="1879" spans="1:5" ht="14.4">
      <c r="A1879" s="136">
        <v>41816</v>
      </c>
      <c r="B1879" s="137">
        <v>48.534999999999997</v>
      </c>
      <c r="C1879" s="133"/>
      <c r="D1879" s="50">
        <f t="shared" si="29"/>
        <v>-1.0499490316004056E-2</v>
      </c>
      <c r="E1879" s="49"/>
    </row>
    <row r="1880" spans="1:5" ht="14.4">
      <c r="A1880" s="136">
        <v>41815</v>
      </c>
      <c r="B1880" s="137">
        <v>49.05</v>
      </c>
      <c r="C1880" s="133"/>
      <c r="D1880" s="50">
        <f t="shared" si="29"/>
        <v>1.0204081632652073E-3</v>
      </c>
      <c r="E1880" s="49"/>
    </row>
    <row r="1881" spans="1:5" ht="14.4">
      <c r="A1881" s="136">
        <v>41814</v>
      </c>
      <c r="B1881" s="137">
        <v>49</v>
      </c>
      <c r="C1881" s="133"/>
      <c r="D1881" s="50">
        <f t="shared" si="29"/>
        <v>-7.1927869516765774E-3</v>
      </c>
      <c r="E1881" s="49"/>
    </row>
    <row r="1882" spans="1:5" ht="14.4">
      <c r="A1882" s="136">
        <v>41813</v>
      </c>
      <c r="B1882" s="137">
        <v>49.354999999999997</v>
      </c>
      <c r="C1882" s="133"/>
      <c r="D1882" s="50">
        <f t="shared" si="29"/>
        <v>-1.6636780235106619E-2</v>
      </c>
      <c r="E1882" s="49"/>
    </row>
    <row r="1883" spans="1:5" ht="14.4">
      <c r="A1883" s="136">
        <v>41810</v>
      </c>
      <c r="B1883" s="137">
        <v>50.19</v>
      </c>
      <c r="C1883" s="133"/>
      <c r="D1883" s="50">
        <f t="shared" si="29"/>
        <v>-8.1027667984190366E-3</v>
      </c>
      <c r="E1883" s="49"/>
    </row>
    <row r="1884" spans="1:5" ht="14.4">
      <c r="A1884" s="136">
        <v>41809</v>
      </c>
      <c r="B1884" s="137">
        <v>50.6</v>
      </c>
      <c r="C1884" s="133"/>
      <c r="D1884" s="50">
        <f t="shared" si="29"/>
        <v>9.5770151636074274E-3</v>
      </c>
      <c r="E1884" s="49"/>
    </row>
    <row r="1885" spans="1:5" ht="14.4">
      <c r="A1885" s="136">
        <v>41808</v>
      </c>
      <c r="B1885" s="137">
        <v>50.12</v>
      </c>
      <c r="C1885" s="133"/>
      <c r="D1885" s="50">
        <f t="shared" si="29"/>
        <v>-1.2219156484036375E-2</v>
      </c>
      <c r="E1885" s="49"/>
    </row>
    <row r="1886" spans="1:5" ht="14.4">
      <c r="A1886" s="136">
        <v>41807</v>
      </c>
      <c r="B1886" s="137">
        <v>50.74</v>
      </c>
      <c r="C1886" s="133"/>
      <c r="D1886" s="50">
        <f t="shared" si="29"/>
        <v>3.9572615749901008E-3</v>
      </c>
      <c r="E1886" s="49"/>
    </row>
    <row r="1887" spans="1:5" ht="14.4">
      <c r="A1887" s="136">
        <v>41806</v>
      </c>
      <c r="B1887" s="137">
        <v>50.54</v>
      </c>
      <c r="C1887" s="133"/>
      <c r="D1887" s="50">
        <f t="shared" si="29"/>
        <v>-1.4430577223088936E-2</v>
      </c>
      <c r="E1887" s="49"/>
    </row>
    <row r="1888" spans="1:5" ht="14.4">
      <c r="A1888" s="136">
        <v>41803</v>
      </c>
      <c r="B1888" s="137">
        <v>51.28</v>
      </c>
      <c r="C1888" s="133"/>
      <c r="D1888" s="50">
        <f t="shared" si="29"/>
        <v>-1.0802469135802517E-2</v>
      </c>
      <c r="E1888" s="49"/>
    </row>
    <row r="1889" spans="1:5" ht="14.4">
      <c r="A1889" s="136">
        <v>41802</v>
      </c>
      <c r="B1889" s="137">
        <v>51.84</v>
      </c>
      <c r="C1889" s="133"/>
      <c r="D1889" s="50">
        <f t="shared" si="29"/>
        <v>-7.0867649875502314E-3</v>
      </c>
      <c r="E1889" s="49"/>
    </row>
    <row r="1890" spans="1:5" ht="14.4">
      <c r="A1890" s="136">
        <v>41801</v>
      </c>
      <c r="B1890" s="137">
        <v>52.21</v>
      </c>
      <c r="C1890" s="133"/>
      <c r="D1890" s="50">
        <f t="shared" si="29"/>
        <v>-3.0814924819008715E-2</v>
      </c>
      <c r="E1890" s="49"/>
    </row>
    <row r="1891" spans="1:5" ht="14.4">
      <c r="A1891" s="136">
        <v>41800</v>
      </c>
      <c r="B1891" s="137">
        <v>53.87</v>
      </c>
      <c r="C1891" s="133"/>
      <c r="D1891" s="50">
        <f t="shared" si="29"/>
        <v>1.2213453588876266E-2</v>
      </c>
      <c r="E1891" s="49"/>
    </row>
    <row r="1892" spans="1:5" ht="14.4">
      <c r="A1892" s="136">
        <v>41799</v>
      </c>
      <c r="B1892" s="137">
        <v>53.22</v>
      </c>
      <c r="C1892" s="133"/>
      <c r="D1892" s="50">
        <f t="shared" si="29"/>
        <v>-8.7539579065002426E-3</v>
      </c>
      <c r="E1892" s="49"/>
    </row>
    <row r="1893" spans="1:5" ht="14.4">
      <c r="A1893" s="136">
        <v>41796</v>
      </c>
      <c r="B1893" s="137">
        <v>53.69</v>
      </c>
      <c r="C1893" s="133"/>
      <c r="D1893" s="50">
        <f t="shared" si="29"/>
        <v>3.9267015706805353E-3</v>
      </c>
      <c r="E1893" s="49"/>
    </row>
    <row r="1894" spans="1:5" ht="14.4">
      <c r="A1894" s="136">
        <v>41795</v>
      </c>
      <c r="B1894" s="137">
        <v>53.48</v>
      </c>
      <c r="C1894" s="133"/>
      <c r="D1894" s="50">
        <f t="shared" si="29"/>
        <v>1.7697431018077969E-2</v>
      </c>
      <c r="E1894" s="49"/>
    </row>
    <row r="1895" spans="1:5" ht="14.4">
      <c r="A1895" s="136">
        <v>41794</v>
      </c>
      <c r="B1895" s="137">
        <v>52.55</v>
      </c>
      <c r="C1895" s="133"/>
      <c r="D1895" s="50">
        <f t="shared" si="29"/>
        <v>-2.4677296886864708E-3</v>
      </c>
      <c r="E1895" s="49"/>
    </row>
    <row r="1896" spans="1:5" ht="14.4">
      <c r="A1896" s="136">
        <v>41793</v>
      </c>
      <c r="B1896" s="137">
        <v>52.68</v>
      </c>
      <c r="C1896" s="133"/>
      <c r="D1896" s="50">
        <f t="shared" si="29"/>
        <v>-1.1446800525426903E-2</v>
      </c>
      <c r="E1896" s="49"/>
    </row>
    <row r="1897" spans="1:5" ht="14.4">
      <c r="A1897" s="136">
        <v>41792</v>
      </c>
      <c r="B1897" s="137">
        <v>53.29</v>
      </c>
      <c r="C1897" s="133"/>
      <c r="D1897" s="50">
        <f t="shared" si="29"/>
        <v>1.2925299372742893E-2</v>
      </c>
      <c r="E1897" s="49"/>
    </row>
    <row r="1898" spans="1:5" ht="14.4">
      <c r="A1898" s="136">
        <v>41789</v>
      </c>
      <c r="B1898" s="137">
        <v>52.61</v>
      </c>
      <c r="C1898" s="133"/>
      <c r="D1898" s="50">
        <f t="shared" si="29"/>
        <v>-7.5973409306739903E-4</v>
      </c>
      <c r="E1898" s="49"/>
    </row>
    <row r="1899" spans="1:5" ht="14.4">
      <c r="A1899" s="136">
        <v>41788</v>
      </c>
      <c r="B1899" s="137">
        <v>52.65</v>
      </c>
      <c r="C1899" s="133"/>
      <c r="D1899" s="50">
        <f t="shared" si="29"/>
        <v>-8.847891566265087E-3</v>
      </c>
      <c r="E1899" s="49"/>
    </row>
    <row r="1900" spans="1:5" ht="14.4">
      <c r="A1900" s="136">
        <v>41787</v>
      </c>
      <c r="B1900" s="137">
        <v>53.12</v>
      </c>
      <c r="C1900" s="133"/>
      <c r="D1900" s="50">
        <f t="shared" si="29"/>
        <v>7.2051573758058485E-3</v>
      </c>
      <c r="E1900" s="49"/>
    </row>
    <row r="1901" spans="1:5" ht="14.4">
      <c r="A1901" s="136">
        <v>41786</v>
      </c>
      <c r="B1901" s="137">
        <v>52.74</v>
      </c>
      <c r="C1901" s="133"/>
      <c r="D1901" s="50">
        <f t="shared" si="29"/>
        <v>1.9130434782608674E-2</v>
      </c>
      <c r="E1901" s="49"/>
    </row>
    <row r="1902" spans="1:5" ht="14.4">
      <c r="A1902" s="136">
        <v>41785</v>
      </c>
      <c r="B1902" s="137">
        <v>51.75</v>
      </c>
      <c r="C1902" s="133"/>
      <c r="D1902" s="50">
        <f t="shared" si="29"/>
        <v>3.1013762357046115E-3</v>
      </c>
      <c r="E1902" s="49"/>
    </row>
    <row r="1903" spans="1:5" ht="14.4">
      <c r="A1903" s="136">
        <v>41782</v>
      </c>
      <c r="B1903" s="137">
        <v>51.59</v>
      </c>
      <c r="C1903" s="133"/>
      <c r="D1903" s="50">
        <f t="shared" si="29"/>
        <v>1.0577864838393847E-2</v>
      </c>
      <c r="E1903" s="49"/>
    </row>
    <row r="1904" spans="1:5" ht="14.4">
      <c r="A1904" s="136">
        <v>41781</v>
      </c>
      <c r="B1904" s="137">
        <v>51.05</v>
      </c>
      <c r="C1904" s="133"/>
      <c r="D1904" s="50">
        <f t="shared" si="29"/>
        <v>1.3298928146089573E-2</v>
      </c>
      <c r="E1904" s="49"/>
    </row>
    <row r="1905" spans="1:5" ht="14.4">
      <c r="A1905" s="136">
        <v>41780</v>
      </c>
      <c r="B1905" s="137">
        <v>50.38</v>
      </c>
      <c r="C1905" s="133"/>
      <c r="D1905" s="50">
        <f t="shared" si="29"/>
        <v>-4.3478260869564966E-3</v>
      </c>
      <c r="E1905" s="49"/>
    </row>
    <row r="1906" spans="1:5" ht="14.4">
      <c r="A1906" s="136">
        <v>41779</v>
      </c>
      <c r="B1906" s="137">
        <v>50.6</v>
      </c>
      <c r="C1906" s="133"/>
      <c r="D1906" s="50">
        <f t="shared" si="29"/>
        <v>-1.4029618082618822E-2</v>
      </c>
      <c r="E1906" s="49"/>
    </row>
    <row r="1907" spans="1:5" ht="14.4">
      <c r="A1907" s="136">
        <v>41778</v>
      </c>
      <c r="B1907" s="137">
        <v>51.32</v>
      </c>
      <c r="C1907" s="133"/>
      <c r="D1907" s="50">
        <f t="shared" si="29"/>
        <v>1.8860432797300097E-2</v>
      </c>
      <c r="E1907" s="49"/>
    </row>
    <row r="1908" spans="1:5" ht="14.4">
      <c r="A1908" s="136">
        <v>41775</v>
      </c>
      <c r="B1908" s="137">
        <v>50.37</v>
      </c>
      <c r="C1908" s="133"/>
      <c r="D1908" s="50">
        <f t="shared" si="29"/>
        <v>-9.439528023598931E-3</v>
      </c>
      <c r="E1908" s="49"/>
    </row>
    <row r="1909" spans="1:5" ht="14.4">
      <c r="A1909" s="136">
        <v>41774</v>
      </c>
      <c r="B1909" s="137">
        <v>50.85</v>
      </c>
      <c r="C1909" s="133"/>
      <c r="D1909" s="50">
        <f t="shared" si="29"/>
        <v>-2.1550894746969362E-2</v>
      </c>
      <c r="E1909" s="49"/>
    </row>
    <row r="1910" spans="1:5" ht="14.4">
      <c r="A1910" s="136">
        <v>41773</v>
      </c>
      <c r="B1910" s="137">
        <v>51.97</v>
      </c>
      <c r="C1910" s="133"/>
      <c r="D1910" s="50">
        <f t="shared" si="29"/>
        <v>-1.084887704606019E-2</v>
      </c>
      <c r="E1910" s="49"/>
    </row>
    <row r="1911" spans="1:5" ht="14.4">
      <c r="A1911" s="136">
        <v>41772</v>
      </c>
      <c r="B1911" s="137">
        <v>52.54</v>
      </c>
      <c r="C1911" s="133"/>
      <c r="D1911" s="50">
        <f t="shared" si="29"/>
        <v>6.1628611840775838E-2</v>
      </c>
      <c r="E1911" s="49"/>
    </row>
    <row r="1912" spans="1:5" ht="14.4">
      <c r="A1912" s="136">
        <v>41771</v>
      </c>
      <c r="B1912" s="137">
        <v>49.49</v>
      </c>
      <c r="C1912" s="133"/>
      <c r="D1912" s="50">
        <f t="shared" si="29"/>
        <v>1.7057131113851431E-2</v>
      </c>
      <c r="E1912" s="49"/>
    </row>
    <row r="1913" spans="1:5" ht="14.4">
      <c r="A1913" s="136">
        <v>41768</v>
      </c>
      <c r="B1913" s="137">
        <v>48.66</v>
      </c>
      <c r="C1913" s="133"/>
      <c r="D1913" s="50">
        <f t="shared" si="29"/>
        <v>1.3375861714166604E-3</v>
      </c>
      <c r="E1913" s="49"/>
    </row>
    <row r="1914" spans="1:5" ht="14.4">
      <c r="A1914" s="136">
        <v>41767</v>
      </c>
      <c r="B1914" s="137">
        <v>48.594999999999999</v>
      </c>
      <c r="C1914" s="133"/>
      <c r="D1914" s="50">
        <f t="shared" si="29"/>
        <v>8.2380805272364022E-4</v>
      </c>
      <c r="E1914" s="49"/>
    </row>
    <row r="1915" spans="1:5" ht="14.4">
      <c r="A1915" s="136">
        <v>41766</v>
      </c>
      <c r="B1915" s="137">
        <v>48.555</v>
      </c>
      <c r="C1915" s="133"/>
      <c r="D1915" s="50">
        <f t="shared" si="29"/>
        <v>-5.9371481216091704E-3</v>
      </c>
      <c r="E1915" s="49"/>
    </row>
    <row r="1916" spans="1:5" ht="14.4">
      <c r="A1916" s="136">
        <v>41765</v>
      </c>
      <c r="B1916" s="137">
        <v>48.844999999999999</v>
      </c>
      <c r="C1916" s="133"/>
      <c r="D1916" s="50">
        <f t="shared" si="29"/>
        <v>-5.9021064414368496E-3</v>
      </c>
      <c r="E1916" s="49"/>
    </row>
    <row r="1917" spans="1:5" ht="14.4">
      <c r="A1917" s="136">
        <v>41764</v>
      </c>
      <c r="B1917" s="137">
        <v>49.134999999999998</v>
      </c>
      <c r="C1917" s="133"/>
      <c r="D1917" s="50">
        <f t="shared" si="29"/>
        <v>-2.3350253807107313E-3</v>
      </c>
      <c r="E1917" s="49"/>
    </row>
    <row r="1918" spans="1:5" ht="14.4">
      <c r="A1918" s="136">
        <v>41761</v>
      </c>
      <c r="B1918" s="137">
        <v>49.25</v>
      </c>
      <c r="C1918" s="133"/>
      <c r="D1918" s="50">
        <f t="shared" si="29"/>
        <v>-4.8494645382906043E-3</v>
      </c>
      <c r="E1918" s="49"/>
    </row>
    <row r="1919" spans="1:5" ht="14.4">
      <c r="A1919" s="136">
        <v>41759</v>
      </c>
      <c r="B1919" s="137">
        <v>49.49</v>
      </c>
      <c r="C1919" s="133"/>
      <c r="D1919" s="50">
        <f t="shared" si="29"/>
        <v>-1.1978438810141823E-2</v>
      </c>
      <c r="E1919" s="49"/>
    </row>
    <row r="1920" spans="1:5" ht="14.4">
      <c r="A1920" s="136">
        <v>41758</v>
      </c>
      <c r="B1920" s="137">
        <v>50.09</v>
      </c>
      <c r="C1920" s="133"/>
      <c r="D1920" s="50">
        <f t="shared" si="29"/>
        <v>-6.1507936507935179E-3</v>
      </c>
      <c r="E1920" s="49"/>
    </row>
    <row r="1921" spans="1:5" ht="14.4">
      <c r="A1921" s="136">
        <v>41757</v>
      </c>
      <c r="B1921" s="137">
        <v>50.4</v>
      </c>
      <c r="C1921" s="133"/>
      <c r="D1921" s="50">
        <f t="shared" si="29"/>
        <v>0</v>
      </c>
      <c r="E1921" s="49"/>
    </row>
    <row r="1922" spans="1:5" ht="14.4">
      <c r="A1922" s="136">
        <v>41754</v>
      </c>
      <c r="B1922" s="137">
        <v>50.4</v>
      </c>
      <c r="C1922" s="133"/>
      <c r="D1922" s="50">
        <f t="shared" si="29"/>
        <v>-9.4339622641510523E-3</v>
      </c>
      <c r="E1922" s="49"/>
    </row>
    <row r="1923" spans="1:5" ht="14.4">
      <c r="A1923" s="136">
        <v>41753</v>
      </c>
      <c r="B1923" s="137">
        <v>50.88</v>
      </c>
      <c r="C1923" s="133"/>
      <c r="D1923" s="50">
        <f t="shared" si="29"/>
        <v>-1.1778563015311105E-3</v>
      </c>
      <c r="E1923" s="49"/>
    </row>
    <row r="1924" spans="1:5" ht="14.4">
      <c r="A1924" s="136">
        <v>41752</v>
      </c>
      <c r="B1924" s="137">
        <v>50.94</v>
      </c>
      <c r="C1924" s="133"/>
      <c r="D1924" s="50">
        <f t="shared" si="29"/>
        <v>-8.3706443449483858E-3</v>
      </c>
      <c r="E1924" s="49"/>
    </row>
    <row r="1925" spans="1:5" ht="14.4">
      <c r="A1925" s="136">
        <v>41751</v>
      </c>
      <c r="B1925" s="137">
        <v>51.37</v>
      </c>
      <c r="C1925" s="133"/>
      <c r="D1925" s="50">
        <f t="shared" si="29"/>
        <v>7.7927138125843953E-4</v>
      </c>
      <c r="E1925" s="49"/>
    </row>
    <row r="1926" spans="1:5" ht="14.4">
      <c r="A1926" s="136">
        <v>41746</v>
      </c>
      <c r="B1926" s="137">
        <v>51.33</v>
      </c>
      <c r="C1926" s="133"/>
      <c r="D1926" s="50">
        <f t="shared" si="29"/>
        <v>1.4627396718718932E-2</v>
      </c>
      <c r="E1926" s="49"/>
    </row>
    <row r="1927" spans="1:5" ht="14.4">
      <c r="A1927" s="136">
        <v>41745</v>
      </c>
      <c r="B1927" s="137">
        <v>50.59</v>
      </c>
      <c r="C1927" s="133"/>
      <c r="D1927" s="50">
        <f t="shared" si="29"/>
        <v>3.1186302486750916E-2</v>
      </c>
      <c r="E1927" s="49"/>
    </row>
    <row r="1928" spans="1:5" ht="14.4">
      <c r="A1928" s="136">
        <v>41744</v>
      </c>
      <c r="B1928" s="137">
        <v>49.06</v>
      </c>
      <c r="C1928" s="133"/>
      <c r="D1928" s="50">
        <f t="shared" ref="D1928:D1991" si="30">(B1928-C1928)/B1929-1</f>
        <v>1.1223344556676729E-3</v>
      </c>
      <c r="E1928" s="49"/>
    </row>
    <row r="1929" spans="1:5" ht="14.4">
      <c r="A1929" s="136">
        <v>41743</v>
      </c>
      <c r="B1929" s="137">
        <v>49.005000000000003</v>
      </c>
      <c r="C1929" s="133"/>
      <c r="D1929" s="50">
        <f t="shared" si="30"/>
        <v>-1.6260162601625883E-2</v>
      </c>
      <c r="E1929" s="49"/>
    </row>
    <row r="1930" spans="1:5" ht="14.4">
      <c r="A1930" s="136">
        <v>41740</v>
      </c>
      <c r="B1930" s="137">
        <v>49.814999999999998</v>
      </c>
      <c r="C1930" s="133"/>
      <c r="D1930" s="50">
        <f t="shared" si="30"/>
        <v>-5.0928699820251833E-3</v>
      </c>
      <c r="E1930" s="49"/>
    </row>
    <row r="1931" spans="1:5" ht="14.4">
      <c r="A1931" s="136">
        <v>41739</v>
      </c>
      <c r="B1931" s="137">
        <v>50.07</v>
      </c>
      <c r="C1931" s="133"/>
      <c r="D1931" s="50">
        <f t="shared" si="30"/>
        <v>-1.8620148961191796E-2</v>
      </c>
      <c r="E1931" s="49"/>
    </row>
    <row r="1932" spans="1:5" ht="14.4">
      <c r="A1932" s="136">
        <v>41738</v>
      </c>
      <c r="B1932" s="137">
        <v>51.02</v>
      </c>
      <c r="C1932" s="133"/>
      <c r="D1932" s="50">
        <f t="shared" si="30"/>
        <v>-6.4264849074975317E-3</v>
      </c>
      <c r="E1932" s="49"/>
    </row>
    <row r="1933" spans="1:5" ht="14.4">
      <c r="A1933" s="136">
        <v>41737</v>
      </c>
      <c r="B1933" s="137">
        <v>51.35</v>
      </c>
      <c r="C1933" s="133"/>
      <c r="D1933" s="50">
        <f t="shared" si="30"/>
        <v>-3.6946736684171033E-2</v>
      </c>
      <c r="E1933" s="49"/>
    </row>
    <row r="1934" spans="1:5" ht="14.4">
      <c r="A1934" s="136">
        <v>41736</v>
      </c>
      <c r="B1934" s="137">
        <v>53.32</v>
      </c>
      <c r="C1934" s="133"/>
      <c r="D1934" s="50">
        <f t="shared" si="30"/>
        <v>-1.25925925925926E-2</v>
      </c>
      <c r="E1934" s="49"/>
    </row>
    <row r="1935" spans="1:5" ht="14.4">
      <c r="A1935" s="136">
        <v>41733</v>
      </c>
      <c r="B1935" s="137">
        <v>54</v>
      </c>
      <c r="C1935" s="133"/>
      <c r="D1935" s="50">
        <f t="shared" si="30"/>
        <v>1.6566265060240948E-2</v>
      </c>
      <c r="E1935" s="49"/>
    </row>
    <row r="1936" spans="1:5" ht="14.4">
      <c r="A1936" s="136">
        <v>41732</v>
      </c>
      <c r="B1936" s="137">
        <v>53.12</v>
      </c>
      <c r="C1936" s="133"/>
      <c r="D1936" s="50">
        <f t="shared" si="30"/>
        <v>1.2002286149742636E-2</v>
      </c>
      <c r="E1936" s="49"/>
    </row>
    <row r="1937" spans="1:5" ht="14.4">
      <c r="A1937" s="136">
        <v>41731</v>
      </c>
      <c r="B1937" s="137">
        <v>52.49</v>
      </c>
      <c r="C1937" s="133"/>
      <c r="D1937" s="50">
        <f t="shared" si="30"/>
        <v>-7.1874408927556921E-3</v>
      </c>
      <c r="E1937" s="49"/>
    </row>
    <row r="1938" spans="1:5" ht="14.4">
      <c r="A1938" s="136">
        <v>41730</v>
      </c>
      <c r="B1938" s="137">
        <v>52.87</v>
      </c>
      <c r="C1938" s="133"/>
      <c r="D1938" s="50">
        <f t="shared" si="30"/>
        <v>1.6926331986920395E-2</v>
      </c>
      <c r="E1938" s="49"/>
    </row>
    <row r="1939" spans="1:5" ht="14.4">
      <c r="A1939" s="136">
        <v>41729</v>
      </c>
      <c r="B1939" s="137">
        <v>51.99</v>
      </c>
      <c r="C1939" s="133"/>
      <c r="D1939" s="50">
        <f t="shared" si="30"/>
        <v>-1.1596958174904914E-2</v>
      </c>
      <c r="E1939" s="49"/>
    </row>
    <row r="1940" spans="1:5" ht="14.4">
      <c r="A1940" s="136">
        <v>41726</v>
      </c>
      <c r="B1940" s="137">
        <v>52.6</v>
      </c>
      <c r="C1940" s="133"/>
      <c r="D1940" s="50">
        <f t="shared" si="30"/>
        <v>7.6628352490422103E-3</v>
      </c>
      <c r="E1940" s="49"/>
    </row>
    <row r="1941" spans="1:5" ht="14.4">
      <c r="A1941" s="136">
        <v>41725</v>
      </c>
      <c r="B1941" s="137">
        <v>52.2</v>
      </c>
      <c r="C1941" s="133"/>
      <c r="D1941" s="50">
        <f t="shared" si="30"/>
        <v>-1.2485811577752526E-2</v>
      </c>
      <c r="E1941" s="49"/>
    </row>
    <row r="1942" spans="1:5" ht="14.4">
      <c r="A1942" s="136">
        <v>41724</v>
      </c>
      <c r="B1942" s="137">
        <v>52.86</v>
      </c>
      <c r="C1942" s="133"/>
      <c r="D1942" s="50">
        <f t="shared" si="30"/>
        <v>1.6343010959430915E-2</v>
      </c>
      <c r="E1942" s="49"/>
    </row>
    <row r="1943" spans="1:5" ht="14.4">
      <c r="A1943" s="136">
        <v>41723</v>
      </c>
      <c r="B1943" s="137">
        <v>52.01</v>
      </c>
      <c r="C1943" s="133"/>
      <c r="D1943" s="50">
        <f t="shared" si="30"/>
        <v>1.6217272372020197E-2</v>
      </c>
      <c r="E1943" s="49"/>
    </row>
    <row r="1944" spans="1:5" ht="14.4">
      <c r="A1944" s="136">
        <v>41722</v>
      </c>
      <c r="B1944" s="137">
        <v>51.18</v>
      </c>
      <c r="C1944" s="133"/>
      <c r="D1944" s="50">
        <f t="shared" si="30"/>
        <v>-1.387283236994219E-2</v>
      </c>
      <c r="E1944" s="49"/>
    </row>
    <row r="1945" spans="1:5" ht="14.4">
      <c r="A1945" s="136">
        <v>41719</v>
      </c>
      <c r="B1945" s="137">
        <v>51.9</v>
      </c>
      <c r="C1945" s="133"/>
      <c r="D1945" s="50">
        <f t="shared" si="30"/>
        <v>-1.1428571428571455E-2</v>
      </c>
      <c r="E1945" s="49"/>
    </row>
    <row r="1946" spans="1:5" ht="14.4">
      <c r="A1946" s="136">
        <v>41718</v>
      </c>
      <c r="B1946" s="137">
        <v>52.5</v>
      </c>
      <c r="C1946" s="133"/>
      <c r="D1946" s="50">
        <f t="shared" si="30"/>
        <v>2.2793687901811799E-2</v>
      </c>
      <c r="E1946" s="49"/>
    </row>
    <row r="1947" spans="1:5" ht="14.4">
      <c r="A1947" s="136">
        <v>41717</v>
      </c>
      <c r="B1947" s="137">
        <v>51.33</v>
      </c>
      <c r="C1947" s="133"/>
      <c r="D1947" s="50">
        <f t="shared" si="30"/>
        <v>1.543026706231454E-2</v>
      </c>
      <c r="E1947" s="49"/>
    </row>
    <row r="1948" spans="1:5" ht="14.4">
      <c r="A1948" s="136">
        <v>41716</v>
      </c>
      <c r="B1948" s="137">
        <v>50.55</v>
      </c>
      <c r="C1948" s="133"/>
      <c r="D1948" s="50">
        <f t="shared" si="30"/>
        <v>3.7728355837967076E-3</v>
      </c>
      <c r="E1948" s="49"/>
    </row>
    <row r="1949" spans="1:5" ht="14.4">
      <c r="A1949" s="136">
        <v>41715</v>
      </c>
      <c r="B1949" s="137">
        <v>50.36</v>
      </c>
      <c r="C1949" s="133"/>
      <c r="D1949" s="50">
        <f t="shared" si="30"/>
        <v>8.0064051240993361E-3</v>
      </c>
      <c r="E1949" s="49"/>
    </row>
    <row r="1950" spans="1:5" ht="14.4">
      <c r="A1950" s="136">
        <v>41712</v>
      </c>
      <c r="B1950" s="137">
        <v>49.96</v>
      </c>
      <c r="C1950" s="133"/>
      <c r="D1950" s="50">
        <f t="shared" si="30"/>
        <v>-2.9934144881260671E-3</v>
      </c>
      <c r="E1950" s="49"/>
    </row>
    <row r="1951" spans="1:5" ht="14.4">
      <c r="A1951" s="136">
        <v>41711</v>
      </c>
      <c r="B1951" s="137">
        <v>50.11</v>
      </c>
      <c r="C1951" s="133"/>
      <c r="D1951" s="50">
        <f t="shared" si="30"/>
        <v>1.9960079840308786E-4</v>
      </c>
      <c r="E1951" s="49"/>
    </row>
    <row r="1952" spans="1:5" ht="14.4">
      <c r="A1952" s="136">
        <v>41710</v>
      </c>
      <c r="B1952" s="137">
        <v>50.1</v>
      </c>
      <c r="C1952" s="133"/>
      <c r="D1952" s="50">
        <f t="shared" si="30"/>
        <v>-5.1628276409848572E-3</v>
      </c>
      <c r="E1952" s="49"/>
    </row>
    <row r="1953" spans="1:5" ht="14.4">
      <c r="A1953" s="136">
        <v>41709</v>
      </c>
      <c r="B1953" s="137">
        <v>50.36</v>
      </c>
      <c r="C1953" s="133"/>
      <c r="D1953" s="50">
        <f t="shared" si="30"/>
        <v>-2.574767280649648E-3</v>
      </c>
      <c r="E1953" s="49"/>
    </row>
    <row r="1954" spans="1:5" ht="14.4">
      <c r="A1954" s="136">
        <v>41708</v>
      </c>
      <c r="B1954" s="137">
        <v>50.49</v>
      </c>
      <c r="C1954" s="133"/>
      <c r="D1954" s="50">
        <f t="shared" si="30"/>
        <v>-1.598129019684269E-2</v>
      </c>
      <c r="E1954" s="49"/>
    </row>
    <row r="1955" spans="1:5" ht="14.4">
      <c r="A1955" s="136">
        <v>41705</v>
      </c>
      <c r="B1955" s="137">
        <v>51.31</v>
      </c>
      <c r="C1955" s="133"/>
      <c r="D1955" s="50">
        <f t="shared" si="30"/>
        <v>-3.1155589123867067E-2</v>
      </c>
      <c r="E1955" s="49"/>
    </row>
    <row r="1956" spans="1:5" ht="14.4">
      <c r="A1956" s="136">
        <v>41704</v>
      </c>
      <c r="B1956" s="137">
        <v>52.96</v>
      </c>
      <c r="C1956" s="133"/>
      <c r="D1956" s="50">
        <f t="shared" si="30"/>
        <v>3.9810426540285437E-3</v>
      </c>
      <c r="E1956" s="49"/>
    </row>
    <row r="1957" spans="1:5" ht="14.4">
      <c r="A1957" s="136">
        <v>41703</v>
      </c>
      <c r="B1957" s="137">
        <v>52.75</v>
      </c>
      <c r="C1957" s="133"/>
      <c r="D1957" s="50">
        <f t="shared" si="30"/>
        <v>-1.1431784107945986E-2</v>
      </c>
      <c r="E1957" s="49"/>
    </row>
    <row r="1958" spans="1:5" ht="14.4">
      <c r="A1958" s="136">
        <v>41702</v>
      </c>
      <c r="B1958" s="137">
        <v>53.36</v>
      </c>
      <c r="C1958" s="133"/>
      <c r="D1958" s="50">
        <f t="shared" si="30"/>
        <v>3.2108317214700088E-2</v>
      </c>
      <c r="E1958" s="49"/>
    </row>
    <row r="1959" spans="1:5" ht="14.4">
      <c r="A1959" s="136">
        <v>41701</v>
      </c>
      <c r="B1959" s="137">
        <v>51.7</v>
      </c>
      <c r="C1959" s="133"/>
      <c r="D1959" s="50">
        <f t="shared" si="30"/>
        <v>-3.1653867765499166E-2</v>
      </c>
      <c r="E1959" s="49"/>
    </row>
    <row r="1960" spans="1:5" ht="14.4">
      <c r="A1960" s="136">
        <v>41698</v>
      </c>
      <c r="B1960" s="137">
        <v>53.39</v>
      </c>
      <c r="C1960" s="133"/>
      <c r="D1960" s="50">
        <f t="shared" si="30"/>
        <v>-7.2517664559316186E-3</v>
      </c>
      <c r="E1960" s="49"/>
    </row>
    <row r="1961" spans="1:5" ht="14.4">
      <c r="A1961" s="136">
        <v>41697</v>
      </c>
      <c r="B1961" s="137">
        <v>53.78</v>
      </c>
      <c r="C1961" s="133"/>
      <c r="D1961" s="50">
        <f t="shared" si="30"/>
        <v>-3.5204743375949477E-3</v>
      </c>
      <c r="E1961" s="49"/>
    </row>
    <row r="1962" spans="1:5" ht="14.4">
      <c r="A1962" s="136">
        <v>41696</v>
      </c>
      <c r="B1962" s="137">
        <v>53.97</v>
      </c>
      <c r="C1962" s="133"/>
      <c r="D1962" s="50">
        <f t="shared" si="30"/>
        <v>1.6192807380907448E-2</v>
      </c>
      <c r="E1962" s="49"/>
    </row>
    <row r="1963" spans="1:5" ht="14.4">
      <c r="A1963" s="136">
        <v>41695</v>
      </c>
      <c r="B1963" s="137">
        <v>53.11</v>
      </c>
      <c r="C1963" s="133"/>
      <c r="D1963" s="50">
        <f t="shared" si="30"/>
        <v>7.5372149990582393E-4</v>
      </c>
      <c r="E1963" s="49"/>
    </row>
    <row r="1964" spans="1:5" ht="14.4">
      <c r="A1964" s="136">
        <v>41694</v>
      </c>
      <c r="B1964" s="137">
        <v>53.07</v>
      </c>
      <c r="C1964" s="133"/>
      <c r="D1964" s="50">
        <f t="shared" si="30"/>
        <v>1.3172966781214157E-2</v>
      </c>
      <c r="E1964" s="49"/>
    </row>
    <row r="1965" spans="1:5" ht="14.4">
      <c r="A1965" s="136">
        <v>41691</v>
      </c>
      <c r="B1965" s="137">
        <v>52.38</v>
      </c>
      <c r="C1965" s="133"/>
      <c r="D1965" s="50">
        <f t="shared" si="30"/>
        <v>-3.6142286475175922E-3</v>
      </c>
      <c r="E1965" s="49"/>
    </row>
    <row r="1966" spans="1:5" ht="14.4">
      <c r="A1966" s="136">
        <v>41690</v>
      </c>
      <c r="B1966" s="137">
        <v>52.57</v>
      </c>
      <c r="C1966" s="133"/>
      <c r="D1966" s="50">
        <f t="shared" si="30"/>
        <v>-5.1097653292960787E-3</v>
      </c>
      <c r="E1966" s="49"/>
    </row>
    <row r="1967" spans="1:5" ht="14.4">
      <c r="A1967" s="136">
        <v>41689</v>
      </c>
      <c r="B1967" s="137">
        <v>52.84</v>
      </c>
      <c r="C1967" s="133"/>
      <c r="D1967" s="50">
        <f t="shared" si="30"/>
        <v>-2.6425066062664149E-3</v>
      </c>
      <c r="E1967" s="49"/>
    </row>
    <row r="1968" spans="1:5" ht="14.4">
      <c r="A1968" s="136">
        <v>41688</v>
      </c>
      <c r="B1968" s="137">
        <v>52.98</v>
      </c>
      <c r="C1968" s="133"/>
      <c r="D1968" s="50">
        <f t="shared" si="30"/>
        <v>5.3130929791269654E-3</v>
      </c>
      <c r="E1968" s="49"/>
    </row>
    <row r="1969" spans="1:5" ht="14.4">
      <c r="A1969" s="136">
        <v>41687</v>
      </c>
      <c r="B1969" s="137">
        <v>52.7</v>
      </c>
      <c r="C1969" s="133"/>
      <c r="D1969" s="50">
        <f t="shared" si="30"/>
        <v>-9.3984962406015171E-3</v>
      </c>
      <c r="E1969" s="49"/>
    </row>
    <row r="1970" spans="1:5" ht="14.4">
      <c r="A1970" s="136">
        <v>41684</v>
      </c>
      <c r="B1970" s="137">
        <v>53.2</v>
      </c>
      <c r="C1970" s="133"/>
      <c r="D1970" s="50">
        <f t="shared" si="30"/>
        <v>2.0525609054287353E-2</v>
      </c>
      <c r="E1970" s="49"/>
    </row>
    <row r="1971" spans="1:5" ht="14.4">
      <c r="A1971" s="136">
        <v>41683</v>
      </c>
      <c r="B1971" s="137">
        <v>52.13</v>
      </c>
      <c r="C1971" s="133"/>
      <c r="D1971" s="50">
        <f t="shared" si="30"/>
        <v>-2.0848985725018809E-2</v>
      </c>
      <c r="E1971" s="49"/>
    </row>
    <row r="1972" spans="1:5" ht="14.4">
      <c r="A1972" s="136">
        <v>41682</v>
      </c>
      <c r="B1972" s="137">
        <v>53.24</v>
      </c>
      <c r="C1972" s="133"/>
      <c r="D1972" s="50">
        <f t="shared" si="30"/>
        <v>-6.7164179104477473E-3</v>
      </c>
      <c r="E1972" s="49"/>
    </row>
    <row r="1973" spans="1:5" ht="14.4">
      <c r="A1973" s="136">
        <v>41681</v>
      </c>
      <c r="B1973" s="137">
        <v>53.6</v>
      </c>
      <c r="C1973" s="133"/>
      <c r="D1973" s="50">
        <f t="shared" si="30"/>
        <v>2.1925643469971279E-2</v>
      </c>
      <c r="E1973" s="49"/>
    </row>
    <row r="1974" spans="1:5" ht="14.4">
      <c r="A1974" s="136">
        <v>41680</v>
      </c>
      <c r="B1974" s="137">
        <v>52.45</v>
      </c>
      <c r="C1974" s="133"/>
      <c r="D1974" s="50">
        <f t="shared" si="30"/>
        <v>-1.1426394972385845E-3</v>
      </c>
      <c r="E1974" s="49"/>
    </row>
    <row r="1975" spans="1:5" ht="14.4">
      <c r="A1975" s="136">
        <v>41677</v>
      </c>
      <c r="B1975" s="137">
        <v>52.51</v>
      </c>
      <c r="C1975" s="133"/>
      <c r="D1975" s="50">
        <f t="shared" si="30"/>
        <v>5.9386973180075575E-3</v>
      </c>
      <c r="E1975" s="49"/>
    </row>
    <row r="1976" spans="1:5" ht="14.4">
      <c r="A1976" s="136">
        <v>41676</v>
      </c>
      <c r="B1976" s="137">
        <v>52.2</v>
      </c>
      <c r="C1976" s="133"/>
      <c r="D1976" s="50">
        <f t="shared" si="30"/>
        <v>2.1126760563380476E-2</v>
      </c>
      <c r="E1976" s="49"/>
    </row>
    <row r="1977" spans="1:5" ht="14.4">
      <c r="A1977" s="136">
        <v>41675</v>
      </c>
      <c r="B1977" s="137">
        <v>51.12</v>
      </c>
      <c r="C1977" s="133"/>
      <c r="D1977" s="50">
        <f t="shared" si="30"/>
        <v>-1.9938650306748462E-2</v>
      </c>
      <c r="E1977" s="49"/>
    </row>
    <row r="1978" spans="1:5" ht="14.4">
      <c r="A1978" s="136">
        <v>41674</v>
      </c>
      <c r="B1978" s="137">
        <v>52.16</v>
      </c>
      <c r="C1978" s="133"/>
      <c r="D1978" s="50">
        <f t="shared" si="30"/>
        <v>3.4628703347441281E-3</v>
      </c>
      <c r="E1978" s="49"/>
    </row>
    <row r="1979" spans="1:5" ht="14.4">
      <c r="A1979" s="136">
        <v>41673</v>
      </c>
      <c r="B1979" s="137">
        <v>51.98</v>
      </c>
      <c r="C1979" s="133"/>
      <c r="D1979" s="50">
        <f t="shared" si="30"/>
        <v>-1.1974909712982318E-2</v>
      </c>
      <c r="E1979" s="49"/>
    </row>
    <row r="1980" spans="1:5" ht="14.4">
      <c r="A1980" s="136">
        <v>41670</v>
      </c>
      <c r="B1980" s="137">
        <v>52.61</v>
      </c>
      <c r="C1980" s="133"/>
      <c r="D1980" s="50">
        <f t="shared" si="30"/>
        <v>-1.1090225563909817E-2</v>
      </c>
      <c r="E1980" s="49"/>
    </row>
    <row r="1981" spans="1:5" ht="14.4">
      <c r="A1981" s="136">
        <v>41669</v>
      </c>
      <c r="B1981" s="137">
        <v>53.2</v>
      </c>
      <c r="C1981" s="133"/>
      <c r="D1981" s="50">
        <f t="shared" si="30"/>
        <v>-6.721433905899965E-3</v>
      </c>
      <c r="E1981" s="49"/>
    </row>
    <row r="1982" spans="1:5" ht="14.4">
      <c r="A1982" s="136">
        <v>41668</v>
      </c>
      <c r="B1982" s="137">
        <v>53.56</v>
      </c>
      <c r="C1982" s="133"/>
      <c r="D1982" s="50">
        <f t="shared" si="30"/>
        <v>-2.3162502279773789E-2</v>
      </c>
      <c r="E1982" s="49"/>
    </row>
    <row r="1983" spans="1:5" ht="14.4">
      <c r="A1983" s="136">
        <v>41667</v>
      </c>
      <c r="B1983" s="137">
        <v>54.83</v>
      </c>
      <c r="C1983" s="133"/>
      <c r="D1983" s="50">
        <f t="shared" si="30"/>
        <v>3.9234268385140325E-2</v>
      </c>
      <c r="E1983" s="49"/>
    </row>
    <row r="1984" spans="1:5" ht="14.4">
      <c r="A1984" s="136">
        <v>41666</v>
      </c>
      <c r="B1984" s="137">
        <v>52.76</v>
      </c>
      <c r="C1984" s="133"/>
      <c r="D1984" s="50">
        <f t="shared" si="30"/>
        <v>-3.7893141341427405E-4</v>
      </c>
      <c r="E1984" s="49"/>
    </row>
    <row r="1985" spans="1:7" ht="14.4">
      <c r="A1985" s="136">
        <v>41663</v>
      </c>
      <c r="B1985" s="137">
        <v>52.78</v>
      </c>
      <c r="C1985" s="133"/>
      <c r="D1985" s="50">
        <f t="shared" si="30"/>
        <v>-3.8615664845172981E-2</v>
      </c>
      <c r="E1985" s="49"/>
    </row>
    <row r="1986" spans="1:7" ht="14.4">
      <c r="A1986" s="136">
        <v>41662</v>
      </c>
      <c r="B1986" s="137">
        <v>54.9</v>
      </c>
      <c r="C1986" s="133"/>
      <c r="D1986" s="50">
        <f t="shared" si="30"/>
        <v>-3.8528896672504476E-2</v>
      </c>
      <c r="E1986" s="49"/>
    </row>
    <row r="1987" spans="1:7" ht="14.4">
      <c r="A1987" s="136">
        <v>41661</v>
      </c>
      <c r="B1987" s="137">
        <v>57.1</v>
      </c>
      <c r="C1987" s="133"/>
      <c r="D1987" s="50">
        <f t="shared" si="30"/>
        <v>1.7543859649122862E-3</v>
      </c>
      <c r="E1987" s="49"/>
    </row>
    <row r="1988" spans="1:7" ht="14.4">
      <c r="A1988" s="136">
        <v>41660</v>
      </c>
      <c r="B1988" s="137">
        <v>57</v>
      </c>
      <c r="C1988" s="133"/>
      <c r="D1988" s="50">
        <f t="shared" si="30"/>
        <v>-1.7540782318892223E-4</v>
      </c>
      <c r="E1988" s="49"/>
    </row>
    <row r="1989" spans="1:7" ht="14.4">
      <c r="A1989" s="136">
        <v>41659</v>
      </c>
      <c r="B1989" s="137">
        <v>57.01</v>
      </c>
      <c r="C1989" s="133"/>
      <c r="D1989" s="50">
        <f t="shared" si="30"/>
        <v>-3.5069261792042283E-4</v>
      </c>
      <c r="E1989" s="49"/>
    </row>
    <row r="1990" spans="1:7" ht="14.4">
      <c r="A1990" s="136">
        <v>41656</v>
      </c>
      <c r="B1990" s="137">
        <v>57.03</v>
      </c>
      <c r="C1990" s="133"/>
      <c r="D1990" s="50">
        <f t="shared" si="30"/>
        <v>7.0187752237238499E-4</v>
      </c>
      <c r="E1990" s="42"/>
      <c r="F1990" s="42"/>
      <c r="G1990" s="42"/>
    </row>
    <row r="1991" spans="1:7" ht="14.4">
      <c r="A1991" s="136">
        <v>41655</v>
      </c>
      <c r="B1991" s="137">
        <v>56.99</v>
      </c>
      <c r="C1991" s="133"/>
      <c r="D1991" s="50">
        <f t="shared" si="30"/>
        <v>6.1793785310735316E-3</v>
      </c>
      <c r="E1991" s="42"/>
      <c r="F1991" s="42"/>
      <c r="G1991" s="42"/>
    </row>
    <row r="1992" spans="1:7" ht="14.4">
      <c r="A1992" s="136">
        <v>41654</v>
      </c>
      <c r="B1992" s="137">
        <v>56.64</v>
      </c>
      <c r="C1992" s="133"/>
      <c r="D1992" s="50">
        <f t="shared" ref="D1992:D2055" si="31">(B1992-C1992)/B1993-1</f>
        <v>9.6256684491977662E-3</v>
      </c>
      <c r="E1992" s="42"/>
      <c r="F1992" s="42"/>
      <c r="G1992" s="42"/>
    </row>
    <row r="1993" spans="1:7" ht="14.4">
      <c r="A1993" s="136">
        <v>41653</v>
      </c>
      <c r="B1993" s="137">
        <v>56.1</v>
      </c>
      <c r="C1993" s="133"/>
      <c r="D1993" s="50">
        <f t="shared" si="31"/>
        <v>5.7368232341341585E-3</v>
      </c>
      <c r="E1993" s="42"/>
      <c r="F1993" s="42"/>
      <c r="G1993" s="42"/>
    </row>
    <row r="1994" spans="1:7" ht="14.4">
      <c r="A1994" s="136">
        <v>41652</v>
      </c>
      <c r="B1994" s="137">
        <v>55.78</v>
      </c>
      <c r="C1994" s="133"/>
      <c r="D1994" s="50">
        <f t="shared" si="31"/>
        <v>9.0448625180896691E-3</v>
      </c>
      <c r="E1994" s="42"/>
      <c r="F1994" s="42"/>
      <c r="G1994" s="42"/>
    </row>
    <row r="1995" spans="1:7" ht="14.4">
      <c r="A1995" s="136">
        <v>41649</v>
      </c>
      <c r="B1995" s="137">
        <v>55.28</v>
      </c>
      <c r="C1995" s="133"/>
      <c r="D1995" s="50">
        <f t="shared" si="31"/>
        <v>1.0418570645220226E-2</v>
      </c>
      <c r="E1995" s="42"/>
      <c r="F1995" s="42"/>
      <c r="G1995" s="42"/>
    </row>
    <row r="1996" spans="1:7" ht="14.4">
      <c r="A1996" s="136">
        <v>41648</v>
      </c>
      <c r="B1996" s="137">
        <v>54.71</v>
      </c>
      <c r="C1996" s="133"/>
      <c r="D1996" s="50">
        <f t="shared" si="31"/>
        <v>-1.1562782294489593E-2</v>
      </c>
      <c r="E1996" s="42"/>
      <c r="F1996" s="42"/>
      <c r="G1996" s="42"/>
    </row>
    <row r="1997" spans="1:7" ht="14.4">
      <c r="A1997" s="136">
        <v>41647</v>
      </c>
      <c r="B1997" s="137">
        <v>55.35</v>
      </c>
      <c r="C1997" s="133"/>
      <c r="D1997" s="50">
        <f t="shared" si="31"/>
        <v>-1.0016097299230808E-2</v>
      </c>
      <c r="E1997" s="42"/>
      <c r="F1997" s="42"/>
      <c r="G1997" s="42"/>
    </row>
    <row r="1998" spans="1:7" ht="14.4">
      <c r="A1998" s="136">
        <v>41646</v>
      </c>
      <c r="B1998" s="137">
        <v>55.91</v>
      </c>
      <c r="C1998" s="133"/>
      <c r="D1998" s="50">
        <f t="shared" si="31"/>
        <v>8.6595706296228592E-3</v>
      </c>
      <c r="E1998" s="42"/>
      <c r="F1998" s="42"/>
      <c r="G1998" s="42"/>
    </row>
    <row r="1999" spans="1:7" ht="14.4">
      <c r="A1999" s="136">
        <v>41645</v>
      </c>
      <c r="B1999" s="137">
        <v>55.43</v>
      </c>
      <c r="C1999" s="133"/>
      <c r="D1999" s="50">
        <f t="shared" si="31"/>
        <v>-1.7198581560283643E-2</v>
      </c>
      <c r="E1999" s="42"/>
      <c r="F1999" s="42"/>
      <c r="G1999" s="42"/>
    </row>
    <row r="2000" spans="1:7" ht="14.4">
      <c r="A2000" s="136">
        <v>41642</v>
      </c>
      <c r="B2000" s="137">
        <v>56.4</v>
      </c>
      <c r="C2000" s="133"/>
      <c r="D2000" s="50">
        <f t="shared" si="31"/>
        <v>-2.6525198938991412E-3</v>
      </c>
      <c r="E2000" s="42"/>
      <c r="F2000" s="42"/>
      <c r="G2000" s="42"/>
    </row>
    <row r="2001" spans="1:7" ht="14.4">
      <c r="A2001" s="136">
        <v>41641</v>
      </c>
      <c r="B2001" s="137">
        <v>56.55</v>
      </c>
      <c r="C2001" s="133"/>
      <c r="D2001" s="50">
        <f t="shared" si="31"/>
        <v>1.3259272531804145E-2</v>
      </c>
      <c r="E2001" s="42"/>
      <c r="F2001" s="42"/>
      <c r="G2001" s="42"/>
    </row>
    <row r="2002" spans="1:7" ht="14.4">
      <c r="A2002" s="138">
        <v>41639</v>
      </c>
      <c r="B2002" s="139">
        <v>55.81</v>
      </c>
      <c r="C2002" s="134">
        <v>0.75</v>
      </c>
      <c r="D2002" s="50">
        <f t="shared" si="31"/>
        <v>-1.2022250134577361E-2</v>
      </c>
      <c r="E2002" s="46"/>
      <c r="F2002" s="46"/>
      <c r="G2002" s="45"/>
    </row>
    <row r="2003" spans="1:7" ht="14.4">
      <c r="A2003" s="136">
        <v>41638</v>
      </c>
      <c r="B2003" s="137">
        <v>55.73</v>
      </c>
      <c r="C2003" s="133"/>
      <c r="D2003" s="50">
        <f t="shared" si="31"/>
        <v>-9.0682788051209551E-3</v>
      </c>
      <c r="E2003" s="42"/>
      <c r="F2003" s="42"/>
      <c r="G2003" s="42"/>
    </row>
    <row r="2004" spans="1:7" ht="14.4">
      <c r="A2004" s="136">
        <v>41635</v>
      </c>
      <c r="B2004" s="137">
        <v>56.24</v>
      </c>
      <c r="C2004" s="133"/>
      <c r="D2004" s="50">
        <f t="shared" si="31"/>
        <v>1.6028495102404783E-3</v>
      </c>
      <c r="E2004" s="42"/>
      <c r="F2004" s="42"/>
      <c r="G2004" s="42"/>
    </row>
    <row r="2005" spans="1:7" ht="14.4">
      <c r="A2005" s="136">
        <v>41632</v>
      </c>
      <c r="B2005" s="137">
        <v>56.15</v>
      </c>
      <c r="C2005" s="133"/>
      <c r="D2005" s="50">
        <f t="shared" si="31"/>
        <v>4.2926131282419178E-3</v>
      </c>
      <c r="E2005" s="42"/>
      <c r="F2005" s="42"/>
      <c r="G2005" s="42"/>
    </row>
    <row r="2006" spans="1:7" ht="14.4">
      <c r="A2006" s="136">
        <v>41631</v>
      </c>
      <c r="B2006" s="137">
        <v>55.91</v>
      </c>
      <c r="C2006" s="133"/>
      <c r="D2006" s="50">
        <f t="shared" si="31"/>
        <v>1.7889087656519642E-4</v>
      </c>
      <c r="E2006" s="49"/>
    </row>
    <row r="2007" spans="1:7" ht="14.4">
      <c r="A2007" s="136">
        <v>41628</v>
      </c>
      <c r="B2007" s="137">
        <v>55.9</v>
      </c>
      <c r="C2007" s="133"/>
      <c r="D2007" s="50">
        <f t="shared" si="31"/>
        <v>1.0744985673352137E-3</v>
      </c>
      <c r="E2007" s="49"/>
    </row>
    <row r="2008" spans="1:7" ht="14.4">
      <c r="A2008" s="136">
        <v>41627</v>
      </c>
      <c r="B2008" s="137">
        <v>55.84</v>
      </c>
      <c r="C2008" s="133"/>
      <c r="D2008" s="50">
        <f t="shared" si="31"/>
        <v>1.5272727272727327E-2</v>
      </c>
      <c r="E2008" s="49"/>
    </row>
    <row r="2009" spans="1:7" ht="14.4">
      <c r="A2009" s="136">
        <v>41626</v>
      </c>
      <c r="B2009" s="137">
        <v>55</v>
      </c>
      <c r="C2009" s="133"/>
      <c r="D2009" s="50">
        <f t="shared" si="31"/>
        <v>1.0286554004408588E-2</v>
      </c>
      <c r="E2009" s="49"/>
    </row>
    <row r="2010" spans="1:7" ht="14.4">
      <c r="A2010" s="136">
        <v>41625</v>
      </c>
      <c r="B2010" s="137">
        <v>54.44</v>
      </c>
      <c r="C2010" s="133"/>
      <c r="D2010" s="50">
        <f t="shared" si="31"/>
        <v>-1.7683146878383349E-2</v>
      </c>
      <c r="E2010" s="49"/>
    </row>
    <row r="2011" spans="1:7" ht="14.4">
      <c r="A2011" s="136">
        <v>41624</v>
      </c>
      <c r="B2011" s="137">
        <v>55.42</v>
      </c>
      <c r="C2011" s="133"/>
      <c r="D2011" s="50">
        <f t="shared" si="31"/>
        <v>2.7628407194511428E-2</v>
      </c>
      <c r="E2011" s="49"/>
    </row>
    <row r="2012" spans="1:7" ht="14.4">
      <c r="A2012" s="136">
        <v>41621</v>
      </c>
      <c r="B2012" s="137">
        <v>53.93</v>
      </c>
      <c r="C2012" s="133"/>
      <c r="D2012" s="50">
        <f t="shared" si="31"/>
        <v>7.6606875934228658E-3</v>
      </c>
      <c r="E2012" s="49"/>
    </row>
    <row r="2013" spans="1:7" ht="14.4">
      <c r="A2013" s="136">
        <v>41620</v>
      </c>
      <c r="B2013" s="137">
        <v>53.52</v>
      </c>
      <c r="C2013" s="133"/>
      <c r="D2013" s="50">
        <f t="shared" si="31"/>
        <v>1.2485811577752637E-2</v>
      </c>
      <c r="E2013" s="49"/>
    </row>
    <row r="2014" spans="1:7" ht="14.4">
      <c r="A2014" s="136">
        <v>41619</v>
      </c>
      <c r="B2014" s="137">
        <v>52.86</v>
      </c>
      <c r="C2014" s="133"/>
      <c r="D2014" s="50">
        <f t="shared" si="31"/>
        <v>7.48271655144368E-2</v>
      </c>
      <c r="E2014" s="49"/>
    </row>
    <row r="2015" spans="1:7" ht="14.4">
      <c r="A2015" s="136">
        <v>41618</v>
      </c>
      <c r="B2015" s="137">
        <v>49.18</v>
      </c>
      <c r="C2015" s="133"/>
      <c r="D2015" s="50">
        <f t="shared" si="31"/>
        <v>-2.5945731828084795E-2</v>
      </c>
      <c r="E2015" s="49"/>
    </row>
    <row r="2016" spans="1:7" ht="14.4">
      <c r="A2016" s="136">
        <v>41617</v>
      </c>
      <c r="B2016" s="137">
        <v>50.49</v>
      </c>
      <c r="C2016" s="133"/>
      <c r="D2016" s="50">
        <f t="shared" si="31"/>
        <v>8.1869009584665253E-3</v>
      </c>
      <c r="E2016" s="49"/>
    </row>
    <row r="2017" spans="1:5" ht="14.4">
      <c r="A2017" s="136">
        <v>41614</v>
      </c>
      <c r="B2017" s="137">
        <v>50.08</v>
      </c>
      <c r="C2017" s="133"/>
      <c r="D2017" s="50">
        <f t="shared" si="31"/>
        <v>3.7077863513377274E-3</v>
      </c>
      <c r="E2017" s="49"/>
    </row>
    <row r="2018" spans="1:5" ht="14.4">
      <c r="A2018" s="136">
        <v>41613</v>
      </c>
      <c r="B2018" s="137">
        <v>49.895000000000003</v>
      </c>
      <c r="C2018" s="133"/>
      <c r="D2018" s="50">
        <f t="shared" si="31"/>
        <v>-1.4711690363349073E-2</v>
      </c>
      <c r="E2018" s="49"/>
    </row>
    <row r="2019" spans="1:5" ht="14.4">
      <c r="A2019" s="136">
        <v>41612</v>
      </c>
      <c r="B2019" s="137">
        <v>50.64</v>
      </c>
      <c r="C2019" s="133"/>
      <c r="D2019" s="50">
        <f t="shared" si="31"/>
        <v>-9.5834148249560602E-3</v>
      </c>
      <c r="E2019" s="49"/>
    </row>
    <row r="2020" spans="1:5" ht="14.4">
      <c r="A2020" s="136">
        <v>41611</v>
      </c>
      <c r="B2020" s="137">
        <v>51.13</v>
      </c>
      <c r="C2020" s="133"/>
      <c r="D2020" s="50">
        <f t="shared" si="31"/>
        <v>-3.7099811676082894E-2</v>
      </c>
      <c r="E2020" s="49"/>
    </row>
    <row r="2021" spans="1:5" ht="14.4">
      <c r="A2021" s="136">
        <v>41610</v>
      </c>
      <c r="B2021" s="137">
        <v>53.1</v>
      </c>
      <c r="C2021" s="133"/>
      <c r="D2021" s="50">
        <f t="shared" si="31"/>
        <v>1.6073478760046056E-2</v>
      </c>
      <c r="E2021" s="49"/>
    </row>
    <row r="2022" spans="1:5" ht="14.4">
      <c r="A2022" s="136">
        <v>41607</v>
      </c>
      <c r="B2022" s="137">
        <v>52.26</v>
      </c>
      <c r="C2022" s="133"/>
      <c r="D2022" s="50">
        <f t="shared" si="31"/>
        <v>-7.7843174482628008E-3</v>
      </c>
      <c r="E2022" s="49"/>
    </row>
    <row r="2023" spans="1:5" ht="14.4">
      <c r="A2023" s="136">
        <v>41606</v>
      </c>
      <c r="B2023" s="137">
        <v>52.67</v>
      </c>
      <c r="C2023" s="133"/>
      <c r="D2023" s="50">
        <f t="shared" si="31"/>
        <v>5.7284704983771029E-3</v>
      </c>
      <c r="E2023" s="49"/>
    </row>
    <row r="2024" spans="1:5" ht="14.4">
      <c r="A2024" s="136">
        <v>41605</v>
      </c>
      <c r="B2024" s="137">
        <v>52.37</v>
      </c>
      <c r="C2024" s="133"/>
      <c r="D2024" s="50">
        <f t="shared" si="31"/>
        <v>1.6301183776440853E-2</v>
      </c>
      <c r="E2024" s="49"/>
    </row>
    <row r="2025" spans="1:5" ht="14.4">
      <c r="A2025" s="136">
        <v>41604</v>
      </c>
      <c r="B2025" s="137">
        <v>51.53</v>
      </c>
      <c r="C2025" s="133"/>
      <c r="D2025" s="50">
        <f t="shared" si="31"/>
        <v>-1.340225923798577E-2</v>
      </c>
      <c r="E2025" s="49"/>
    </row>
    <row r="2026" spans="1:5" ht="14.4">
      <c r="A2026" s="136">
        <v>41603</v>
      </c>
      <c r="B2026" s="137">
        <v>52.23</v>
      </c>
      <c r="C2026" s="133"/>
      <c r="D2026" s="50">
        <f t="shared" si="31"/>
        <v>9.4704290684188841E-3</v>
      </c>
      <c r="E2026" s="49"/>
    </row>
    <row r="2027" spans="1:5" ht="14.4">
      <c r="A2027" s="136">
        <v>41600</v>
      </c>
      <c r="B2027" s="137">
        <v>51.74</v>
      </c>
      <c r="C2027" s="133"/>
      <c r="D2027" s="50">
        <f t="shared" si="31"/>
        <v>6.418984633340008E-3</v>
      </c>
      <c r="E2027" s="49"/>
    </row>
    <row r="2028" spans="1:5" ht="14.4">
      <c r="A2028" s="136">
        <v>41599</v>
      </c>
      <c r="B2028" s="137">
        <v>51.41</v>
      </c>
      <c r="C2028" s="133"/>
      <c r="D2028" s="50">
        <f t="shared" si="31"/>
        <v>-1.4756611728631741E-2</v>
      </c>
      <c r="E2028" s="49"/>
    </row>
    <row r="2029" spans="1:5" ht="14.4">
      <c r="A2029" s="136">
        <v>41598</v>
      </c>
      <c r="B2029" s="137">
        <v>52.18</v>
      </c>
      <c r="C2029" s="133"/>
      <c r="D2029" s="50">
        <f t="shared" si="31"/>
        <v>-3.4377387318563768E-3</v>
      </c>
      <c r="E2029" s="49"/>
    </row>
    <row r="2030" spans="1:5" ht="14.4">
      <c r="A2030" s="136">
        <v>41597</v>
      </c>
      <c r="B2030" s="137">
        <v>52.36</v>
      </c>
      <c r="C2030" s="133"/>
      <c r="D2030" s="50">
        <f t="shared" si="31"/>
        <v>-1.5974440894568676E-2</v>
      </c>
      <c r="E2030" s="49"/>
    </row>
    <row r="2031" spans="1:5" ht="14.4">
      <c r="A2031" s="136">
        <v>41596</v>
      </c>
      <c r="B2031" s="137">
        <v>53.21</v>
      </c>
      <c r="C2031" s="133"/>
      <c r="D2031" s="50">
        <f t="shared" si="31"/>
        <v>2.4254090471607315E-2</v>
      </c>
      <c r="E2031" s="49"/>
    </row>
    <row r="2032" spans="1:5" ht="14.4">
      <c r="A2032" s="136">
        <v>41593</v>
      </c>
      <c r="B2032" s="137">
        <v>51.95</v>
      </c>
      <c r="C2032" s="133"/>
      <c r="D2032" s="50">
        <f t="shared" si="31"/>
        <v>-1.4979142965491077E-2</v>
      </c>
      <c r="E2032" s="49"/>
    </row>
    <row r="2033" spans="1:5" ht="14.4">
      <c r="A2033" s="136">
        <v>41592</v>
      </c>
      <c r="B2033" s="137">
        <v>52.74</v>
      </c>
      <c r="C2033" s="133"/>
      <c r="D2033" s="50">
        <f t="shared" si="31"/>
        <v>1.893353941267395E-2</v>
      </c>
      <c r="E2033" s="49"/>
    </row>
    <row r="2034" spans="1:5" ht="14.4">
      <c r="A2034" s="136">
        <v>41591</v>
      </c>
      <c r="B2034" s="137">
        <v>51.76</v>
      </c>
      <c r="C2034" s="133"/>
      <c r="D2034" s="50">
        <f t="shared" si="31"/>
        <v>-1.1270296084049725E-2</v>
      </c>
      <c r="E2034" s="49"/>
    </row>
    <row r="2035" spans="1:5" ht="14.4">
      <c r="A2035" s="136">
        <v>41590</v>
      </c>
      <c r="B2035" s="137">
        <v>52.35</v>
      </c>
      <c r="C2035" s="133"/>
      <c r="D2035" s="50">
        <f t="shared" si="31"/>
        <v>-2.695167286245348E-2</v>
      </c>
      <c r="E2035" s="49"/>
    </row>
    <row r="2036" spans="1:5" ht="14.4">
      <c r="A2036" s="136">
        <v>41589</v>
      </c>
      <c r="B2036" s="137">
        <v>53.8</v>
      </c>
      <c r="C2036" s="133"/>
      <c r="D2036" s="50">
        <f t="shared" si="31"/>
        <v>6.7365269461077126E-3</v>
      </c>
      <c r="E2036" s="49"/>
    </row>
    <row r="2037" spans="1:5" ht="14.4">
      <c r="A2037" s="136">
        <v>41586</v>
      </c>
      <c r="B2037" s="137">
        <v>53.44</v>
      </c>
      <c r="C2037" s="133"/>
      <c r="D2037" s="50">
        <f t="shared" si="31"/>
        <v>-3.7285607755407346E-3</v>
      </c>
      <c r="E2037" s="49"/>
    </row>
    <row r="2038" spans="1:5" ht="14.4">
      <c r="A2038" s="136">
        <v>41585</v>
      </c>
      <c r="B2038" s="137">
        <v>53.64</v>
      </c>
      <c r="C2038" s="133"/>
      <c r="D2038" s="50">
        <f t="shared" si="31"/>
        <v>2.4294524387964422E-3</v>
      </c>
      <c r="E2038" s="49"/>
    </row>
    <row r="2039" spans="1:5" ht="14.4">
      <c r="A2039" s="136">
        <v>41584</v>
      </c>
      <c r="B2039" s="137">
        <v>53.51</v>
      </c>
      <c r="C2039" s="133"/>
      <c r="D2039" s="50">
        <f t="shared" si="31"/>
        <v>1.6141283706798459E-2</v>
      </c>
      <c r="E2039" s="49"/>
    </row>
    <row r="2040" spans="1:5" ht="14.4">
      <c r="A2040" s="136">
        <v>41583</v>
      </c>
      <c r="B2040" s="137">
        <v>52.66</v>
      </c>
      <c r="C2040" s="133"/>
      <c r="D2040" s="50">
        <f t="shared" si="31"/>
        <v>1.2497596616035445E-2</v>
      </c>
      <c r="E2040" s="49"/>
    </row>
    <row r="2041" spans="1:5" ht="14.4">
      <c r="A2041" s="136">
        <v>41582</v>
      </c>
      <c r="B2041" s="137">
        <v>52.01</v>
      </c>
      <c r="C2041" s="133"/>
      <c r="D2041" s="50">
        <f t="shared" si="31"/>
        <v>2.7662517289073207E-2</v>
      </c>
      <c r="E2041" s="49"/>
    </row>
    <row r="2042" spans="1:5" ht="14.4">
      <c r="A2042" s="136">
        <v>41579</v>
      </c>
      <c r="B2042" s="137">
        <v>50.61</v>
      </c>
      <c r="C2042" s="133"/>
      <c r="D2042" s="50">
        <f t="shared" si="31"/>
        <v>0</v>
      </c>
      <c r="E2042" s="49"/>
    </row>
    <row r="2043" spans="1:5" ht="14.4">
      <c r="A2043" s="136">
        <v>41578</v>
      </c>
      <c r="B2043" s="137">
        <v>50.61</v>
      </c>
      <c r="C2043" s="133"/>
      <c r="D2043" s="50">
        <f t="shared" si="31"/>
        <v>6.5632458233890745E-3</v>
      </c>
      <c r="E2043" s="49"/>
    </row>
    <row r="2044" spans="1:5" ht="14.4">
      <c r="A2044" s="136">
        <v>41577</v>
      </c>
      <c r="B2044" s="137">
        <v>50.28</v>
      </c>
      <c r="C2044" s="133"/>
      <c r="D2044" s="50">
        <f t="shared" si="31"/>
        <v>1.9258057976890397E-2</v>
      </c>
      <c r="E2044" s="49"/>
    </row>
    <row r="2045" spans="1:5" ht="14.4">
      <c r="A2045" s="136">
        <v>41576</v>
      </c>
      <c r="B2045" s="137">
        <v>49.33</v>
      </c>
      <c r="C2045" s="133"/>
      <c r="D2045" s="50">
        <f t="shared" si="31"/>
        <v>1.4185855263157743E-2</v>
      </c>
      <c r="E2045" s="49"/>
    </row>
    <row r="2046" spans="1:5" ht="14.4">
      <c r="A2046" s="136">
        <v>41575</v>
      </c>
      <c r="B2046" s="137">
        <v>48.64</v>
      </c>
      <c r="C2046" s="133"/>
      <c r="D2046" s="50">
        <f t="shared" si="31"/>
        <v>-8.1566068515497303E-3</v>
      </c>
      <c r="E2046" s="49"/>
    </row>
    <row r="2047" spans="1:5" ht="14.4">
      <c r="A2047" s="136">
        <v>41572</v>
      </c>
      <c r="B2047" s="137">
        <v>49.04</v>
      </c>
      <c r="C2047" s="133"/>
      <c r="D2047" s="50">
        <f t="shared" si="31"/>
        <v>1.3223140495867813E-2</v>
      </c>
      <c r="E2047" s="49"/>
    </row>
    <row r="2048" spans="1:5" ht="14.4">
      <c r="A2048" s="136">
        <v>41571</v>
      </c>
      <c r="B2048" s="137">
        <v>48.4</v>
      </c>
      <c r="C2048" s="133"/>
      <c r="D2048" s="50">
        <f t="shared" si="31"/>
        <v>2.3255813953488413E-2</v>
      </c>
      <c r="E2048" s="49"/>
    </row>
    <row r="2049" spans="1:5" ht="14.4">
      <c r="A2049" s="136">
        <v>41570</v>
      </c>
      <c r="B2049" s="137">
        <v>47.3</v>
      </c>
      <c r="C2049" s="133"/>
      <c r="D2049" s="50">
        <f t="shared" si="31"/>
        <v>-8.1778150555672502E-3</v>
      </c>
      <c r="E2049" s="49"/>
    </row>
    <row r="2050" spans="1:5" ht="14.4">
      <c r="A2050" s="136">
        <v>41569</v>
      </c>
      <c r="B2050" s="137">
        <v>47.69</v>
      </c>
      <c r="C2050" s="133"/>
      <c r="D2050" s="50">
        <f t="shared" si="31"/>
        <v>-6.9755335762623494E-3</v>
      </c>
      <c r="E2050" s="49"/>
    </row>
    <row r="2051" spans="1:5" ht="14.4">
      <c r="A2051" s="136">
        <v>41568</v>
      </c>
      <c r="B2051" s="137">
        <v>48.024999999999999</v>
      </c>
      <c r="C2051" s="133"/>
      <c r="D2051" s="50">
        <f t="shared" si="31"/>
        <v>-1.9097222222222321E-2</v>
      </c>
      <c r="E2051" s="49"/>
    </row>
    <row r="2052" spans="1:5" ht="14.4">
      <c r="A2052" s="136">
        <v>41565</v>
      </c>
      <c r="B2052" s="137">
        <v>48.96</v>
      </c>
      <c r="C2052" s="133"/>
      <c r="D2052" s="50">
        <f t="shared" si="31"/>
        <v>1.021355617455888E-2</v>
      </c>
      <c r="E2052" s="49"/>
    </row>
    <row r="2053" spans="1:5" ht="14.4">
      <c r="A2053" s="136">
        <v>41564</v>
      </c>
      <c r="B2053" s="137">
        <v>48.465000000000003</v>
      </c>
      <c r="C2053" s="133"/>
      <c r="D2053" s="50">
        <f t="shared" si="31"/>
        <v>3.1046258925799819E-3</v>
      </c>
      <c r="E2053" s="49"/>
    </row>
    <row r="2054" spans="1:5" ht="14.4">
      <c r="A2054" s="136">
        <v>41563</v>
      </c>
      <c r="B2054" s="137">
        <v>48.314999999999998</v>
      </c>
      <c r="C2054" s="133"/>
      <c r="D2054" s="50">
        <f t="shared" si="31"/>
        <v>-4.6353522867738084E-3</v>
      </c>
      <c r="E2054" s="49"/>
    </row>
    <row r="2055" spans="1:5" ht="14.4">
      <c r="A2055" s="136">
        <v>41562</v>
      </c>
      <c r="B2055" s="137">
        <v>48.54</v>
      </c>
      <c r="C2055" s="133"/>
      <c r="D2055" s="50">
        <f t="shared" si="31"/>
        <v>-7.7677841373672285E-3</v>
      </c>
      <c r="E2055" s="49"/>
    </row>
    <row r="2056" spans="1:5" ht="14.4">
      <c r="A2056" s="136">
        <v>41561</v>
      </c>
      <c r="B2056" s="137">
        <v>48.92</v>
      </c>
      <c r="C2056" s="133"/>
      <c r="D2056" s="50">
        <f t="shared" ref="D2056:D2119" si="32">(B2056-C2056)/B2057-1</f>
        <v>3.0756612671725136E-3</v>
      </c>
      <c r="E2056" s="49"/>
    </row>
    <row r="2057" spans="1:5" ht="14.4">
      <c r="A2057" s="136">
        <v>41558</v>
      </c>
      <c r="B2057" s="137">
        <v>48.77</v>
      </c>
      <c r="C2057" s="133"/>
      <c r="D2057" s="50">
        <f t="shared" si="32"/>
        <v>9.7308488612837252E-3</v>
      </c>
      <c r="E2057" s="49"/>
    </row>
    <row r="2058" spans="1:5" ht="14.4">
      <c r="A2058" s="136">
        <v>41557</v>
      </c>
      <c r="B2058" s="137">
        <v>48.3</v>
      </c>
      <c r="C2058" s="133"/>
      <c r="D2058" s="50">
        <f t="shared" si="32"/>
        <v>7.6144779388753747E-3</v>
      </c>
      <c r="E2058" s="49"/>
    </row>
    <row r="2059" spans="1:5" ht="14.4">
      <c r="A2059" s="136">
        <v>41556</v>
      </c>
      <c r="B2059" s="137">
        <v>47.935000000000002</v>
      </c>
      <c r="C2059" s="133"/>
      <c r="D2059" s="50">
        <f t="shared" si="32"/>
        <v>-2.1634860700071368E-2</v>
      </c>
      <c r="E2059" s="49"/>
    </row>
    <row r="2060" spans="1:5" ht="14.4">
      <c r="A2060" s="136">
        <v>41555</v>
      </c>
      <c r="B2060" s="137">
        <v>48.994999999999997</v>
      </c>
      <c r="C2060" s="133"/>
      <c r="D2060" s="50">
        <f t="shared" si="32"/>
        <v>-2.5944333996023805E-2</v>
      </c>
      <c r="E2060" s="49"/>
    </row>
    <row r="2061" spans="1:5" ht="14.4">
      <c r="A2061" s="136">
        <v>41554</v>
      </c>
      <c r="B2061" s="137">
        <v>50.3</v>
      </c>
      <c r="C2061" s="133"/>
      <c r="D2061" s="50">
        <f t="shared" si="32"/>
        <v>2.2149969518390433E-2</v>
      </c>
      <c r="E2061" s="49"/>
    </row>
    <row r="2062" spans="1:5" ht="14.4">
      <c r="A2062" s="136">
        <v>41551</v>
      </c>
      <c r="B2062" s="137">
        <v>49.21</v>
      </c>
      <c r="C2062" s="133"/>
      <c r="D2062" s="50">
        <f t="shared" si="32"/>
        <v>1.275982712492274E-2</v>
      </c>
      <c r="E2062" s="49"/>
    </row>
    <row r="2063" spans="1:5" ht="14.4">
      <c r="A2063" s="136">
        <v>41550</v>
      </c>
      <c r="B2063" s="137">
        <v>48.59</v>
      </c>
      <c r="C2063" s="133"/>
      <c r="D2063" s="50">
        <f t="shared" si="32"/>
        <v>3.0880082346884663E-4</v>
      </c>
      <c r="E2063" s="49"/>
    </row>
    <row r="2064" spans="1:5" ht="14.4">
      <c r="A2064" s="136">
        <v>41549</v>
      </c>
      <c r="B2064" s="137">
        <v>48.575000000000003</v>
      </c>
      <c r="C2064" s="133"/>
      <c r="D2064" s="50">
        <f t="shared" si="32"/>
        <v>4.9653460225509427E-3</v>
      </c>
      <c r="E2064" s="49"/>
    </row>
    <row r="2065" spans="1:5" ht="14.4">
      <c r="A2065" s="136">
        <v>41548</v>
      </c>
      <c r="B2065" s="137">
        <v>48.335000000000001</v>
      </c>
      <c r="C2065" s="133"/>
      <c r="D2065" s="50">
        <f t="shared" si="32"/>
        <v>2.6329758997770458E-2</v>
      </c>
      <c r="E2065" s="49"/>
    </row>
    <row r="2066" spans="1:5" ht="14.4">
      <c r="A2066" s="136">
        <v>41547</v>
      </c>
      <c r="B2066" s="137">
        <v>47.094999999999999</v>
      </c>
      <c r="C2066" s="133"/>
      <c r="D2066" s="50">
        <f t="shared" si="32"/>
        <v>-7.4815595363540988E-3</v>
      </c>
      <c r="E2066" s="49"/>
    </row>
    <row r="2067" spans="1:5" ht="14.4">
      <c r="A2067" s="136">
        <v>41544</v>
      </c>
      <c r="B2067" s="137">
        <v>47.45</v>
      </c>
      <c r="C2067" s="133"/>
      <c r="D2067" s="50">
        <f t="shared" si="32"/>
        <v>9.145044661845958E-3</v>
      </c>
      <c r="E2067" s="49"/>
    </row>
    <row r="2068" spans="1:5" ht="14.4">
      <c r="A2068" s="136">
        <v>41543</v>
      </c>
      <c r="B2068" s="137">
        <v>47.02</v>
      </c>
      <c r="C2068" s="133"/>
      <c r="D2068" s="50">
        <f t="shared" si="32"/>
        <v>8.7963956232568474E-3</v>
      </c>
      <c r="E2068" s="49"/>
    </row>
    <row r="2069" spans="1:5" ht="14.4">
      <c r="A2069" s="136">
        <v>41542</v>
      </c>
      <c r="B2069" s="137">
        <v>46.61</v>
      </c>
      <c r="C2069" s="133"/>
      <c r="D2069" s="50">
        <f t="shared" si="32"/>
        <v>1.1062906724511823E-2</v>
      </c>
      <c r="E2069" s="49"/>
    </row>
    <row r="2070" spans="1:5" ht="14.4">
      <c r="A2070" s="136">
        <v>41541</v>
      </c>
      <c r="B2070" s="137">
        <v>46.1</v>
      </c>
      <c r="C2070" s="133"/>
      <c r="D2070" s="50">
        <f t="shared" si="32"/>
        <v>2.0649929355505137E-3</v>
      </c>
      <c r="E2070" s="49"/>
    </row>
    <row r="2071" spans="1:5" ht="14.4">
      <c r="A2071" s="136">
        <v>41540</v>
      </c>
      <c r="B2071" s="137">
        <v>46.005000000000003</v>
      </c>
      <c r="C2071" s="133"/>
      <c r="D2071" s="50">
        <f t="shared" si="32"/>
        <v>-2.0440753752794638E-2</v>
      </c>
      <c r="E2071" s="49"/>
    </row>
    <row r="2072" spans="1:5" ht="14.4">
      <c r="A2072" s="136">
        <v>41537</v>
      </c>
      <c r="B2072" s="137">
        <v>46.965000000000003</v>
      </c>
      <c r="C2072" s="133"/>
      <c r="D2072" s="50">
        <f t="shared" si="32"/>
        <v>-6.0317460317459437E-3</v>
      </c>
      <c r="E2072" s="49"/>
    </row>
    <row r="2073" spans="1:5" ht="14.4">
      <c r="A2073" s="136">
        <v>41536</v>
      </c>
      <c r="B2073" s="137">
        <v>47.25</v>
      </c>
      <c r="C2073" s="133"/>
      <c r="D2073" s="50">
        <f t="shared" si="32"/>
        <v>1.7332328560663246E-2</v>
      </c>
      <c r="E2073" s="49"/>
    </row>
    <row r="2074" spans="1:5" ht="14.4">
      <c r="A2074" s="136">
        <v>41535</v>
      </c>
      <c r="B2074" s="137">
        <v>46.445</v>
      </c>
      <c r="C2074" s="133"/>
      <c r="D2074" s="50">
        <f t="shared" si="32"/>
        <v>2.9822616407982228E-2</v>
      </c>
      <c r="E2074" s="49"/>
    </row>
    <row r="2075" spans="1:5" ht="14.4">
      <c r="A2075" s="136">
        <v>41534</v>
      </c>
      <c r="B2075" s="137">
        <v>45.1</v>
      </c>
      <c r="C2075" s="133"/>
      <c r="D2075" s="50">
        <f t="shared" si="32"/>
        <v>4.4365572315885338E-4</v>
      </c>
      <c r="E2075" s="49"/>
    </row>
    <row r="2076" spans="1:5" ht="14.4">
      <c r="A2076" s="136">
        <v>41533</v>
      </c>
      <c r="B2076" s="137">
        <v>45.08</v>
      </c>
      <c r="C2076" s="133"/>
      <c r="D2076" s="50">
        <f t="shared" si="32"/>
        <v>6.1377078451065881E-3</v>
      </c>
      <c r="E2076" s="49"/>
    </row>
    <row r="2077" spans="1:5" ht="14.4">
      <c r="A2077" s="136">
        <v>41530</v>
      </c>
      <c r="B2077" s="137">
        <v>44.805</v>
      </c>
      <c r="C2077" s="133"/>
      <c r="D2077" s="50">
        <f t="shared" si="32"/>
        <v>-9.8342541436464703E-3</v>
      </c>
      <c r="E2077" s="49"/>
    </row>
    <row r="2078" spans="1:5" ht="14.4">
      <c r="A2078" s="136">
        <v>41529</v>
      </c>
      <c r="B2078" s="137">
        <v>45.25</v>
      </c>
      <c r="C2078" s="133"/>
      <c r="D2078" s="50">
        <f t="shared" si="32"/>
        <v>-1.641125964569079E-2</v>
      </c>
      <c r="E2078" s="49"/>
    </row>
    <row r="2079" spans="1:5" ht="14.4">
      <c r="A2079" s="136">
        <v>41528</v>
      </c>
      <c r="B2079" s="137">
        <v>46.005000000000003</v>
      </c>
      <c r="C2079" s="133"/>
      <c r="D2079" s="50">
        <f t="shared" si="32"/>
        <v>-7.3362822310928388E-3</v>
      </c>
      <c r="E2079" s="49"/>
    </row>
    <row r="2080" spans="1:5" ht="14.4">
      <c r="A2080" s="136">
        <v>41527</v>
      </c>
      <c r="B2080" s="137">
        <v>46.344999999999999</v>
      </c>
      <c r="C2080" s="133"/>
      <c r="D2080" s="50">
        <f t="shared" si="32"/>
        <v>1.9019349164467902E-2</v>
      </c>
      <c r="E2080" s="49"/>
    </row>
    <row r="2081" spans="1:5" ht="14.4">
      <c r="A2081" s="136">
        <v>41526</v>
      </c>
      <c r="B2081" s="137">
        <v>45.48</v>
      </c>
      <c r="C2081" s="133"/>
      <c r="D2081" s="50">
        <f t="shared" si="32"/>
        <v>1.98281559814939E-3</v>
      </c>
      <c r="E2081" s="49"/>
    </row>
    <row r="2082" spans="1:5" ht="14.4">
      <c r="A2082" s="136">
        <v>41523</v>
      </c>
      <c r="B2082" s="137">
        <v>45.39</v>
      </c>
      <c r="C2082" s="133"/>
      <c r="D2082" s="50">
        <f t="shared" si="32"/>
        <v>6.6533599467730742E-3</v>
      </c>
      <c r="E2082" s="49"/>
    </row>
    <row r="2083" spans="1:5" ht="14.4">
      <c r="A2083" s="136">
        <v>41522</v>
      </c>
      <c r="B2083" s="137">
        <v>45.09</v>
      </c>
      <c r="C2083" s="133"/>
      <c r="D2083" s="50">
        <f t="shared" si="32"/>
        <v>1.0420168067226898E-2</v>
      </c>
      <c r="E2083" s="49"/>
    </row>
    <row r="2084" spans="1:5" ht="14.4">
      <c r="A2084" s="136">
        <v>41521</v>
      </c>
      <c r="B2084" s="137">
        <v>44.625</v>
      </c>
      <c r="C2084" s="133"/>
      <c r="D2084" s="50">
        <f t="shared" si="32"/>
        <v>7.1090047393365108E-3</v>
      </c>
      <c r="E2084" s="49"/>
    </row>
    <row r="2085" spans="1:5" ht="14.4">
      <c r="A2085" s="136">
        <v>41520</v>
      </c>
      <c r="B2085" s="137">
        <v>44.31</v>
      </c>
      <c r="C2085" s="133"/>
      <c r="D2085" s="50">
        <f t="shared" si="32"/>
        <v>-7.614781634938339E-3</v>
      </c>
      <c r="E2085" s="49"/>
    </row>
    <row r="2086" spans="1:5" ht="14.4">
      <c r="A2086" s="136">
        <v>41519</v>
      </c>
      <c r="B2086" s="137">
        <v>44.65</v>
      </c>
      <c r="C2086" s="133"/>
      <c r="D2086" s="50">
        <f t="shared" si="32"/>
        <v>2.3965141612200425E-2</v>
      </c>
      <c r="E2086" s="49"/>
    </row>
    <row r="2087" spans="1:5" ht="14.4">
      <c r="A2087" s="136">
        <v>41516</v>
      </c>
      <c r="B2087" s="137">
        <v>43.604999999999997</v>
      </c>
      <c r="C2087" s="133"/>
      <c r="D2087" s="50">
        <f t="shared" si="32"/>
        <v>4.6077640824788713E-3</v>
      </c>
      <c r="E2087" s="49"/>
    </row>
    <row r="2088" spans="1:5" ht="14.4">
      <c r="A2088" s="136">
        <v>41515</v>
      </c>
      <c r="B2088" s="137">
        <v>43.405000000000001</v>
      </c>
      <c r="C2088" s="133"/>
      <c r="D2088" s="50">
        <f t="shared" si="32"/>
        <v>1.6748653080346676E-2</v>
      </c>
      <c r="E2088" s="49"/>
    </row>
    <row r="2089" spans="1:5" ht="14.4">
      <c r="A2089" s="136">
        <v>41514</v>
      </c>
      <c r="B2089" s="137">
        <v>42.69</v>
      </c>
      <c r="C2089" s="133"/>
      <c r="D2089" s="50">
        <f t="shared" si="32"/>
        <v>-2.4785836664762972E-2</v>
      </c>
      <c r="E2089" s="49"/>
    </row>
    <row r="2090" spans="1:5" ht="14.4">
      <c r="A2090" s="136">
        <v>41513</v>
      </c>
      <c r="B2090" s="137">
        <v>43.774999999999999</v>
      </c>
      <c r="C2090" s="133"/>
      <c r="D2090" s="50">
        <f t="shared" si="32"/>
        <v>-1.6402651387484646E-2</v>
      </c>
      <c r="E2090" s="49"/>
    </row>
    <row r="2091" spans="1:5" ht="14.4">
      <c r="A2091" s="136">
        <v>41512</v>
      </c>
      <c r="B2091" s="137">
        <v>44.505000000000003</v>
      </c>
      <c r="C2091" s="133"/>
      <c r="D2091" s="50">
        <f t="shared" si="32"/>
        <v>1.2373453318335059E-3</v>
      </c>
      <c r="E2091" s="49"/>
    </row>
    <row r="2092" spans="1:5" ht="14.4">
      <c r="A2092" s="136">
        <v>41509</v>
      </c>
      <c r="B2092" s="137">
        <v>44.45</v>
      </c>
      <c r="C2092" s="133"/>
      <c r="D2092" s="50">
        <f t="shared" si="32"/>
        <v>1.0342084327764622E-2</v>
      </c>
      <c r="E2092" s="49"/>
    </row>
    <row r="2093" spans="1:5" ht="14.4">
      <c r="A2093" s="136">
        <v>41508</v>
      </c>
      <c r="B2093" s="137">
        <v>43.994999999999997</v>
      </c>
      <c r="C2093" s="133"/>
      <c r="D2093" s="50">
        <f t="shared" si="32"/>
        <v>1.2193719084320653E-2</v>
      </c>
      <c r="E2093" s="49"/>
    </row>
    <row r="2094" spans="1:5" ht="14.4">
      <c r="A2094" s="136">
        <v>41507</v>
      </c>
      <c r="B2094" s="137">
        <v>43.465000000000003</v>
      </c>
      <c r="C2094" s="133"/>
      <c r="D2094" s="50">
        <f t="shared" si="32"/>
        <v>-1.0810195721438154E-2</v>
      </c>
      <c r="E2094" s="49"/>
    </row>
    <row r="2095" spans="1:5" ht="14.4">
      <c r="A2095" s="136">
        <v>41506</v>
      </c>
      <c r="B2095" s="137">
        <v>43.94</v>
      </c>
      <c r="C2095" s="133"/>
      <c r="D2095" s="50">
        <f t="shared" si="32"/>
        <v>-2.0944741532976985E-2</v>
      </c>
      <c r="E2095" s="49"/>
    </row>
    <row r="2096" spans="1:5" ht="14.4">
      <c r="A2096" s="136">
        <v>41505</v>
      </c>
      <c r="B2096" s="137">
        <v>44.88</v>
      </c>
      <c r="C2096" s="133"/>
      <c r="D2096" s="50">
        <f t="shared" si="32"/>
        <v>-7.1894701913504111E-3</v>
      </c>
      <c r="E2096" s="49"/>
    </row>
    <row r="2097" spans="1:5" ht="14.4">
      <c r="A2097" s="136">
        <v>41502</v>
      </c>
      <c r="B2097" s="137">
        <v>45.204999999999998</v>
      </c>
      <c r="C2097" s="133"/>
      <c r="D2097" s="50">
        <f t="shared" si="32"/>
        <v>2.1059632010640428E-3</v>
      </c>
      <c r="E2097" s="49"/>
    </row>
    <row r="2098" spans="1:5" ht="14.4">
      <c r="A2098" s="136">
        <v>41501</v>
      </c>
      <c r="B2098" s="137">
        <v>45.11</v>
      </c>
      <c r="C2098" s="133"/>
      <c r="D2098" s="50">
        <f t="shared" si="32"/>
        <v>1.3318534961155315E-3</v>
      </c>
      <c r="E2098" s="49"/>
    </row>
    <row r="2099" spans="1:5" ht="14.4">
      <c r="A2099" s="136">
        <v>41500</v>
      </c>
      <c r="B2099" s="137">
        <v>45.05</v>
      </c>
      <c r="C2099" s="133"/>
      <c r="D2099" s="50">
        <f t="shared" si="32"/>
        <v>1.1336850376024055E-2</v>
      </c>
      <c r="E2099" s="49"/>
    </row>
    <row r="2100" spans="1:5" ht="14.4">
      <c r="A2100" s="136">
        <v>41499</v>
      </c>
      <c r="B2100" s="137">
        <v>44.545000000000002</v>
      </c>
      <c r="C2100" s="133"/>
      <c r="D2100" s="50">
        <f t="shared" si="32"/>
        <v>-8.789497107254074E-3</v>
      </c>
      <c r="E2100" s="49"/>
    </row>
    <row r="2101" spans="1:5" ht="14.4">
      <c r="A2101" s="136">
        <v>41498</v>
      </c>
      <c r="B2101" s="137">
        <v>44.94</v>
      </c>
      <c r="C2101" s="133"/>
      <c r="D2101" s="50">
        <f t="shared" si="32"/>
        <v>-2.2086824067022115E-2</v>
      </c>
      <c r="E2101" s="49"/>
    </row>
    <row r="2102" spans="1:5" ht="14.4">
      <c r="A2102" s="136">
        <v>41495</v>
      </c>
      <c r="B2102" s="137">
        <v>45.954999999999998</v>
      </c>
      <c r="C2102" s="133"/>
      <c r="D2102" s="50">
        <f t="shared" si="32"/>
        <v>2.7274710888065545E-3</v>
      </c>
      <c r="E2102" s="49"/>
    </row>
    <row r="2103" spans="1:5" ht="14.4">
      <c r="A2103" s="136">
        <v>41494</v>
      </c>
      <c r="B2103" s="137">
        <v>45.83</v>
      </c>
      <c r="C2103" s="133"/>
      <c r="D2103" s="50">
        <f t="shared" si="32"/>
        <v>4.6032441911443289E-3</v>
      </c>
      <c r="E2103" s="49"/>
    </row>
    <row r="2104" spans="1:5" ht="14.4">
      <c r="A2104" s="136">
        <v>41493</v>
      </c>
      <c r="B2104" s="137">
        <v>45.62</v>
      </c>
      <c r="C2104" s="133"/>
      <c r="D2104" s="50">
        <f t="shared" si="32"/>
        <v>4.7351613258450609E-3</v>
      </c>
      <c r="E2104" s="49"/>
    </row>
    <row r="2105" spans="1:5" ht="14.4">
      <c r="A2105" s="136">
        <v>41492</v>
      </c>
      <c r="B2105" s="137">
        <v>45.405000000000001</v>
      </c>
      <c r="C2105" s="133"/>
      <c r="D2105" s="50">
        <f t="shared" si="32"/>
        <v>1.3730743469524409E-2</v>
      </c>
      <c r="E2105" s="49"/>
    </row>
    <row r="2106" spans="1:5" ht="14.4">
      <c r="A2106" s="136">
        <v>41491</v>
      </c>
      <c r="B2106" s="137">
        <v>44.79</v>
      </c>
      <c r="C2106" s="133"/>
      <c r="D2106" s="50">
        <f t="shared" si="32"/>
        <v>-5.8817001442681427E-3</v>
      </c>
      <c r="E2106" s="49"/>
    </row>
    <row r="2107" spans="1:5" ht="14.4">
      <c r="A2107" s="136">
        <v>41488</v>
      </c>
      <c r="B2107" s="137">
        <v>45.055</v>
      </c>
      <c r="C2107" s="133"/>
      <c r="D2107" s="50">
        <f t="shared" si="32"/>
        <v>-4.8591938155714276E-3</v>
      </c>
      <c r="E2107" s="49"/>
    </row>
    <row r="2108" spans="1:5" ht="14.4">
      <c r="A2108" s="136">
        <v>41487</v>
      </c>
      <c r="B2108" s="137">
        <v>45.274999999999999</v>
      </c>
      <c r="C2108" s="133"/>
      <c r="D2108" s="50">
        <f t="shared" si="32"/>
        <v>8.6888715606550093E-3</v>
      </c>
      <c r="E2108" s="49"/>
    </row>
    <row r="2109" spans="1:5" ht="14.4">
      <c r="A2109" s="136">
        <v>41486</v>
      </c>
      <c r="B2109" s="137">
        <v>44.884999999999998</v>
      </c>
      <c r="C2109" s="133"/>
      <c r="D2109" s="50">
        <f t="shared" si="32"/>
        <v>1.3892026202846131E-2</v>
      </c>
      <c r="E2109" s="49"/>
    </row>
    <row r="2110" spans="1:5" ht="14.4">
      <c r="A2110" s="136">
        <v>41485</v>
      </c>
      <c r="B2110" s="137">
        <v>44.27</v>
      </c>
      <c r="C2110" s="133"/>
      <c r="D2110" s="50">
        <f t="shared" si="32"/>
        <v>-1.6912842485059532E-3</v>
      </c>
      <c r="E2110" s="49"/>
    </row>
    <row r="2111" spans="1:5" ht="14.4">
      <c r="A2111" s="136">
        <v>41484</v>
      </c>
      <c r="B2111" s="137">
        <v>44.344999999999999</v>
      </c>
      <c r="C2111" s="133"/>
      <c r="D2111" s="50">
        <f t="shared" si="32"/>
        <v>3.961965134706702E-3</v>
      </c>
      <c r="E2111" s="49"/>
    </row>
    <row r="2112" spans="1:5" ht="14.4">
      <c r="A2112" s="136">
        <v>41481</v>
      </c>
      <c r="B2112" s="137">
        <v>44.17</v>
      </c>
      <c r="C2112" s="133"/>
      <c r="D2112" s="50">
        <f t="shared" si="32"/>
        <v>1.6570771001150675E-2</v>
      </c>
      <c r="E2112" s="49"/>
    </row>
    <row r="2113" spans="1:5" ht="14.4">
      <c r="A2113" s="136">
        <v>41480</v>
      </c>
      <c r="B2113" s="137">
        <v>43.45</v>
      </c>
      <c r="C2113" s="133"/>
      <c r="D2113" s="50">
        <f t="shared" si="32"/>
        <v>2.6701323251417719E-2</v>
      </c>
      <c r="E2113" s="49"/>
    </row>
    <row r="2114" spans="1:5" ht="14.4">
      <c r="A2114" s="136">
        <v>41479</v>
      </c>
      <c r="B2114" s="137">
        <v>42.32</v>
      </c>
      <c r="C2114" s="133"/>
      <c r="D2114" s="50">
        <f t="shared" si="32"/>
        <v>2.1311863604074333E-3</v>
      </c>
      <c r="E2114" s="49"/>
    </row>
    <row r="2115" spans="1:5" ht="14.4">
      <c r="A2115" s="136">
        <v>41478</v>
      </c>
      <c r="B2115" s="137">
        <v>42.23</v>
      </c>
      <c r="C2115" s="133"/>
      <c r="D2115" s="50">
        <f t="shared" si="32"/>
        <v>-7.9868451961475628E-3</v>
      </c>
      <c r="E2115" s="49"/>
    </row>
    <row r="2116" spans="1:5" ht="14.4">
      <c r="A2116" s="136">
        <v>41477</v>
      </c>
      <c r="B2116" s="137">
        <v>42.57</v>
      </c>
      <c r="C2116" s="133"/>
      <c r="D2116" s="50">
        <f t="shared" si="32"/>
        <v>-1.6416510318949529E-3</v>
      </c>
      <c r="E2116" s="49"/>
    </row>
    <row r="2117" spans="1:5" ht="14.4">
      <c r="A2117" s="136">
        <v>41474</v>
      </c>
      <c r="B2117" s="137">
        <v>42.64</v>
      </c>
      <c r="C2117" s="133"/>
      <c r="D2117" s="50">
        <f t="shared" si="32"/>
        <v>1.0067511548027985E-2</v>
      </c>
      <c r="E2117" s="49"/>
    </row>
    <row r="2118" spans="1:5" ht="14.4">
      <c r="A2118" s="136">
        <v>41473</v>
      </c>
      <c r="B2118" s="137">
        <v>42.215000000000003</v>
      </c>
      <c r="C2118" s="133"/>
      <c r="D2118" s="50">
        <f t="shared" si="32"/>
        <v>1.3322131541046778E-2</v>
      </c>
      <c r="E2118" s="49"/>
    </row>
    <row r="2119" spans="1:5" ht="14.4">
      <c r="A2119" s="136">
        <v>41472</v>
      </c>
      <c r="B2119" s="137">
        <v>41.66</v>
      </c>
      <c r="C2119" s="133"/>
      <c r="D2119" s="50">
        <f t="shared" si="32"/>
        <v>8.4084084084068422E-4</v>
      </c>
      <c r="E2119" s="49"/>
    </row>
    <row r="2120" spans="1:5" ht="14.4">
      <c r="A2120" s="136">
        <v>41471</v>
      </c>
      <c r="B2120" s="137">
        <v>41.625</v>
      </c>
      <c r="C2120" s="133"/>
      <c r="D2120" s="50">
        <f t="shared" ref="D2120:D2183" si="33">(B2120-C2120)/B2121-1</f>
        <v>-5.1386233269599124E-3</v>
      </c>
      <c r="E2120" s="49"/>
    </row>
    <row r="2121" spans="1:5" ht="14.4">
      <c r="A2121" s="136">
        <v>41470</v>
      </c>
      <c r="B2121" s="137">
        <v>41.84</v>
      </c>
      <c r="C2121" s="133"/>
      <c r="D2121" s="50">
        <f t="shared" si="33"/>
        <v>1.3811485340440965E-2</v>
      </c>
      <c r="E2121" s="49"/>
    </row>
    <row r="2122" spans="1:5" ht="14.4">
      <c r="A2122" s="136">
        <v>41467</v>
      </c>
      <c r="B2122" s="137">
        <v>41.27</v>
      </c>
      <c r="C2122" s="133"/>
      <c r="D2122" s="50">
        <f t="shared" si="33"/>
        <v>-2.1760154738876825E-3</v>
      </c>
      <c r="E2122" s="49"/>
    </row>
    <row r="2123" spans="1:5" ht="14.4">
      <c r="A2123" s="136">
        <v>41466</v>
      </c>
      <c r="B2123" s="137">
        <v>41.36</v>
      </c>
      <c r="C2123" s="133"/>
      <c r="D2123" s="50">
        <f t="shared" si="33"/>
        <v>-3.6135870874487441E-3</v>
      </c>
      <c r="E2123" s="49"/>
    </row>
    <row r="2124" spans="1:5" ht="14.4">
      <c r="A2124" s="136">
        <v>41465</v>
      </c>
      <c r="B2124" s="137">
        <v>41.51</v>
      </c>
      <c r="C2124" s="133"/>
      <c r="D2124" s="50">
        <f t="shared" si="33"/>
        <v>-5.1527860994607932E-3</v>
      </c>
      <c r="E2124" s="49"/>
    </row>
    <row r="2125" spans="1:5" ht="14.4">
      <c r="A2125" s="136">
        <v>41464</v>
      </c>
      <c r="B2125" s="137">
        <v>41.725000000000001</v>
      </c>
      <c r="C2125" s="133"/>
      <c r="D2125" s="50">
        <f t="shared" si="33"/>
        <v>1.5602496399425014E-3</v>
      </c>
      <c r="E2125" s="49"/>
    </row>
    <row r="2126" spans="1:5" ht="14.4">
      <c r="A2126" s="136">
        <v>41463</v>
      </c>
      <c r="B2126" s="137">
        <v>41.66</v>
      </c>
      <c r="C2126" s="133"/>
      <c r="D2126" s="50">
        <f t="shared" si="33"/>
        <v>1.116504854368916E-2</v>
      </c>
      <c r="E2126" s="49"/>
    </row>
    <row r="2127" spans="1:5" ht="14.4">
      <c r="A2127" s="136">
        <v>41460</v>
      </c>
      <c r="B2127" s="137">
        <v>41.2</v>
      </c>
      <c r="C2127" s="133"/>
      <c r="D2127" s="50">
        <f t="shared" si="33"/>
        <v>-1.1990407673860948E-2</v>
      </c>
      <c r="E2127" s="49"/>
    </row>
    <row r="2128" spans="1:5" ht="14.4">
      <c r="A2128" s="136">
        <v>41459</v>
      </c>
      <c r="B2128" s="137">
        <v>41.7</v>
      </c>
      <c r="C2128" s="133"/>
      <c r="D2128" s="50">
        <f t="shared" si="33"/>
        <v>3.6411084876351474E-2</v>
      </c>
      <c r="E2128" s="49"/>
    </row>
    <row r="2129" spans="1:5" ht="14.4">
      <c r="A2129" s="136">
        <v>41458</v>
      </c>
      <c r="B2129" s="137">
        <v>40.234999999999999</v>
      </c>
      <c r="C2129" s="133"/>
      <c r="D2129" s="50">
        <f t="shared" si="33"/>
        <v>-1.360627604805098E-2</v>
      </c>
      <c r="E2129" s="49"/>
    </row>
    <row r="2130" spans="1:5" ht="14.4">
      <c r="A2130" s="136">
        <v>41457</v>
      </c>
      <c r="B2130" s="137">
        <v>40.79</v>
      </c>
      <c r="C2130" s="133"/>
      <c r="D2130" s="50">
        <f t="shared" si="33"/>
        <v>-1.0191701043436141E-2</v>
      </c>
      <c r="E2130" s="49"/>
    </row>
    <row r="2131" spans="1:5" ht="14.4">
      <c r="A2131" s="136">
        <v>41456</v>
      </c>
      <c r="B2131" s="137">
        <v>41.21</v>
      </c>
      <c r="C2131" s="133"/>
      <c r="D2131" s="50">
        <f t="shared" si="33"/>
        <v>3.5309874589066759E-3</v>
      </c>
      <c r="E2131" s="49"/>
    </row>
    <row r="2132" spans="1:5" ht="14.4">
      <c r="A2132" s="136">
        <v>41453</v>
      </c>
      <c r="B2132" s="137">
        <v>41.064999999999998</v>
      </c>
      <c r="C2132" s="133"/>
      <c r="D2132" s="50">
        <f t="shared" si="33"/>
        <v>-1.1910490856593015E-2</v>
      </c>
      <c r="E2132" s="49"/>
    </row>
    <row r="2133" spans="1:5" ht="14.4">
      <c r="A2133" s="136">
        <v>41452</v>
      </c>
      <c r="B2133" s="137">
        <v>41.56</v>
      </c>
      <c r="C2133" s="133"/>
      <c r="D2133" s="50">
        <f t="shared" si="33"/>
        <v>4.5927000241721139E-3</v>
      </c>
      <c r="E2133" s="49"/>
    </row>
    <row r="2134" spans="1:5" ht="14.4">
      <c r="A2134" s="136">
        <v>41451</v>
      </c>
      <c r="B2134" s="137">
        <v>41.37</v>
      </c>
      <c r="C2134" s="133"/>
      <c r="D2134" s="50">
        <f t="shared" si="33"/>
        <v>1.5339305436249839E-2</v>
      </c>
      <c r="E2134" s="49"/>
    </row>
    <row r="2135" spans="1:5" ht="14.4">
      <c r="A2135" s="136">
        <v>41450</v>
      </c>
      <c r="B2135" s="137">
        <v>40.744999999999997</v>
      </c>
      <c r="C2135" s="133"/>
      <c r="D2135" s="50">
        <f t="shared" si="33"/>
        <v>2.8654380207018271E-2</v>
      </c>
      <c r="E2135" s="49"/>
    </row>
    <row r="2136" spans="1:5" ht="14.4">
      <c r="A2136" s="136">
        <v>41449</v>
      </c>
      <c r="B2136" s="137">
        <v>39.61</v>
      </c>
      <c r="C2136" s="133"/>
      <c r="D2136" s="50">
        <f t="shared" si="33"/>
        <v>-2.7975460122699358E-2</v>
      </c>
      <c r="E2136" s="49"/>
    </row>
    <row r="2137" spans="1:5" ht="14.4">
      <c r="A2137" s="136">
        <v>41446</v>
      </c>
      <c r="B2137" s="137">
        <v>40.75</v>
      </c>
      <c r="C2137" s="133"/>
      <c r="D2137" s="50">
        <f t="shared" si="33"/>
        <v>-1.2480310190233879E-2</v>
      </c>
      <c r="E2137" s="49"/>
    </row>
    <row r="2138" spans="1:5" ht="14.4">
      <c r="A2138" s="136">
        <v>41445</v>
      </c>
      <c r="B2138" s="137">
        <v>41.265000000000001</v>
      </c>
      <c r="C2138" s="133"/>
      <c r="D2138" s="50">
        <f t="shared" si="33"/>
        <v>-2.4583382578891366E-2</v>
      </c>
      <c r="E2138" s="49"/>
    </row>
    <row r="2139" spans="1:5" ht="14.4">
      <c r="A2139" s="136">
        <v>41444</v>
      </c>
      <c r="B2139" s="137">
        <v>42.305</v>
      </c>
      <c r="C2139" s="133"/>
      <c r="D2139" s="50">
        <f t="shared" si="33"/>
        <v>-1.9582850521436823E-2</v>
      </c>
      <c r="E2139" s="49"/>
    </row>
    <row r="2140" spans="1:5" ht="14.4">
      <c r="A2140" s="136">
        <v>41443</v>
      </c>
      <c r="B2140" s="137">
        <v>43.15</v>
      </c>
      <c r="C2140" s="133"/>
      <c r="D2140" s="50">
        <f t="shared" si="33"/>
        <v>3.4883720930232176E-3</v>
      </c>
      <c r="E2140" s="49"/>
    </row>
    <row r="2141" spans="1:5" ht="14.4">
      <c r="A2141" s="136">
        <v>41442</v>
      </c>
      <c r="B2141" s="137">
        <v>43</v>
      </c>
      <c r="C2141" s="133"/>
      <c r="D2141" s="50">
        <f t="shared" si="33"/>
        <v>3.7348272642390157E-3</v>
      </c>
      <c r="E2141" s="49"/>
    </row>
    <row r="2142" spans="1:5" ht="14.4">
      <c r="A2142" s="136">
        <v>41439</v>
      </c>
      <c r="B2142" s="137">
        <v>42.84</v>
      </c>
      <c r="C2142" s="133"/>
      <c r="D2142" s="50">
        <f t="shared" si="33"/>
        <v>-3.836763167073598E-3</v>
      </c>
      <c r="E2142" s="49"/>
    </row>
    <row r="2143" spans="1:5" ht="14.4">
      <c r="A2143" s="136">
        <v>41438</v>
      </c>
      <c r="B2143" s="137">
        <v>43.005000000000003</v>
      </c>
      <c r="C2143" s="133"/>
      <c r="D2143" s="50">
        <f t="shared" si="33"/>
        <v>2.3258518432389685E-4</v>
      </c>
      <c r="E2143" s="49"/>
    </row>
    <row r="2144" spans="1:5" ht="14.4">
      <c r="A2144" s="136">
        <v>41437</v>
      </c>
      <c r="B2144" s="137">
        <v>42.994999999999997</v>
      </c>
      <c r="C2144" s="133"/>
      <c r="D2144" s="50">
        <f t="shared" si="33"/>
        <v>1.5589937404039134E-2</v>
      </c>
      <c r="E2144" s="49"/>
    </row>
    <row r="2145" spans="1:5" ht="14.4">
      <c r="A2145" s="136">
        <v>41436</v>
      </c>
      <c r="B2145" s="137">
        <v>42.335000000000001</v>
      </c>
      <c r="C2145" s="133"/>
      <c r="D2145" s="50">
        <f t="shared" si="33"/>
        <v>-1.5694024645431237E-2</v>
      </c>
      <c r="E2145" s="49"/>
    </row>
    <row r="2146" spans="1:5" ht="14.4">
      <c r="A2146" s="136">
        <v>41435</v>
      </c>
      <c r="B2146" s="137">
        <v>43.01</v>
      </c>
      <c r="C2146" s="133"/>
      <c r="D2146" s="50">
        <f t="shared" si="33"/>
        <v>-9.5567069660333903E-3</v>
      </c>
      <c r="E2146" s="49"/>
    </row>
    <row r="2147" spans="1:5" ht="14.4">
      <c r="A2147" s="136">
        <v>41432</v>
      </c>
      <c r="B2147" s="137">
        <v>43.424999999999997</v>
      </c>
      <c r="C2147" s="133"/>
      <c r="D2147" s="50">
        <f t="shared" si="33"/>
        <v>3.59017175572518E-2</v>
      </c>
      <c r="E2147" s="49"/>
    </row>
    <row r="2148" spans="1:5" ht="14.4">
      <c r="A2148" s="136">
        <v>41431</v>
      </c>
      <c r="B2148" s="137">
        <v>41.92</v>
      </c>
      <c r="C2148" s="133"/>
      <c r="D2148" s="50">
        <f t="shared" si="33"/>
        <v>-1.2368948050418105E-2</v>
      </c>
      <c r="E2148" s="49"/>
    </row>
    <row r="2149" spans="1:5" ht="14.4">
      <c r="A2149" s="136">
        <v>41430</v>
      </c>
      <c r="B2149" s="137">
        <v>42.445</v>
      </c>
      <c r="C2149" s="133"/>
      <c r="D2149" s="50">
        <f t="shared" si="33"/>
        <v>-2.0311598384304741E-2</v>
      </c>
      <c r="E2149" s="49"/>
    </row>
    <row r="2150" spans="1:5" ht="14.4">
      <c r="A2150" s="136">
        <v>41429</v>
      </c>
      <c r="B2150" s="137">
        <v>43.325000000000003</v>
      </c>
      <c r="C2150" s="133"/>
      <c r="D2150" s="50">
        <f t="shared" si="33"/>
        <v>-1.3829664630631289E-3</v>
      </c>
      <c r="E2150" s="49"/>
    </row>
    <row r="2151" spans="1:5" ht="14.4">
      <c r="A2151" s="136">
        <v>41428</v>
      </c>
      <c r="B2151" s="137">
        <v>43.384999999999998</v>
      </c>
      <c r="C2151" s="133"/>
      <c r="D2151" s="50">
        <f t="shared" si="33"/>
        <v>-2.3959505061867392E-2</v>
      </c>
      <c r="E2151" s="49"/>
    </row>
    <row r="2152" spans="1:5" ht="14.4">
      <c r="A2152" s="136">
        <v>41425</v>
      </c>
      <c r="B2152" s="137">
        <v>44.45</v>
      </c>
      <c r="C2152" s="133"/>
      <c r="D2152" s="50">
        <f t="shared" si="33"/>
        <v>4.6332918973897019E-3</v>
      </c>
      <c r="E2152" s="49"/>
    </row>
    <row r="2153" spans="1:5" ht="14.4">
      <c r="A2153" s="136">
        <v>41424</v>
      </c>
      <c r="B2153" s="137">
        <v>44.244999999999997</v>
      </c>
      <c r="C2153" s="133"/>
      <c r="D2153" s="50">
        <f t="shared" si="33"/>
        <v>1.0180995475110866E-3</v>
      </c>
      <c r="E2153" s="49"/>
    </row>
    <row r="2154" spans="1:5" ht="14.4">
      <c r="A2154" s="136">
        <v>41423</v>
      </c>
      <c r="B2154" s="137">
        <v>44.2</v>
      </c>
      <c r="C2154" s="133"/>
      <c r="D2154" s="50">
        <f t="shared" si="33"/>
        <v>9.1324200913243114E-3</v>
      </c>
      <c r="E2154" s="49"/>
    </row>
    <row r="2155" spans="1:5" ht="14.4">
      <c r="A2155" s="136">
        <v>41422</v>
      </c>
      <c r="B2155" s="137">
        <v>43.8</v>
      </c>
      <c r="C2155" s="133"/>
      <c r="D2155" s="50">
        <f t="shared" si="33"/>
        <v>2.8289705364479278E-2</v>
      </c>
      <c r="E2155" s="49"/>
    </row>
    <row r="2156" spans="1:5" ht="14.4">
      <c r="A2156" s="136">
        <v>41421</v>
      </c>
      <c r="B2156" s="137">
        <v>42.594999999999999</v>
      </c>
      <c r="C2156" s="133"/>
      <c r="D2156" s="50">
        <f t="shared" si="33"/>
        <v>1.6460905349793276E-3</v>
      </c>
      <c r="E2156" s="49"/>
    </row>
    <row r="2157" spans="1:5" ht="14.4">
      <c r="A2157" s="136">
        <v>41418</v>
      </c>
      <c r="B2157" s="137">
        <v>42.524999999999999</v>
      </c>
      <c r="C2157" s="133"/>
      <c r="D2157" s="50">
        <f t="shared" si="33"/>
        <v>1.2018086625416258E-2</v>
      </c>
      <c r="E2157" s="49"/>
    </row>
    <row r="2158" spans="1:5" ht="14.4">
      <c r="A2158" s="136">
        <v>41417</v>
      </c>
      <c r="B2158" s="137">
        <v>42.02</v>
      </c>
      <c r="C2158" s="133"/>
      <c r="D2158" s="50">
        <f t="shared" si="33"/>
        <v>-2.5058004640371223E-2</v>
      </c>
      <c r="E2158" s="49"/>
    </row>
    <row r="2159" spans="1:5" ht="14.4">
      <c r="A2159" s="136">
        <v>41416</v>
      </c>
      <c r="B2159" s="137">
        <v>43.1</v>
      </c>
      <c r="C2159" s="133"/>
      <c r="D2159" s="50">
        <f t="shared" si="33"/>
        <v>5.8038305281482572E-4</v>
      </c>
      <c r="E2159" s="49"/>
    </row>
    <row r="2160" spans="1:5" ht="14.4">
      <c r="A2160" s="136">
        <v>41415</v>
      </c>
      <c r="B2160" s="137">
        <v>43.075000000000003</v>
      </c>
      <c r="C2160" s="133"/>
      <c r="D2160" s="50">
        <f t="shared" si="33"/>
        <v>-2.0850225877445672E-3</v>
      </c>
      <c r="E2160" s="49"/>
    </row>
    <row r="2161" spans="1:5" ht="14.4">
      <c r="A2161" s="136">
        <v>41414</v>
      </c>
      <c r="B2161" s="137">
        <v>43.164999999999999</v>
      </c>
      <c r="C2161" s="133"/>
      <c r="D2161" s="50">
        <f t="shared" si="33"/>
        <v>-3.1177829099306997E-3</v>
      </c>
      <c r="E2161" s="49"/>
    </row>
    <row r="2162" spans="1:5" ht="14.4">
      <c r="A2162" s="136">
        <v>41411</v>
      </c>
      <c r="B2162" s="137">
        <v>43.3</v>
      </c>
      <c r="C2162" s="133"/>
      <c r="D2162" s="50">
        <f t="shared" si="33"/>
        <v>0</v>
      </c>
      <c r="E2162" s="49"/>
    </row>
    <row r="2163" spans="1:5" ht="14.4">
      <c r="A2163" s="136">
        <v>41410</v>
      </c>
      <c r="B2163" s="137">
        <v>43.3</v>
      </c>
      <c r="C2163" s="133"/>
      <c r="D2163" s="50">
        <f t="shared" si="33"/>
        <v>4.2908500521858794E-3</v>
      </c>
      <c r="E2163" s="49"/>
    </row>
    <row r="2164" spans="1:5" ht="14.4">
      <c r="A2164" s="136">
        <v>41409</v>
      </c>
      <c r="B2164" s="137">
        <v>43.115000000000002</v>
      </c>
      <c r="C2164" s="133"/>
      <c r="D2164" s="50">
        <f t="shared" si="33"/>
        <v>1.5904806786050996E-2</v>
      </c>
      <c r="E2164" s="49"/>
    </row>
    <row r="2165" spans="1:5" ht="14.4">
      <c r="A2165" s="136">
        <v>41408</v>
      </c>
      <c r="B2165" s="137">
        <v>42.44</v>
      </c>
      <c r="C2165" s="133"/>
      <c r="D2165" s="50">
        <f t="shared" si="33"/>
        <v>3.0097087378640586E-2</v>
      </c>
      <c r="E2165" s="49"/>
    </row>
    <row r="2166" spans="1:5" ht="14.4">
      <c r="A2166" s="136">
        <v>41407</v>
      </c>
      <c r="B2166" s="137">
        <v>41.2</v>
      </c>
      <c r="C2166" s="133"/>
      <c r="D2166" s="50">
        <f t="shared" si="33"/>
        <v>-7.4680799807274045E-3</v>
      </c>
      <c r="E2166" s="49"/>
    </row>
    <row r="2167" spans="1:5" ht="14.4">
      <c r="A2167" s="136">
        <v>41404</v>
      </c>
      <c r="B2167" s="137">
        <v>41.51</v>
      </c>
      <c r="C2167" s="133"/>
      <c r="D2167" s="50">
        <f t="shared" si="33"/>
        <v>4.2337002540220325E-3</v>
      </c>
      <c r="E2167" s="49"/>
    </row>
    <row r="2168" spans="1:5" ht="14.4">
      <c r="A2168" s="136">
        <v>41403</v>
      </c>
      <c r="B2168" s="137">
        <v>41.335000000000001</v>
      </c>
      <c r="C2168" s="133"/>
      <c r="D2168" s="50">
        <f t="shared" si="33"/>
        <v>2.0606060606060961E-3</v>
      </c>
      <c r="E2168" s="49"/>
    </row>
    <row r="2169" spans="1:5" ht="14.4">
      <c r="A2169" s="136">
        <v>41402</v>
      </c>
      <c r="B2169" s="137">
        <v>41.25</v>
      </c>
      <c r="C2169" s="133"/>
      <c r="D2169" s="50">
        <f t="shared" si="33"/>
        <v>1.2891344383056946E-2</v>
      </c>
      <c r="E2169" s="49"/>
    </row>
    <row r="2170" spans="1:5" ht="14.4">
      <c r="A2170" s="136">
        <v>41401</v>
      </c>
      <c r="B2170" s="137">
        <v>40.725000000000001</v>
      </c>
      <c r="C2170" s="133"/>
      <c r="D2170" s="50">
        <f t="shared" si="33"/>
        <v>0</v>
      </c>
      <c r="E2170" s="49"/>
    </row>
    <row r="2171" spans="1:5" ht="14.4">
      <c r="A2171" s="136">
        <v>41400</v>
      </c>
      <c r="B2171" s="137">
        <v>40.725000000000001</v>
      </c>
      <c r="C2171" s="133"/>
      <c r="D2171" s="50">
        <f t="shared" si="33"/>
        <v>-3.0599755201958789E-3</v>
      </c>
      <c r="E2171" s="49"/>
    </row>
    <row r="2172" spans="1:5" ht="14.4">
      <c r="A2172" s="136">
        <v>41397</v>
      </c>
      <c r="B2172" s="137">
        <v>40.85</v>
      </c>
      <c r="C2172" s="133"/>
      <c r="D2172" s="50">
        <f t="shared" si="33"/>
        <v>1.2266138025027962E-2</v>
      </c>
      <c r="E2172" s="49"/>
    </row>
    <row r="2173" spans="1:5" ht="14.4">
      <c r="A2173" s="136">
        <v>41396</v>
      </c>
      <c r="B2173" s="137">
        <v>40.354999999999997</v>
      </c>
      <c r="C2173" s="133"/>
      <c r="D2173" s="50">
        <f t="shared" si="33"/>
        <v>6.2336367036528451E-3</v>
      </c>
      <c r="E2173" s="49"/>
    </row>
    <row r="2174" spans="1:5" ht="14.4">
      <c r="A2174" s="136">
        <v>41394</v>
      </c>
      <c r="B2174" s="137">
        <v>40.104999999999997</v>
      </c>
      <c r="C2174" s="133"/>
      <c r="D2174" s="50">
        <f t="shared" si="33"/>
        <v>6.0203185751912525E-3</v>
      </c>
      <c r="E2174" s="49"/>
    </row>
    <row r="2175" spans="1:5" ht="14.4">
      <c r="A2175" s="136">
        <v>41393</v>
      </c>
      <c r="B2175" s="137">
        <v>39.865000000000002</v>
      </c>
      <c r="C2175" s="133"/>
      <c r="D2175" s="50">
        <f t="shared" si="33"/>
        <v>-3.3749999999999059E-3</v>
      </c>
      <c r="E2175" s="49"/>
    </row>
    <row r="2176" spans="1:5" ht="14.4">
      <c r="A2176" s="136">
        <v>41390</v>
      </c>
      <c r="B2176" s="137">
        <v>40</v>
      </c>
      <c r="C2176" s="133"/>
      <c r="D2176" s="50">
        <f t="shared" si="33"/>
        <v>-1.5990159901599021E-2</v>
      </c>
      <c r="E2176" s="49"/>
    </row>
    <row r="2177" spans="1:5" ht="14.4">
      <c r="A2177" s="136">
        <v>41389</v>
      </c>
      <c r="B2177" s="137">
        <v>40.65</v>
      </c>
      <c r="C2177" s="133"/>
      <c r="D2177" s="50">
        <f t="shared" si="33"/>
        <v>-6.3554143241261185E-3</v>
      </c>
      <c r="E2177" s="49"/>
    </row>
    <row r="2178" spans="1:5" ht="14.4">
      <c r="A2178" s="136">
        <v>41388</v>
      </c>
      <c r="B2178" s="137">
        <v>40.909999999999997</v>
      </c>
      <c r="C2178" s="133"/>
      <c r="D2178" s="50">
        <f t="shared" si="33"/>
        <v>7.2633263572570161E-3</v>
      </c>
      <c r="E2178" s="49"/>
    </row>
    <row r="2179" spans="1:5" ht="14.4">
      <c r="A2179" s="136">
        <v>41387</v>
      </c>
      <c r="B2179" s="137">
        <v>40.615000000000002</v>
      </c>
      <c r="C2179" s="133"/>
      <c r="D2179" s="50">
        <f t="shared" si="33"/>
        <v>3.0968397004695891E-2</v>
      </c>
      <c r="E2179" s="49"/>
    </row>
    <row r="2180" spans="1:5" ht="14.4">
      <c r="A2180" s="136">
        <v>41386</v>
      </c>
      <c r="B2180" s="137">
        <v>39.395000000000003</v>
      </c>
      <c r="C2180" s="133"/>
      <c r="D2180" s="50">
        <f t="shared" si="33"/>
        <v>-1.3398447282744752E-2</v>
      </c>
      <c r="E2180" s="49"/>
    </row>
    <row r="2181" spans="1:5" ht="14.4">
      <c r="A2181" s="136">
        <v>41383</v>
      </c>
      <c r="B2181" s="137">
        <v>39.93</v>
      </c>
      <c r="C2181" s="133"/>
      <c r="D2181" s="50">
        <f t="shared" si="33"/>
        <v>2.92563474674572E-2</v>
      </c>
      <c r="E2181" s="49"/>
    </row>
    <row r="2182" spans="1:5" ht="14.4">
      <c r="A2182" s="136">
        <v>41382</v>
      </c>
      <c r="B2182" s="137">
        <v>38.795000000000002</v>
      </c>
      <c r="C2182" s="133"/>
      <c r="D2182" s="50">
        <f t="shared" si="33"/>
        <v>-5.2564102564102155E-3</v>
      </c>
      <c r="E2182" s="49"/>
    </row>
    <row r="2183" spans="1:5" ht="14.4">
      <c r="A2183" s="136">
        <v>41381</v>
      </c>
      <c r="B2183" s="137">
        <v>39</v>
      </c>
      <c r="C2183" s="133"/>
      <c r="D2183" s="50">
        <f t="shared" si="33"/>
        <v>4.85280279607474E-2</v>
      </c>
      <c r="E2183" s="49"/>
    </row>
    <row r="2184" spans="1:5" ht="14.4">
      <c r="A2184" s="136">
        <v>41380</v>
      </c>
      <c r="B2184" s="137">
        <v>37.195</v>
      </c>
      <c r="C2184" s="133"/>
      <c r="D2184" s="50">
        <f t="shared" ref="D2184:D2247" si="34">(B2184-C2184)/B2185-1</f>
        <v>-8.2655645913878306E-3</v>
      </c>
      <c r="E2184" s="49"/>
    </row>
    <row r="2185" spans="1:5" ht="14.4">
      <c r="A2185" s="136">
        <v>41379</v>
      </c>
      <c r="B2185" s="137">
        <v>37.505000000000003</v>
      </c>
      <c r="C2185" s="133"/>
      <c r="D2185" s="50">
        <f t="shared" si="34"/>
        <v>-3.9835347231442775E-3</v>
      </c>
      <c r="E2185" s="49"/>
    </row>
    <row r="2186" spans="1:5" ht="14.4">
      <c r="A2186" s="136">
        <v>41376</v>
      </c>
      <c r="B2186" s="137">
        <v>37.655000000000001</v>
      </c>
      <c r="C2186" s="133"/>
      <c r="D2186" s="50">
        <f t="shared" si="34"/>
        <v>-1.889004689942686E-2</v>
      </c>
      <c r="E2186" s="49"/>
    </row>
    <row r="2187" spans="1:5" ht="14.4">
      <c r="A2187" s="136">
        <v>41375</v>
      </c>
      <c r="B2187" s="137">
        <v>38.380000000000003</v>
      </c>
      <c r="C2187" s="133"/>
      <c r="D2187" s="50">
        <f t="shared" si="34"/>
        <v>-2.4691358024691024E-3</v>
      </c>
      <c r="E2187" s="49"/>
    </row>
    <row r="2188" spans="1:5" ht="14.4">
      <c r="A2188" s="136">
        <v>41374</v>
      </c>
      <c r="B2188" s="137">
        <v>38.475000000000001</v>
      </c>
      <c r="C2188" s="133"/>
      <c r="D2188" s="50">
        <f t="shared" si="34"/>
        <v>2.3271276595744572E-2</v>
      </c>
      <c r="E2188" s="49"/>
    </row>
    <row r="2189" spans="1:5" ht="14.4">
      <c r="A2189" s="136">
        <v>41373</v>
      </c>
      <c r="B2189" s="137">
        <v>37.6</v>
      </c>
      <c r="C2189" s="133"/>
      <c r="D2189" s="50">
        <f t="shared" si="34"/>
        <v>-2.8674761043657959E-2</v>
      </c>
      <c r="E2189" s="49"/>
    </row>
    <row r="2190" spans="1:5" ht="14.4">
      <c r="A2190" s="136">
        <v>41372</v>
      </c>
      <c r="B2190" s="137">
        <v>38.71</v>
      </c>
      <c r="C2190" s="133"/>
      <c r="D2190" s="50">
        <f t="shared" si="34"/>
        <v>1.1233019853709392E-2</v>
      </c>
      <c r="E2190" s="49"/>
    </row>
    <row r="2191" spans="1:5" ht="14.4">
      <c r="A2191" s="136">
        <v>41369</v>
      </c>
      <c r="B2191" s="137">
        <v>38.28</v>
      </c>
      <c r="C2191" s="133"/>
      <c r="D2191" s="50">
        <f t="shared" si="34"/>
        <v>-2.4713375796178272E-2</v>
      </c>
      <c r="E2191" s="49"/>
    </row>
    <row r="2192" spans="1:5" ht="14.4">
      <c r="A2192" s="136">
        <v>41368</v>
      </c>
      <c r="B2192" s="137">
        <v>39.25</v>
      </c>
      <c r="C2192" s="133"/>
      <c r="D2192" s="50">
        <f t="shared" si="34"/>
        <v>-2.6899714887814619E-2</v>
      </c>
      <c r="E2192" s="49"/>
    </row>
    <row r="2193" spans="1:5" ht="14.4">
      <c r="A2193" s="136">
        <v>41367</v>
      </c>
      <c r="B2193" s="137">
        <v>40.335000000000001</v>
      </c>
      <c r="C2193" s="133"/>
      <c r="D2193" s="50">
        <f t="shared" si="34"/>
        <v>-1.8971178402043098E-2</v>
      </c>
      <c r="E2193" s="49"/>
    </row>
    <row r="2194" spans="1:5" ht="14.4">
      <c r="A2194" s="136">
        <v>41366</v>
      </c>
      <c r="B2194" s="137">
        <v>41.115000000000002</v>
      </c>
      <c r="C2194" s="133"/>
      <c r="D2194" s="50">
        <f t="shared" si="34"/>
        <v>3.5642317380352617E-2</v>
      </c>
      <c r="E2194" s="49"/>
    </row>
    <row r="2195" spans="1:5" ht="14.4">
      <c r="A2195" s="136">
        <v>41361</v>
      </c>
      <c r="B2195" s="137">
        <v>39.700000000000003</v>
      </c>
      <c r="C2195" s="133"/>
      <c r="D2195" s="50">
        <f t="shared" si="34"/>
        <v>8.8239001638723558E-4</v>
      </c>
      <c r="E2195" s="49"/>
    </row>
    <row r="2196" spans="1:5" ht="14.4">
      <c r="A2196" s="136">
        <v>41360</v>
      </c>
      <c r="B2196" s="137">
        <v>39.664999999999999</v>
      </c>
      <c r="C2196" s="133"/>
      <c r="D2196" s="50">
        <f t="shared" si="34"/>
        <v>-3.078802687843607E-2</v>
      </c>
      <c r="E2196" s="49"/>
    </row>
    <row r="2197" spans="1:5" ht="14.4">
      <c r="A2197" s="136">
        <v>41359</v>
      </c>
      <c r="B2197" s="137">
        <v>40.924999999999997</v>
      </c>
      <c r="C2197" s="133"/>
      <c r="D2197" s="50">
        <f t="shared" si="34"/>
        <v>-1.2784947533470037E-2</v>
      </c>
      <c r="E2197" s="49"/>
    </row>
    <row r="2198" spans="1:5" ht="14.4">
      <c r="A2198" s="136">
        <v>41358</v>
      </c>
      <c r="B2198" s="137">
        <v>41.454999999999998</v>
      </c>
      <c r="C2198" s="133"/>
      <c r="D2198" s="50">
        <f t="shared" si="34"/>
        <v>2.5392986698911102E-3</v>
      </c>
      <c r="E2198" s="49"/>
    </row>
    <row r="2199" spans="1:5" ht="14.4">
      <c r="A2199" s="136">
        <v>41355</v>
      </c>
      <c r="B2199" s="137">
        <v>41.35</v>
      </c>
      <c r="C2199" s="133"/>
      <c r="D2199" s="50">
        <f t="shared" si="34"/>
        <v>1.7470472440944906E-2</v>
      </c>
      <c r="E2199" s="49"/>
    </row>
    <row r="2200" spans="1:5" ht="14.4">
      <c r="A2200" s="136">
        <v>41354</v>
      </c>
      <c r="B2200" s="137">
        <v>40.64</v>
      </c>
      <c r="C2200" s="133"/>
      <c r="D2200" s="50">
        <f t="shared" si="34"/>
        <v>-1.7289324144601492E-2</v>
      </c>
      <c r="E2200" s="49"/>
    </row>
    <row r="2201" spans="1:5" ht="14.4">
      <c r="A2201" s="136">
        <v>41353</v>
      </c>
      <c r="B2201" s="137">
        <v>41.354999999999997</v>
      </c>
      <c r="C2201" s="133"/>
      <c r="D2201" s="50">
        <f t="shared" si="34"/>
        <v>-8.0355001199328147E-3</v>
      </c>
      <c r="E2201" s="49"/>
    </row>
    <row r="2202" spans="1:5" ht="14.4">
      <c r="A2202" s="136">
        <v>41352</v>
      </c>
      <c r="B2202" s="137">
        <v>41.69</v>
      </c>
      <c r="C2202" s="133"/>
      <c r="D2202" s="50">
        <f t="shared" si="34"/>
        <v>-8.5612366230677361E-3</v>
      </c>
      <c r="E2202" s="49"/>
    </row>
    <row r="2203" spans="1:5" ht="14.4">
      <c r="A2203" s="136">
        <v>41351</v>
      </c>
      <c r="B2203" s="137">
        <v>42.05</v>
      </c>
      <c r="C2203" s="133"/>
      <c r="D2203" s="50">
        <f t="shared" si="34"/>
        <v>-1.2563109075965806E-2</v>
      </c>
      <c r="E2203" s="49"/>
    </row>
    <row r="2204" spans="1:5" ht="14.4">
      <c r="A2204" s="136">
        <v>41348</v>
      </c>
      <c r="B2204" s="137">
        <v>42.585000000000001</v>
      </c>
      <c r="C2204" s="133"/>
      <c r="D2204" s="50">
        <f t="shared" si="34"/>
        <v>1.5258076051972935E-2</v>
      </c>
      <c r="E2204" s="49"/>
    </row>
    <row r="2205" spans="1:5" ht="14.4">
      <c r="A2205" s="136">
        <v>41347</v>
      </c>
      <c r="B2205" s="137">
        <v>41.945</v>
      </c>
      <c r="C2205" s="133"/>
      <c r="D2205" s="50">
        <f t="shared" si="34"/>
        <v>3.4688995215310658E-3</v>
      </c>
      <c r="E2205" s="49"/>
    </row>
    <row r="2206" spans="1:5" ht="14.4">
      <c r="A2206" s="136">
        <v>41346</v>
      </c>
      <c r="B2206" s="137">
        <v>41.8</v>
      </c>
      <c r="C2206" s="133"/>
      <c r="D2206" s="50">
        <f t="shared" si="34"/>
        <v>1.6660586160768487E-2</v>
      </c>
      <c r="E2206" s="49"/>
    </row>
    <row r="2207" spans="1:5" ht="14.4">
      <c r="A2207" s="136">
        <v>41345</v>
      </c>
      <c r="B2207" s="137">
        <v>41.115000000000002</v>
      </c>
      <c r="C2207" s="133"/>
      <c r="D2207" s="50">
        <f t="shared" si="34"/>
        <v>1.4684106614017756E-2</v>
      </c>
      <c r="E2207" s="49"/>
    </row>
    <row r="2208" spans="1:5" ht="14.4">
      <c r="A2208" s="136">
        <v>41344</v>
      </c>
      <c r="B2208" s="137">
        <v>40.520000000000003</v>
      </c>
      <c r="C2208" s="133"/>
      <c r="D2208" s="50">
        <f t="shared" si="34"/>
        <v>1.3000000000000123E-2</v>
      </c>
      <c r="E2208" s="49"/>
    </row>
    <row r="2209" spans="1:5" ht="14.4">
      <c r="A2209" s="136">
        <v>41341</v>
      </c>
      <c r="B2209" s="137">
        <v>40</v>
      </c>
      <c r="C2209" s="133"/>
      <c r="D2209" s="50">
        <f t="shared" si="34"/>
        <v>2.5006251562875725E-4</v>
      </c>
      <c r="E2209" s="49"/>
    </row>
    <row r="2210" spans="1:5" ht="14.4">
      <c r="A2210" s="136">
        <v>41340</v>
      </c>
      <c r="B2210" s="137">
        <v>39.99</v>
      </c>
      <c r="C2210" s="133"/>
      <c r="D2210" s="50">
        <f t="shared" si="34"/>
        <v>1.4073792316470213E-2</v>
      </c>
      <c r="E2210" s="49"/>
    </row>
    <row r="2211" spans="1:5" ht="14.4">
      <c r="A2211" s="136">
        <v>41339</v>
      </c>
      <c r="B2211" s="137">
        <v>39.435000000000002</v>
      </c>
      <c r="C2211" s="133"/>
      <c r="D2211" s="50">
        <f t="shared" si="34"/>
        <v>8.8832487309664643E-4</v>
      </c>
      <c r="E2211" s="49"/>
    </row>
    <row r="2212" spans="1:5" ht="14.4">
      <c r="A2212" s="136">
        <v>41338</v>
      </c>
      <c r="B2212" s="137">
        <v>39.4</v>
      </c>
      <c r="C2212" s="133"/>
      <c r="D2212" s="50">
        <f t="shared" si="34"/>
        <v>-1.253132832080206E-2</v>
      </c>
      <c r="E2212" s="49"/>
    </row>
    <row r="2213" spans="1:5" ht="14.4">
      <c r="A2213" s="136">
        <v>41337</v>
      </c>
      <c r="B2213" s="137">
        <v>39.9</v>
      </c>
      <c r="C2213" s="133"/>
      <c r="D2213" s="50">
        <f t="shared" si="34"/>
        <v>2.4390243902438824E-2</v>
      </c>
      <c r="E2213" s="49"/>
    </row>
    <row r="2214" spans="1:5" ht="14.4">
      <c r="A2214" s="136">
        <v>41334</v>
      </c>
      <c r="B2214" s="137">
        <v>38.950000000000003</v>
      </c>
      <c r="C2214" s="133"/>
      <c r="D2214" s="50">
        <f t="shared" si="34"/>
        <v>-5.8703420112301563E-3</v>
      </c>
      <c r="E2214" s="49"/>
    </row>
    <row r="2215" spans="1:5" ht="14.4">
      <c r="A2215" s="136">
        <v>41333</v>
      </c>
      <c r="B2215" s="137">
        <v>39.18</v>
      </c>
      <c r="C2215" s="133"/>
      <c r="D2215" s="50">
        <f t="shared" si="34"/>
        <v>5.4927302100161501E-2</v>
      </c>
      <c r="E2215" s="49"/>
    </row>
    <row r="2216" spans="1:5" ht="14.4">
      <c r="A2216" s="136">
        <v>41332</v>
      </c>
      <c r="B2216" s="137">
        <v>37.14</v>
      </c>
      <c r="C2216" s="133"/>
      <c r="D2216" s="50">
        <f t="shared" si="34"/>
        <v>6.5251685070988108E-2</v>
      </c>
      <c r="E2216" s="49"/>
    </row>
    <row r="2217" spans="1:5" ht="14.4">
      <c r="A2217" s="136">
        <v>41331</v>
      </c>
      <c r="B2217" s="137">
        <v>34.865000000000002</v>
      </c>
      <c r="C2217" s="133"/>
      <c r="D2217" s="50">
        <f t="shared" si="34"/>
        <v>-1.8992684299380946E-2</v>
      </c>
      <c r="E2217" s="49"/>
    </row>
    <row r="2218" spans="1:5" ht="14.4">
      <c r="A2218" s="136">
        <v>41330</v>
      </c>
      <c r="B2218" s="137">
        <v>35.54</v>
      </c>
      <c r="C2218" s="133"/>
      <c r="D2218" s="50">
        <f t="shared" si="34"/>
        <v>-9.7520200612984942E-3</v>
      </c>
      <c r="E2218" s="49"/>
    </row>
    <row r="2219" spans="1:5" ht="14.4">
      <c r="A2219" s="136">
        <v>41327</v>
      </c>
      <c r="B2219" s="137">
        <v>35.89</v>
      </c>
      <c r="C2219" s="133"/>
      <c r="D2219" s="50">
        <f t="shared" si="34"/>
        <v>1.6713881019830179E-2</v>
      </c>
      <c r="E2219" s="49"/>
    </row>
    <row r="2220" spans="1:5" ht="14.4">
      <c r="A2220" s="136">
        <v>41326</v>
      </c>
      <c r="B2220" s="137">
        <v>35.299999999999997</v>
      </c>
      <c r="C2220" s="133"/>
      <c r="D2220" s="50">
        <f t="shared" si="34"/>
        <v>-2.6206896551724257E-2</v>
      </c>
      <c r="E2220" s="49"/>
    </row>
    <row r="2221" spans="1:5" ht="14.4">
      <c r="A2221" s="136">
        <v>41325</v>
      </c>
      <c r="B2221" s="137">
        <v>36.25</v>
      </c>
      <c r="C2221" s="133"/>
      <c r="D2221" s="50">
        <f t="shared" si="34"/>
        <v>1.3702460850111953E-2</v>
      </c>
      <c r="E2221" s="49"/>
    </row>
    <row r="2222" spans="1:5" ht="14.4">
      <c r="A2222" s="136">
        <v>41324</v>
      </c>
      <c r="B2222" s="137">
        <v>35.76</v>
      </c>
      <c r="C2222" s="133"/>
      <c r="D2222" s="50">
        <f t="shared" si="34"/>
        <v>1.5909090909090873E-2</v>
      </c>
      <c r="E2222" s="49"/>
    </row>
    <row r="2223" spans="1:5" ht="14.4">
      <c r="A2223" s="136">
        <v>41323</v>
      </c>
      <c r="B2223" s="137">
        <v>35.200000000000003</v>
      </c>
      <c r="C2223" s="133"/>
      <c r="D2223" s="50">
        <f t="shared" si="34"/>
        <v>8.740507235993622E-3</v>
      </c>
      <c r="E2223" s="49"/>
    </row>
    <row r="2224" spans="1:5" ht="14.4">
      <c r="A2224" s="136">
        <v>41320</v>
      </c>
      <c r="B2224" s="137">
        <v>34.895000000000003</v>
      </c>
      <c r="C2224" s="133"/>
      <c r="D2224" s="50">
        <f t="shared" si="34"/>
        <v>2.8665615594114513E-4</v>
      </c>
      <c r="E2224" s="49"/>
    </row>
    <row r="2225" spans="1:5" ht="14.4">
      <c r="A2225" s="136">
        <v>41319</v>
      </c>
      <c r="B2225" s="137">
        <v>34.884999999999998</v>
      </c>
      <c r="C2225" s="133"/>
      <c r="D2225" s="50">
        <f t="shared" si="34"/>
        <v>-8.2444918265813794E-3</v>
      </c>
      <c r="E2225" s="49"/>
    </row>
    <row r="2226" spans="1:5" ht="14.4">
      <c r="A2226" s="136">
        <v>41318</v>
      </c>
      <c r="B2226" s="137">
        <v>35.174999999999997</v>
      </c>
      <c r="C2226" s="133"/>
      <c r="D2226" s="50">
        <f t="shared" si="34"/>
        <v>5.8621675722045907E-3</v>
      </c>
      <c r="E2226" s="49"/>
    </row>
    <row r="2227" spans="1:5" ht="14.4">
      <c r="A2227" s="136">
        <v>41317</v>
      </c>
      <c r="B2227" s="137">
        <v>34.97</v>
      </c>
      <c r="C2227" s="133"/>
      <c r="D2227" s="50">
        <f t="shared" si="34"/>
        <v>5.8967352222061287E-3</v>
      </c>
      <c r="E2227" s="49"/>
    </row>
    <row r="2228" spans="1:5" ht="14.4">
      <c r="A2228" s="136">
        <v>41316</v>
      </c>
      <c r="B2228" s="137">
        <v>34.765000000000001</v>
      </c>
      <c r="C2228" s="133"/>
      <c r="D2228" s="50">
        <f t="shared" si="34"/>
        <v>-7.98972749322302E-3</v>
      </c>
      <c r="E2228" s="49"/>
    </row>
    <row r="2229" spans="1:5" ht="14.4">
      <c r="A2229" s="136">
        <v>41313</v>
      </c>
      <c r="B2229" s="137">
        <v>35.045000000000002</v>
      </c>
      <c r="C2229" s="133"/>
      <c r="D2229" s="50">
        <f t="shared" si="34"/>
        <v>-7.3643959779067236E-3</v>
      </c>
      <c r="E2229" s="49"/>
    </row>
    <row r="2230" spans="1:5" ht="14.4">
      <c r="A2230" s="136">
        <v>41312</v>
      </c>
      <c r="B2230" s="137">
        <v>35.305</v>
      </c>
      <c r="C2230" s="133"/>
      <c r="D2230" s="50">
        <f t="shared" si="34"/>
        <v>1.378320172290004E-2</v>
      </c>
      <c r="E2230" s="49"/>
    </row>
    <row r="2231" spans="1:5" ht="14.4">
      <c r="A2231" s="136">
        <v>41311</v>
      </c>
      <c r="B2231" s="137">
        <v>34.825000000000003</v>
      </c>
      <c r="C2231" s="133"/>
      <c r="D2231" s="50">
        <f t="shared" si="34"/>
        <v>-3.1487047373693899E-3</v>
      </c>
      <c r="E2231" s="49"/>
    </row>
    <row r="2232" spans="1:5" ht="14.4">
      <c r="A2232" s="136">
        <v>41310</v>
      </c>
      <c r="B2232" s="137">
        <v>34.935000000000002</v>
      </c>
      <c r="C2232" s="133"/>
      <c r="D2232" s="50">
        <f t="shared" si="34"/>
        <v>3.3026995979323903E-3</v>
      </c>
      <c r="E2232" s="49"/>
    </row>
    <row r="2233" spans="1:5" ht="14.4">
      <c r="A2233" s="136">
        <v>41309</v>
      </c>
      <c r="B2233" s="137">
        <v>34.82</v>
      </c>
      <c r="C2233" s="133"/>
      <c r="D2233" s="50">
        <f t="shared" si="34"/>
        <v>-1.0514350667803263E-2</v>
      </c>
      <c r="E2233" s="49"/>
    </row>
    <row r="2234" spans="1:5" ht="14.4">
      <c r="A2234" s="136">
        <v>41306</v>
      </c>
      <c r="B2234" s="137">
        <v>35.19</v>
      </c>
      <c r="C2234" s="133"/>
      <c r="D2234" s="50">
        <f t="shared" si="34"/>
        <v>1.6905071521456483E-2</v>
      </c>
      <c r="E2234" s="49"/>
    </row>
    <row r="2235" spans="1:5" ht="14.4">
      <c r="A2235" s="136">
        <v>41305</v>
      </c>
      <c r="B2235" s="137">
        <v>34.604999999999997</v>
      </c>
      <c r="C2235" s="133"/>
      <c r="D2235" s="50">
        <f t="shared" si="34"/>
        <v>6.2518173887757822E-3</v>
      </c>
      <c r="E2235" s="49"/>
    </row>
    <row r="2236" spans="1:5" ht="14.4">
      <c r="A2236" s="136">
        <v>41304</v>
      </c>
      <c r="B2236" s="137">
        <v>34.39</v>
      </c>
      <c r="C2236" s="133"/>
      <c r="D2236" s="50">
        <f t="shared" si="34"/>
        <v>-2.5779036827195401E-2</v>
      </c>
      <c r="E2236" s="49"/>
    </row>
    <row r="2237" spans="1:5" ht="14.4">
      <c r="A2237" s="136">
        <v>41303</v>
      </c>
      <c r="B2237" s="137">
        <v>35.299999999999997</v>
      </c>
      <c r="C2237" s="133"/>
      <c r="D2237" s="50">
        <f t="shared" si="34"/>
        <v>-1.2172939694977014E-2</v>
      </c>
      <c r="E2237" s="49"/>
    </row>
    <row r="2238" spans="1:5" ht="14.4">
      <c r="A2238" s="136">
        <v>41302</v>
      </c>
      <c r="B2238" s="137">
        <v>35.734999999999999</v>
      </c>
      <c r="C2238" s="133"/>
      <c r="D2238" s="50">
        <f t="shared" si="34"/>
        <v>2.7310622394710382E-2</v>
      </c>
      <c r="E2238" s="49"/>
    </row>
    <row r="2239" spans="1:5" ht="14.4">
      <c r="A2239" s="136">
        <v>41299</v>
      </c>
      <c r="B2239" s="137">
        <v>34.784999999999997</v>
      </c>
      <c r="C2239" s="133"/>
      <c r="D2239" s="50">
        <f t="shared" si="34"/>
        <v>2.8830906732015826E-3</v>
      </c>
      <c r="E2239" s="49"/>
    </row>
    <row r="2240" spans="1:5" ht="14.4">
      <c r="A2240" s="136">
        <v>41298</v>
      </c>
      <c r="B2240" s="137">
        <v>34.685000000000002</v>
      </c>
      <c r="C2240" s="133"/>
      <c r="D2240" s="50">
        <f t="shared" si="34"/>
        <v>-2.0140986908359082E-3</v>
      </c>
      <c r="E2240" s="49"/>
    </row>
    <row r="2241" spans="1:7" ht="14.4">
      <c r="A2241" s="136">
        <v>41297</v>
      </c>
      <c r="B2241" s="137">
        <v>34.755000000000003</v>
      </c>
      <c r="C2241" s="133"/>
      <c r="D2241" s="50">
        <f t="shared" si="34"/>
        <v>-6.9999999999998952E-3</v>
      </c>
      <c r="E2241" s="49"/>
    </row>
    <row r="2242" spans="1:7" ht="14.4">
      <c r="A2242" s="136">
        <v>41296</v>
      </c>
      <c r="B2242" s="137">
        <v>35</v>
      </c>
      <c r="C2242" s="133"/>
      <c r="D2242" s="50">
        <f t="shared" si="34"/>
        <v>2.011075488195857E-2</v>
      </c>
      <c r="E2242" s="49"/>
    </row>
    <row r="2243" spans="1:7" ht="14.4">
      <c r="A2243" s="136">
        <v>41295</v>
      </c>
      <c r="B2243" s="137">
        <v>34.31</v>
      </c>
      <c r="C2243" s="133"/>
      <c r="D2243" s="50">
        <f t="shared" si="34"/>
        <v>-8.3815028901733646E-3</v>
      </c>
      <c r="E2243" s="49"/>
    </row>
    <row r="2244" spans="1:7" ht="14.4">
      <c r="A2244" s="136">
        <v>41292</v>
      </c>
      <c r="B2244" s="137">
        <v>34.6</v>
      </c>
      <c r="C2244" s="133"/>
      <c r="D2244" s="50">
        <f t="shared" si="34"/>
        <v>2.6706231454005858E-2</v>
      </c>
      <c r="E2244" s="49"/>
    </row>
    <row r="2245" spans="1:7" ht="14.4">
      <c r="A2245" s="136">
        <v>41291</v>
      </c>
      <c r="B2245" s="137">
        <v>33.700000000000003</v>
      </c>
      <c r="C2245" s="133"/>
      <c r="D2245" s="50">
        <f t="shared" si="34"/>
        <v>3.9001079081239398E-2</v>
      </c>
      <c r="E2245" s="49"/>
    </row>
    <row r="2246" spans="1:7" ht="14.4">
      <c r="A2246" s="136">
        <v>41290</v>
      </c>
      <c r="B2246" s="137">
        <v>32.435000000000002</v>
      </c>
      <c r="C2246" s="133"/>
      <c r="D2246" s="50">
        <f t="shared" si="34"/>
        <v>9.0216207808369031E-3</v>
      </c>
      <c r="E2246" s="42"/>
      <c r="F2246" s="42"/>
      <c r="G2246" s="42"/>
    </row>
    <row r="2247" spans="1:7" ht="14.4">
      <c r="A2247" s="136">
        <v>41289</v>
      </c>
      <c r="B2247" s="137">
        <v>32.145000000000003</v>
      </c>
      <c r="C2247" s="133"/>
      <c r="D2247" s="50">
        <f t="shared" si="34"/>
        <v>-1.5552099533422403E-4</v>
      </c>
      <c r="E2247" s="42"/>
      <c r="F2247" s="42"/>
      <c r="G2247" s="42"/>
    </row>
    <row r="2248" spans="1:7" ht="14.4">
      <c r="A2248" s="136">
        <v>41288</v>
      </c>
      <c r="B2248" s="137">
        <v>32.15</v>
      </c>
      <c r="C2248" s="133"/>
      <c r="D2248" s="50">
        <f t="shared" ref="D2248:D2311" si="35">(B2248-C2248)/B2249-1</f>
        <v>-4.4898591113176067E-3</v>
      </c>
      <c r="E2248" s="42"/>
      <c r="F2248" s="42"/>
      <c r="G2248" s="42"/>
    </row>
    <row r="2249" spans="1:7" ht="14.4">
      <c r="A2249" s="136">
        <v>41285</v>
      </c>
      <c r="B2249" s="137">
        <v>32.295000000000002</v>
      </c>
      <c r="C2249" s="133"/>
      <c r="D2249" s="50">
        <f t="shared" si="35"/>
        <v>7.9588014981273325E-3</v>
      </c>
      <c r="E2249" s="42"/>
      <c r="F2249" s="42"/>
      <c r="G2249" s="42"/>
    </row>
    <row r="2250" spans="1:7" ht="14.4">
      <c r="A2250" s="136">
        <v>41284</v>
      </c>
      <c r="B2250" s="137">
        <v>32.04</v>
      </c>
      <c r="C2250" s="133"/>
      <c r="D2250" s="50">
        <f t="shared" si="35"/>
        <v>-2.6459143968872167E-3</v>
      </c>
      <c r="E2250" s="42"/>
      <c r="F2250" s="42"/>
      <c r="G2250" s="42"/>
    </row>
    <row r="2251" spans="1:7" ht="14.4">
      <c r="A2251" s="136">
        <v>41283</v>
      </c>
      <c r="B2251" s="137">
        <v>32.125</v>
      </c>
      <c r="C2251" s="133"/>
      <c r="D2251" s="50">
        <f t="shared" si="35"/>
        <v>3.8803556992724308E-2</v>
      </c>
      <c r="E2251" s="42"/>
      <c r="F2251" s="42"/>
      <c r="G2251" s="42"/>
    </row>
    <row r="2252" spans="1:7" ht="14.4">
      <c r="A2252" s="136">
        <v>41282</v>
      </c>
      <c r="B2252" s="137">
        <v>30.925000000000001</v>
      </c>
      <c r="C2252" s="133"/>
      <c r="D2252" s="50">
        <f t="shared" si="35"/>
        <v>5.6910569105690367E-3</v>
      </c>
      <c r="E2252" s="42"/>
      <c r="F2252" s="42"/>
      <c r="G2252" s="42"/>
    </row>
    <row r="2253" spans="1:7" ht="14.4">
      <c r="A2253" s="136">
        <v>41281</v>
      </c>
      <c r="B2253" s="137">
        <v>30.75</v>
      </c>
      <c r="C2253" s="133"/>
      <c r="D2253" s="50">
        <f t="shared" si="35"/>
        <v>-1.6233766233766378E-3</v>
      </c>
      <c r="E2253" s="42"/>
      <c r="F2253" s="42"/>
      <c r="G2253" s="42"/>
    </row>
    <row r="2254" spans="1:7" ht="14.4">
      <c r="A2254" s="136">
        <v>41278</v>
      </c>
      <c r="B2254" s="137">
        <v>30.8</v>
      </c>
      <c r="C2254" s="133"/>
      <c r="D2254" s="50">
        <f t="shared" si="35"/>
        <v>1.9867549668874274E-2</v>
      </c>
      <c r="E2254" s="42"/>
      <c r="F2254" s="42"/>
      <c r="G2254" s="42"/>
    </row>
    <row r="2255" spans="1:7" ht="14.4">
      <c r="A2255" s="136">
        <v>41277</v>
      </c>
      <c r="B2255" s="137">
        <v>30.2</v>
      </c>
      <c r="C2255" s="133"/>
      <c r="D2255" s="50">
        <f t="shared" si="35"/>
        <v>4.4902710793279788E-3</v>
      </c>
      <c r="E2255" s="42"/>
      <c r="F2255" s="42"/>
      <c r="G2255" s="42"/>
    </row>
    <row r="2256" spans="1:7" ht="14.4">
      <c r="A2256" s="136">
        <v>41276</v>
      </c>
      <c r="B2256" s="137">
        <v>30.065000000000001</v>
      </c>
      <c r="C2256" s="133"/>
      <c r="D2256" s="50">
        <f t="shared" si="35"/>
        <v>1.9152542372881332E-2</v>
      </c>
      <c r="E2256" s="42"/>
      <c r="F2256" s="42"/>
      <c r="G2256" s="42"/>
    </row>
    <row r="2257" spans="1:7" ht="14.4">
      <c r="A2257" s="138">
        <v>41274</v>
      </c>
      <c r="B2257" s="139">
        <v>29.5</v>
      </c>
      <c r="C2257" s="134">
        <v>0.6</v>
      </c>
      <c r="D2257" s="50">
        <f t="shared" si="35"/>
        <v>-1.6839598571185554E-2</v>
      </c>
      <c r="E2257" s="46"/>
      <c r="F2257" s="46"/>
      <c r="G2257" s="45" t="e">
        <v>#REF!</v>
      </c>
    </row>
    <row r="2258" spans="1:7" ht="14.4">
      <c r="A2258" s="136">
        <v>41271</v>
      </c>
      <c r="B2258" s="137">
        <v>29.395</v>
      </c>
      <c r="C2258" s="133"/>
      <c r="D2258" s="50">
        <f t="shared" si="35"/>
        <v>-8.098532141049497E-3</v>
      </c>
      <c r="E2258" s="42"/>
      <c r="F2258" s="42"/>
      <c r="G2258" s="42"/>
    </row>
    <row r="2259" spans="1:7" ht="14.4">
      <c r="A2259" s="136">
        <v>41270</v>
      </c>
      <c r="B2259" s="137">
        <v>29.635000000000002</v>
      </c>
      <c r="C2259" s="133"/>
      <c r="D2259" s="50">
        <f t="shared" si="35"/>
        <v>-4.2002688172042557E-3</v>
      </c>
      <c r="E2259" s="42"/>
      <c r="F2259" s="42"/>
      <c r="G2259" s="42"/>
    </row>
    <row r="2260" spans="1:7" ht="14.4">
      <c r="A2260" s="136">
        <v>41267</v>
      </c>
      <c r="B2260" s="137">
        <v>29.76</v>
      </c>
      <c r="C2260" s="133"/>
      <c r="D2260" s="50">
        <f t="shared" si="35"/>
        <v>-7.8346391065177157E-3</v>
      </c>
      <c r="E2260" s="42"/>
      <c r="F2260" s="42"/>
      <c r="G2260" s="42"/>
    </row>
    <row r="2261" spans="1:7" ht="14.4">
      <c r="A2261" s="136">
        <v>41264</v>
      </c>
      <c r="B2261" s="137">
        <v>29.995000000000001</v>
      </c>
      <c r="C2261" s="133"/>
      <c r="D2261" s="50">
        <f t="shared" si="35"/>
        <v>4.1848008034817141E-3</v>
      </c>
      <c r="E2261" s="42"/>
      <c r="F2261" s="42"/>
      <c r="G2261" s="42"/>
    </row>
    <row r="2262" spans="1:7" ht="14.4">
      <c r="A2262" s="136">
        <v>41263</v>
      </c>
      <c r="B2262" s="137">
        <v>29.87</v>
      </c>
      <c r="C2262" s="133"/>
      <c r="D2262" s="50">
        <f t="shared" si="35"/>
        <v>-4.3333333333333002E-3</v>
      </c>
      <c r="E2262" s="49"/>
    </row>
    <row r="2263" spans="1:7" ht="14.4">
      <c r="A2263" s="136">
        <v>41262</v>
      </c>
      <c r="B2263" s="137">
        <v>30</v>
      </c>
      <c r="C2263" s="133"/>
      <c r="D2263" s="50">
        <f t="shared" si="35"/>
        <v>4.5203415369161615E-3</v>
      </c>
      <c r="E2263" s="49"/>
    </row>
    <row r="2264" spans="1:7" ht="14.4">
      <c r="A2264" s="136">
        <v>41261</v>
      </c>
      <c r="B2264" s="137">
        <v>29.864999999999998</v>
      </c>
      <c r="C2264" s="133"/>
      <c r="D2264" s="50">
        <f t="shared" si="35"/>
        <v>2.5936104431466767E-2</v>
      </c>
      <c r="E2264" s="49"/>
    </row>
    <row r="2265" spans="1:7" ht="14.4">
      <c r="A2265" s="136">
        <v>41260</v>
      </c>
      <c r="B2265" s="137">
        <v>29.11</v>
      </c>
      <c r="C2265" s="133"/>
      <c r="D2265" s="50">
        <f t="shared" si="35"/>
        <v>6.5698478561548868E-3</v>
      </c>
      <c r="E2265" s="49"/>
    </row>
    <row r="2266" spans="1:7" ht="14.4">
      <c r="A2266" s="136">
        <v>41257</v>
      </c>
      <c r="B2266" s="137">
        <v>28.92</v>
      </c>
      <c r="C2266" s="133"/>
      <c r="D2266" s="50">
        <f t="shared" si="35"/>
        <v>-1.0943912448700299E-2</v>
      </c>
      <c r="E2266" s="49"/>
    </row>
    <row r="2267" spans="1:7" ht="14.4">
      <c r="A2267" s="136">
        <v>41256</v>
      </c>
      <c r="B2267" s="137">
        <v>29.24</v>
      </c>
      <c r="C2267" s="133"/>
      <c r="D2267" s="50">
        <f t="shared" si="35"/>
        <v>-5.7803468208093012E-3</v>
      </c>
      <c r="E2267" s="49"/>
    </row>
    <row r="2268" spans="1:7" ht="14.4">
      <c r="A2268" s="136">
        <v>41255</v>
      </c>
      <c r="B2268" s="137">
        <v>29.41</v>
      </c>
      <c r="C2268" s="133"/>
      <c r="D2268" s="50">
        <f t="shared" si="35"/>
        <v>1.5324365741529178E-3</v>
      </c>
      <c r="E2268" s="49"/>
    </row>
    <row r="2269" spans="1:7" ht="14.4">
      <c r="A2269" s="136">
        <v>41254</v>
      </c>
      <c r="B2269" s="137">
        <v>29.364999999999998</v>
      </c>
      <c r="C2269" s="133"/>
      <c r="D2269" s="50">
        <f t="shared" si="35"/>
        <v>-9.946055293324374E-3</v>
      </c>
      <c r="E2269" s="49"/>
    </row>
    <row r="2270" spans="1:7" ht="14.4">
      <c r="A2270" s="136">
        <v>41253</v>
      </c>
      <c r="B2270" s="137">
        <v>29.66</v>
      </c>
      <c r="C2270" s="133"/>
      <c r="D2270" s="50">
        <f t="shared" si="35"/>
        <v>-4.530961570733405E-3</v>
      </c>
      <c r="E2270" s="49"/>
    </row>
    <row r="2271" spans="1:7" ht="14.4">
      <c r="A2271" s="136">
        <v>41250</v>
      </c>
      <c r="B2271" s="137">
        <v>29.795000000000002</v>
      </c>
      <c r="C2271" s="133"/>
      <c r="D2271" s="50">
        <f t="shared" si="35"/>
        <v>1.3435374149660007E-2</v>
      </c>
      <c r="E2271" s="49"/>
    </row>
    <row r="2272" spans="1:7" ht="14.4">
      <c r="A2272" s="136">
        <v>41249</v>
      </c>
      <c r="B2272" s="137">
        <v>29.4</v>
      </c>
      <c r="C2272" s="133"/>
      <c r="D2272" s="50">
        <f t="shared" si="35"/>
        <v>7.9691516709511578E-2</v>
      </c>
      <c r="E2272" s="49"/>
    </row>
    <row r="2273" spans="1:5" ht="14.4">
      <c r="A2273" s="136">
        <v>41248</v>
      </c>
      <c r="B2273" s="137">
        <v>27.23</v>
      </c>
      <c r="C2273" s="133"/>
      <c r="D2273" s="50">
        <f t="shared" si="35"/>
        <v>2.4647224835371739E-2</v>
      </c>
      <c r="E2273" s="49"/>
    </row>
    <row r="2274" spans="1:5" ht="14.4">
      <c r="A2274" s="136">
        <v>41247</v>
      </c>
      <c r="B2274" s="137">
        <v>26.574999999999999</v>
      </c>
      <c r="C2274" s="133"/>
      <c r="D2274" s="50">
        <f t="shared" si="35"/>
        <v>4.9158631121195562E-3</v>
      </c>
      <c r="E2274" s="49"/>
    </row>
    <row r="2275" spans="1:5" ht="14.4">
      <c r="A2275" s="136">
        <v>41246</v>
      </c>
      <c r="B2275" s="137">
        <v>26.445</v>
      </c>
      <c r="C2275" s="133"/>
      <c r="D2275" s="50">
        <f t="shared" si="35"/>
        <v>2.1436848203939762E-2</v>
      </c>
      <c r="E2275" s="49"/>
    </row>
    <row r="2276" spans="1:5" ht="14.4">
      <c r="A2276" s="136">
        <v>41243</v>
      </c>
      <c r="B2276" s="137">
        <v>25.89</v>
      </c>
      <c r="C2276" s="133"/>
      <c r="D2276" s="50">
        <f t="shared" si="35"/>
        <v>2.3522435263886088E-2</v>
      </c>
      <c r="E2276" s="49"/>
    </row>
    <row r="2277" spans="1:5" ht="14.4">
      <c r="A2277" s="136">
        <v>41242</v>
      </c>
      <c r="B2277" s="137">
        <v>25.295000000000002</v>
      </c>
      <c r="C2277" s="133"/>
      <c r="D2277" s="50">
        <f t="shared" si="35"/>
        <v>1.9754081838339044E-2</v>
      </c>
      <c r="E2277" s="49"/>
    </row>
    <row r="2278" spans="1:5" ht="14.4">
      <c r="A2278" s="136">
        <v>41241</v>
      </c>
      <c r="B2278" s="137">
        <v>24.805</v>
      </c>
      <c r="C2278" s="133"/>
      <c r="D2278" s="50">
        <f t="shared" si="35"/>
        <v>1.7223703096165499E-2</v>
      </c>
      <c r="E2278" s="49"/>
    </row>
    <row r="2279" spans="1:5" ht="14.4">
      <c r="A2279" s="136">
        <v>41240</v>
      </c>
      <c r="B2279" s="137">
        <v>24.385000000000002</v>
      </c>
      <c r="C2279" s="133"/>
      <c r="D2279" s="50">
        <f t="shared" si="35"/>
        <v>-7.3274984734378323E-3</v>
      </c>
      <c r="E2279" s="49"/>
    </row>
    <row r="2280" spans="1:5" ht="14.4">
      <c r="A2280" s="136">
        <v>41239</v>
      </c>
      <c r="B2280" s="137">
        <v>24.565000000000001</v>
      </c>
      <c r="C2280" s="133"/>
      <c r="D2280" s="50">
        <f t="shared" si="35"/>
        <v>-1.3255673830086301E-2</v>
      </c>
      <c r="E2280" s="49"/>
    </row>
    <row r="2281" spans="1:5" ht="14.4">
      <c r="A2281" s="136">
        <v>41236</v>
      </c>
      <c r="B2281" s="137">
        <v>24.895</v>
      </c>
      <c r="C2281" s="133"/>
      <c r="D2281" s="50">
        <f t="shared" si="35"/>
        <v>-1.3668779714738455E-2</v>
      </c>
      <c r="E2281" s="49"/>
    </row>
    <row r="2282" spans="1:5" ht="14.4">
      <c r="A2282" s="136">
        <v>41235</v>
      </c>
      <c r="B2282" s="137">
        <v>25.24</v>
      </c>
      <c r="C2282" s="133"/>
      <c r="D2282" s="50">
        <f t="shared" si="35"/>
        <v>-6.4947844912419672E-3</v>
      </c>
      <c r="E2282" s="49"/>
    </row>
    <row r="2283" spans="1:5" ht="14.4">
      <c r="A2283" s="136">
        <v>41234</v>
      </c>
      <c r="B2283" s="137">
        <v>25.405000000000001</v>
      </c>
      <c r="C2283" s="133"/>
      <c r="D2283" s="50">
        <f t="shared" si="35"/>
        <v>-3.1391014322149635E-3</v>
      </c>
      <c r="E2283" s="49"/>
    </row>
    <row r="2284" spans="1:5" ht="14.4">
      <c r="A2284" s="136">
        <v>41233</v>
      </c>
      <c r="B2284" s="137">
        <v>25.484999999999999</v>
      </c>
      <c r="C2284" s="133"/>
      <c r="D2284" s="50">
        <f t="shared" si="35"/>
        <v>-3.7138389366692115E-3</v>
      </c>
      <c r="E2284" s="49"/>
    </row>
    <row r="2285" spans="1:5" ht="14.4">
      <c r="A2285" s="136">
        <v>41232</v>
      </c>
      <c r="B2285" s="137">
        <v>25.58</v>
      </c>
      <c r="C2285" s="133"/>
      <c r="D2285" s="50">
        <f t="shared" si="35"/>
        <v>1.6289233214143772E-2</v>
      </c>
      <c r="E2285" s="49"/>
    </row>
    <row r="2286" spans="1:5" ht="14.4">
      <c r="A2286" s="136">
        <v>41229</v>
      </c>
      <c r="B2286" s="137">
        <v>25.17</v>
      </c>
      <c r="C2286" s="133"/>
      <c r="D2286" s="50">
        <f t="shared" si="35"/>
        <v>3.1885213232363263E-3</v>
      </c>
      <c r="E2286" s="49"/>
    </row>
    <row r="2287" spans="1:5" ht="14.4">
      <c r="A2287" s="136">
        <v>41228</v>
      </c>
      <c r="B2287" s="137">
        <v>25.09</v>
      </c>
      <c r="C2287" s="133"/>
      <c r="D2287" s="50">
        <f t="shared" si="35"/>
        <v>-2.940038684719537E-2</v>
      </c>
      <c r="E2287" s="49"/>
    </row>
    <row r="2288" spans="1:5" ht="14.4">
      <c r="A2288" s="136">
        <v>41227</v>
      </c>
      <c r="B2288" s="137">
        <v>25.85</v>
      </c>
      <c r="C2288" s="133"/>
      <c r="D2288" s="50">
        <f t="shared" si="35"/>
        <v>-1.2793584113041767E-2</v>
      </c>
      <c r="E2288" s="49"/>
    </row>
    <row r="2289" spans="1:5" ht="14.4">
      <c r="A2289" s="136">
        <v>41226</v>
      </c>
      <c r="B2289" s="137">
        <v>26.184999999999999</v>
      </c>
      <c r="C2289" s="133"/>
      <c r="D2289" s="50">
        <f t="shared" si="35"/>
        <v>2.6804518475971317E-3</v>
      </c>
      <c r="E2289" s="49"/>
    </row>
    <row r="2290" spans="1:5" ht="14.4">
      <c r="A2290" s="136">
        <v>41225</v>
      </c>
      <c r="B2290" s="137">
        <v>26.114999999999998</v>
      </c>
      <c r="C2290" s="133"/>
      <c r="D2290" s="50">
        <f t="shared" si="35"/>
        <v>-7.7887537993921452E-3</v>
      </c>
      <c r="E2290" s="49"/>
    </row>
    <row r="2291" spans="1:5" ht="14.4">
      <c r="A2291" s="136">
        <v>41222</v>
      </c>
      <c r="B2291" s="137">
        <v>26.32</v>
      </c>
      <c r="C2291" s="133"/>
      <c r="D2291" s="50">
        <f t="shared" si="35"/>
        <v>8.4291187739462536E-3</v>
      </c>
      <c r="E2291" s="49"/>
    </row>
    <row r="2292" spans="1:5" ht="14.4">
      <c r="A2292" s="136">
        <v>41221</v>
      </c>
      <c r="B2292" s="137">
        <v>26.1</v>
      </c>
      <c r="C2292" s="133"/>
      <c r="D2292" s="50">
        <f t="shared" si="35"/>
        <v>-4.1498347410943826E-2</v>
      </c>
      <c r="E2292" s="49"/>
    </row>
    <row r="2293" spans="1:5" ht="14.4">
      <c r="A2293" s="136">
        <v>41220</v>
      </c>
      <c r="B2293" s="137">
        <v>27.23</v>
      </c>
      <c r="C2293" s="133"/>
      <c r="D2293" s="50">
        <f t="shared" si="35"/>
        <v>-7.4722070348094416E-3</v>
      </c>
      <c r="E2293" s="49"/>
    </row>
    <row r="2294" spans="1:5" ht="14.4">
      <c r="A2294" s="136">
        <v>41219</v>
      </c>
      <c r="B2294" s="137">
        <v>27.434999999999999</v>
      </c>
      <c r="C2294" s="133"/>
      <c r="D2294" s="50">
        <f t="shared" si="35"/>
        <v>7.8986039676707254E-3</v>
      </c>
      <c r="E2294" s="49"/>
    </row>
    <row r="2295" spans="1:5" ht="14.4">
      <c r="A2295" s="136">
        <v>41218</v>
      </c>
      <c r="B2295" s="137">
        <v>27.22</v>
      </c>
      <c r="C2295" s="133"/>
      <c r="D2295" s="50">
        <f t="shared" si="35"/>
        <v>-8.3788706739527097E-3</v>
      </c>
      <c r="E2295" s="49"/>
    </row>
    <row r="2296" spans="1:5" ht="14.4">
      <c r="A2296" s="136">
        <v>41215</v>
      </c>
      <c r="B2296" s="137">
        <v>27.45</v>
      </c>
      <c r="C2296" s="133"/>
      <c r="D2296" s="50">
        <f t="shared" si="35"/>
        <v>-1.8181818181818299E-3</v>
      </c>
      <c r="E2296" s="49"/>
    </row>
    <row r="2297" spans="1:5" ht="14.4">
      <c r="A2297" s="136">
        <v>41214</v>
      </c>
      <c r="B2297" s="137">
        <v>27.5</v>
      </c>
      <c r="C2297" s="133"/>
      <c r="D2297" s="50">
        <f t="shared" si="35"/>
        <v>3.2834731849689103E-3</v>
      </c>
      <c r="E2297" s="49"/>
    </row>
    <row r="2298" spans="1:5" ht="14.4">
      <c r="A2298" s="136">
        <v>41213</v>
      </c>
      <c r="B2298" s="137">
        <v>27.41</v>
      </c>
      <c r="C2298" s="133"/>
      <c r="D2298" s="50">
        <f t="shared" si="35"/>
        <v>1.8244845831039136E-4</v>
      </c>
      <c r="E2298" s="49"/>
    </row>
    <row r="2299" spans="1:5" ht="14.4">
      <c r="A2299" s="136">
        <v>41212</v>
      </c>
      <c r="B2299" s="137">
        <v>27.405000000000001</v>
      </c>
      <c r="C2299" s="133"/>
      <c r="D2299" s="50">
        <f t="shared" si="35"/>
        <v>1.0322580645161228E-2</v>
      </c>
      <c r="E2299" s="49"/>
    </row>
    <row r="2300" spans="1:5" ht="14.4">
      <c r="A2300" s="136">
        <v>41211</v>
      </c>
      <c r="B2300" s="137">
        <v>27.125</v>
      </c>
      <c r="C2300" s="133"/>
      <c r="D2300" s="50">
        <f t="shared" si="35"/>
        <v>1.8436578171088236E-4</v>
      </c>
      <c r="E2300" s="49"/>
    </row>
    <row r="2301" spans="1:5" ht="14.4">
      <c r="A2301" s="136">
        <v>41208</v>
      </c>
      <c r="B2301" s="137">
        <v>27.12</v>
      </c>
      <c r="C2301" s="133"/>
      <c r="D2301" s="50">
        <f t="shared" si="35"/>
        <v>1.4021312394840058E-2</v>
      </c>
      <c r="E2301" s="49"/>
    </row>
    <row r="2302" spans="1:5" ht="14.4">
      <c r="A2302" s="136">
        <v>41207</v>
      </c>
      <c r="B2302" s="137">
        <v>26.745000000000001</v>
      </c>
      <c r="C2302" s="133"/>
      <c r="D2302" s="50">
        <f t="shared" si="35"/>
        <v>5.4511278195488178E-3</v>
      </c>
      <c r="E2302" s="49"/>
    </row>
    <row r="2303" spans="1:5" ht="14.4">
      <c r="A2303" s="136">
        <v>41206</v>
      </c>
      <c r="B2303" s="137">
        <v>26.6</v>
      </c>
      <c r="C2303" s="133"/>
      <c r="D2303" s="50">
        <f t="shared" si="35"/>
        <v>2.8218013142636167E-2</v>
      </c>
      <c r="E2303" s="49"/>
    </row>
    <row r="2304" spans="1:5" ht="14.4">
      <c r="A2304" s="136">
        <v>41205</v>
      </c>
      <c r="B2304" s="137">
        <v>25.87</v>
      </c>
      <c r="C2304" s="133"/>
      <c r="D2304" s="50">
        <f t="shared" si="35"/>
        <v>-2.5795518734701539E-2</v>
      </c>
      <c r="E2304" s="49"/>
    </row>
    <row r="2305" spans="1:5" ht="14.4">
      <c r="A2305" s="136">
        <v>41204</v>
      </c>
      <c r="B2305" s="137">
        <v>26.555</v>
      </c>
      <c r="C2305" s="133"/>
      <c r="D2305" s="50">
        <f t="shared" si="35"/>
        <v>-8.9568949430864908E-3</v>
      </c>
      <c r="E2305" s="49"/>
    </row>
    <row r="2306" spans="1:5" ht="14.4">
      <c r="A2306" s="136">
        <v>41201</v>
      </c>
      <c r="B2306" s="137">
        <v>26.795000000000002</v>
      </c>
      <c r="C2306" s="133"/>
      <c r="D2306" s="50">
        <f t="shared" si="35"/>
        <v>-7.4087794035931909E-3</v>
      </c>
      <c r="E2306" s="49"/>
    </row>
    <row r="2307" spans="1:5" ht="14.4">
      <c r="A2307" s="136">
        <v>41200</v>
      </c>
      <c r="B2307" s="137">
        <v>26.995000000000001</v>
      </c>
      <c r="C2307" s="133"/>
      <c r="D2307" s="50">
        <f t="shared" si="35"/>
        <v>-1.8518518518517713E-4</v>
      </c>
      <c r="E2307" s="49"/>
    </row>
    <row r="2308" spans="1:5" ht="14.4">
      <c r="A2308" s="136">
        <v>41199</v>
      </c>
      <c r="B2308" s="137">
        <v>27</v>
      </c>
      <c r="C2308" s="133"/>
      <c r="D2308" s="50">
        <f t="shared" si="35"/>
        <v>1.3133208255159623E-2</v>
      </c>
      <c r="E2308" s="49"/>
    </row>
    <row r="2309" spans="1:5" ht="14.4">
      <c r="A2309" s="136">
        <v>41198</v>
      </c>
      <c r="B2309" s="137">
        <v>26.65</v>
      </c>
      <c r="C2309" s="133"/>
      <c r="D2309" s="50">
        <f t="shared" si="35"/>
        <v>5.6316876290574136E-4</v>
      </c>
      <c r="E2309" s="49"/>
    </row>
    <row r="2310" spans="1:5" ht="14.4">
      <c r="A2310" s="136">
        <v>41197</v>
      </c>
      <c r="B2310" s="137">
        <v>26.635000000000002</v>
      </c>
      <c r="C2310" s="133"/>
      <c r="D2310" s="50">
        <f t="shared" si="35"/>
        <v>1.1199696279422966E-2</v>
      </c>
      <c r="E2310" s="49"/>
    </row>
    <row r="2311" spans="1:5" ht="14.4">
      <c r="A2311" s="136">
        <v>41194</v>
      </c>
      <c r="B2311" s="137">
        <v>26.34</v>
      </c>
      <c r="C2311" s="133"/>
      <c r="D2311" s="50">
        <f t="shared" si="35"/>
        <v>-3.0726770929162872E-2</v>
      </c>
      <c r="E2311" s="49"/>
    </row>
    <row r="2312" spans="1:5" ht="14.4">
      <c r="A2312" s="136">
        <v>41193</v>
      </c>
      <c r="B2312" s="137">
        <v>27.175000000000001</v>
      </c>
      <c r="C2312" s="133"/>
      <c r="D2312" s="50">
        <f t="shared" ref="D2312:D2375" si="36">(B2312-C2312)/B2313-1</f>
        <v>-1.1098981077147019E-2</v>
      </c>
      <c r="E2312" s="49"/>
    </row>
    <row r="2313" spans="1:5" ht="14.4">
      <c r="A2313" s="136">
        <v>41192</v>
      </c>
      <c r="B2313" s="137">
        <v>27.48</v>
      </c>
      <c r="C2313" s="133"/>
      <c r="D2313" s="50">
        <f t="shared" si="36"/>
        <v>5.2873563218390762E-2</v>
      </c>
      <c r="E2313" s="49"/>
    </row>
    <row r="2314" spans="1:5" ht="14.4">
      <c r="A2314" s="136">
        <v>41191</v>
      </c>
      <c r="B2314" s="137">
        <v>26.1</v>
      </c>
      <c r="C2314" s="133"/>
      <c r="D2314" s="50">
        <f t="shared" si="36"/>
        <v>-5.7142857142856718E-3</v>
      </c>
      <c r="E2314" s="49"/>
    </row>
    <row r="2315" spans="1:5" ht="14.4">
      <c r="A2315" s="136">
        <v>41190</v>
      </c>
      <c r="B2315" s="137">
        <v>26.25</v>
      </c>
      <c r="C2315" s="133"/>
      <c r="D2315" s="50">
        <f t="shared" si="36"/>
        <v>-8.6858006042296321E-3</v>
      </c>
      <c r="E2315" s="49"/>
    </row>
    <row r="2316" spans="1:5" ht="14.4">
      <c r="A2316" s="136">
        <v>41187</v>
      </c>
      <c r="B2316" s="137">
        <v>26.48</v>
      </c>
      <c r="C2316" s="133"/>
      <c r="D2316" s="50">
        <f t="shared" si="36"/>
        <v>2.2393822393822482E-2</v>
      </c>
      <c r="E2316" s="49"/>
    </row>
    <row r="2317" spans="1:5" ht="14.4">
      <c r="A2317" s="136">
        <v>41186</v>
      </c>
      <c r="B2317" s="137">
        <v>25.9</v>
      </c>
      <c r="C2317" s="133"/>
      <c r="D2317" s="50">
        <f t="shared" si="36"/>
        <v>1.0534529847834539E-2</v>
      </c>
      <c r="E2317" s="49"/>
    </row>
    <row r="2318" spans="1:5" ht="14.4">
      <c r="A2318" s="136">
        <v>41185</v>
      </c>
      <c r="B2318" s="137">
        <v>25.63</v>
      </c>
      <c r="C2318" s="133"/>
      <c r="D2318" s="50">
        <f t="shared" si="36"/>
        <v>2.5425386270290229E-3</v>
      </c>
      <c r="E2318" s="49"/>
    </row>
    <row r="2319" spans="1:5" ht="14.4">
      <c r="A2319" s="136">
        <v>41184</v>
      </c>
      <c r="B2319" s="137">
        <v>25.565000000000001</v>
      </c>
      <c r="C2319" s="133"/>
      <c r="D2319" s="50">
        <f t="shared" si="36"/>
        <v>2.6088701585390339E-2</v>
      </c>
      <c r="E2319" s="49"/>
    </row>
    <row r="2320" spans="1:5" ht="14.4">
      <c r="A2320" s="136">
        <v>41183</v>
      </c>
      <c r="B2320" s="137">
        <v>24.914999999999999</v>
      </c>
      <c r="C2320" s="133"/>
      <c r="D2320" s="50">
        <f t="shared" si="36"/>
        <v>1.0135819987836969E-2</v>
      </c>
      <c r="E2320" s="49"/>
    </row>
    <row r="2321" spans="1:5" ht="14.4">
      <c r="A2321" s="136">
        <v>41180</v>
      </c>
      <c r="B2321" s="137">
        <v>24.664999999999999</v>
      </c>
      <c r="C2321" s="133"/>
      <c r="D2321" s="50">
        <f t="shared" si="36"/>
        <v>-7.4446680080483274E-3</v>
      </c>
      <c r="E2321" s="49"/>
    </row>
    <row r="2322" spans="1:5" ht="14.4">
      <c r="A2322" s="136">
        <v>41179</v>
      </c>
      <c r="B2322" s="137">
        <v>24.85</v>
      </c>
      <c r="C2322" s="133"/>
      <c r="D2322" s="50">
        <f t="shared" si="36"/>
        <v>1.6359918200409052E-2</v>
      </c>
      <c r="E2322" s="49"/>
    </row>
    <row r="2323" spans="1:5" ht="14.4">
      <c r="A2323" s="136">
        <v>41178</v>
      </c>
      <c r="B2323" s="137">
        <v>24.45</v>
      </c>
      <c r="C2323" s="133"/>
      <c r="D2323" s="50">
        <f t="shared" si="36"/>
        <v>-2.956935899980162E-2</v>
      </c>
      <c r="E2323" s="49"/>
    </row>
    <row r="2324" spans="1:5" ht="14.4">
      <c r="A2324" s="136">
        <v>41177</v>
      </c>
      <c r="B2324" s="137">
        <v>25.195</v>
      </c>
      <c r="C2324" s="133"/>
      <c r="D2324" s="50">
        <f t="shared" si="36"/>
        <v>7.8000000000000291E-3</v>
      </c>
      <c r="E2324" s="49"/>
    </row>
    <row r="2325" spans="1:5" ht="14.4">
      <c r="A2325" s="136">
        <v>41176</v>
      </c>
      <c r="B2325" s="137">
        <v>25</v>
      </c>
      <c r="C2325" s="133"/>
      <c r="D2325" s="50">
        <f t="shared" si="36"/>
        <v>-2.7237354085603127E-2</v>
      </c>
      <c r="E2325" s="49"/>
    </row>
    <row r="2326" spans="1:5" ht="14.4">
      <c r="A2326" s="136">
        <v>41173</v>
      </c>
      <c r="B2326" s="137">
        <v>25.7</v>
      </c>
      <c r="C2326" s="133"/>
      <c r="D2326" s="50">
        <f t="shared" si="36"/>
        <v>-9.0611143242721459E-3</v>
      </c>
      <c r="E2326" s="49"/>
    </row>
    <row r="2327" spans="1:5" ht="14.4">
      <c r="A2327" s="136">
        <v>41172</v>
      </c>
      <c r="B2327" s="137">
        <v>25.934999999999999</v>
      </c>
      <c r="C2327" s="133"/>
      <c r="D2327" s="50">
        <f t="shared" si="36"/>
        <v>1.1702750146284302E-2</v>
      </c>
      <c r="E2327" s="49"/>
    </row>
    <row r="2328" spans="1:5" ht="14.4">
      <c r="A2328" s="136">
        <v>41171</v>
      </c>
      <c r="B2328" s="137">
        <v>25.635000000000002</v>
      </c>
      <c r="C2328" s="133"/>
      <c r="D2328" s="50">
        <f t="shared" si="36"/>
        <v>-4.0792540792539134E-3</v>
      </c>
      <c r="E2328" s="49"/>
    </row>
    <row r="2329" spans="1:5" ht="14.4">
      <c r="A2329" s="136">
        <v>41170</v>
      </c>
      <c r="B2329" s="137">
        <v>25.74</v>
      </c>
      <c r="C2329" s="133"/>
      <c r="D2329" s="50">
        <f t="shared" si="36"/>
        <v>1.5564202334630295E-3</v>
      </c>
      <c r="E2329" s="49"/>
    </row>
    <row r="2330" spans="1:5" ht="14.4">
      <c r="A2330" s="136">
        <v>41169</v>
      </c>
      <c r="B2330" s="137">
        <v>25.7</v>
      </c>
      <c r="C2330" s="133"/>
      <c r="D2330" s="50">
        <f t="shared" si="36"/>
        <v>1.5609563327405596E-2</v>
      </c>
      <c r="E2330" s="49"/>
    </row>
    <row r="2331" spans="1:5" ht="14.4">
      <c r="A2331" s="136">
        <v>41166</v>
      </c>
      <c r="B2331" s="137">
        <v>25.305</v>
      </c>
      <c r="C2331" s="133"/>
      <c r="D2331" s="50">
        <f t="shared" si="36"/>
        <v>6.3630940544840975E-3</v>
      </c>
      <c r="E2331" s="49"/>
    </row>
    <row r="2332" spans="1:5" ht="14.4">
      <c r="A2332" s="136">
        <v>41165</v>
      </c>
      <c r="B2332" s="137">
        <v>25.145</v>
      </c>
      <c r="C2332" s="133"/>
      <c r="D2332" s="50">
        <f t="shared" si="36"/>
        <v>-0.10196428571428573</v>
      </c>
      <c r="E2332" s="49"/>
    </row>
    <row r="2333" spans="1:5" ht="14.4">
      <c r="A2333" s="136">
        <v>41164</v>
      </c>
      <c r="B2333" s="137">
        <v>28</v>
      </c>
      <c r="C2333" s="133"/>
      <c r="D2333" s="50">
        <f t="shared" si="36"/>
        <v>-5.6285810583080575E-2</v>
      </c>
      <c r="E2333" s="49"/>
    </row>
    <row r="2334" spans="1:5" ht="14.4">
      <c r="A2334" s="136">
        <v>41163</v>
      </c>
      <c r="B2334" s="137">
        <v>29.67</v>
      </c>
      <c r="C2334" s="133"/>
      <c r="D2334" s="50">
        <f t="shared" si="36"/>
        <v>3.72124492557524E-3</v>
      </c>
      <c r="E2334" s="49"/>
    </row>
    <row r="2335" spans="1:5" ht="14.4">
      <c r="A2335" s="136">
        <v>41162</v>
      </c>
      <c r="B2335" s="137">
        <v>29.56</v>
      </c>
      <c r="C2335" s="133"/>
      <c r="D2335" s="50">
        <f t="shared" si="36"/>
        <v>-2.2809917355371967E-2</v>
      </c>
      <c r="E2335" s="49"/>
    </row>
    <row r="2336" spans="1:5" ht="14.4">
      <c r="A2336" s="136">
        <v>41159</v>
      </c>
      <c r="B2336" s="137">
        <v>30.25</v>
      </c>
      <c r="C2336" s="133"/>
      <c r="D2336" s="50">
        <f t="shared" si="36"/>
        <v>-8.3592853630551911E-3</v>
      </c>
      <c r="E2336" s="49"/>
    </row>
    <row r="2337" spans="1:5" ht="14.4">
      <c r="A2337" s="136">
        <v>41158</v>
      </c>
      <c r="B2337" s="137">
        <v>30.504999999999999</v>
      </c>
      <c r="C2337" s="133"/>
      <c r="D2337" s="50">
        <f t="shared" si="36"/>
        <v>1.904125605478546E-2</v>
      </c>
      <c r="E2337" s="49"/>
    </row>
    <row r="2338" spans="1:5" ht="14.4">
      <c r="A2338" s="136">
        <v>41157</v>
      </c>
      <c r="B2338" s="137">
        <v>29.934999999999999</v>
      </c>
      <c r="C2338" s="133"/>
      <c r="D2338" s="50">
        <f t="shared" si="36"/>
        <v>-1.667500416875134E-3</v>
      </c>
      <c r="E2338" s="49"/>
    </row>
    <row r="2339" spans="1:5" ht="14.4">
      <c r="A2339" s="136">
        <v>41156</v>
      </c>
      <c r="B2339" s="137">
        <v>29.984999999999999</v>
      </c>
      <c r="C2339" s="133"/>
      <c r="D2339" s="50">
        <f t="shared" si="36"/>
        <v>-2.677702044790653E-2</v>
      </c>
      <c r="E2339" s="49"/>
    </row>
    <row r="2340" spans="1:5" ht="14.4">
      <c r="A2340" s="136">
        <v>41155</v>
      </c>
      <c r="B2340" s="137">
        <v>30.81</v>
      </c>
      <c r="C2340" s="133"/>
      <c r="D2340" s="50">
        <f t="shared" si="36"/>
        <v>1.6160949868073926E-2</v>
      </c>
      <c r="E2340" s="49"/>
    </row>
    <row r="2341" spans="1:5" ht="14.4">
      <c r="A2341" s="136">
        <v>41152</v>
      </c>
      <c r="B2341" s="137">
        <v>30.32</v>
      </c>
      <c r="C2341" s="133"/>
      <c r="D2341" s="50">
        <f t="shared" si="36"/>
        <v>4.6388336646785433E-3</v>
      </c>
      <c r="E2341" s="49"/>
    </row>
    <row r="2342" spans="1:5" ht="14.4">
      <c r="A2342" s="136">
        <v>41151</v>
      </c>
      <c r="B2342" s="137">
        <v>30.18</v>
      </c>
      <c r="C2342" s="133"/>
      <c r="D2342" s="50">
        <f t="shared" si="36"/>
        <v>-5.4374691052891944E-3</v>
      </c>
      <c r="E2342" s="49"/>
    </row>
    <row r="2343" spans="1:5" ht="14.4">
      <c r="A2343" s="136">
        <v>41150</v>
      </c>
      <c r="B2343" s="137">
        <v>30.344999999999999</v>
      </c>
      <c r="C2343" s="133"/>
      <c r="D2343" s="50">
        <f t="shared" si="36"/>
        <v>1.9143576826196496E-2</v>
      </c>
      <c r="E2343" s="49"/>
    </row>
    <row r="2344" spans="1:5" ht="14.4">
      <c r="A2344" s="136">
        <v>41149</v>
      </c>
      <c r="B2344" s="137">
        <v>29.774999999999999</v>
      </c>
      <c r="C2344" s="133"/>
      <c r="D2344" s="50">
        <f t="shared" si="36"/>
        <v>4.8936888288895197E-3</v>
      </c>
      <c r="E2344" s="49"/>
    </row>
    <row r="2345" spans="1:5" ht="14.4">
      <c r="A2345" s="136">
        <v>41148</v>
      </c>
      <c r="B2345" s="137">
        <v>29.63</v>
      </c>
      <c r="C2345" s="133"/>
      <c r="D2345" s="50">
        <f t="shared" si="36"/>
        <v>1.0135135135134199E-3</v>
      </c>
      <c r="E2345" s="49"/>
    </row>
    <row r="2346" spans="1:5" ht="14.4">
      <c r="A2346" s="136">
        <v>41145</v>
      </c>
      <c r="B2346" s="137">
        <v>29.6</v>
      </c>
      <c r="C2346" s="133"/>
      <c r="D2346" s="50">
        <f t="shared" si="36"/>
        <v>-1.0695187165775444E-2</v>
      </c>
      <c r="E2346" s="49"/>
    </row>
    <row r="2347" spans="1:5" ht="14.4">
      <c r="A2347" s="136">
        <v>41144</v>
      </c>
      <c r="B2347" s="137">
        <v>29.92</v>
      </c>
      <c r="C2347" s="133"/>
      <c r="D2347" s="50">
        <f t="shared" si="36"/>
        <v>-2.3498694516971286E-2</v>
      </c>
      <c r="E2347" s="49"/>
    </row>
    <row r="2348" spans="1:5" ht="14.4">
      <c r="A2348" s="136">
        <v>41143</v>
      </c>
      <c r="B2348" s="137">
        <v>30.64</v>
      </c>
      <c r="C2348" s="133"/>
      <c r="D2348" s="50">
        <f t="shared" si="36"/>
        <v>-2.4418036789841668E-3</v>
      </c>
      <c r="E2348" s="49"/>
    </row>
    <row r="2349" spans="1:5" ht="14.4">
      <c r="A2349" s="136">
        <v>41142</v>
      </c>
      <c r="B2349" s="137">
        <v>30.715</v>
      </c>
      <c r="C2349" s="133"/>
      <c r="D2349" s="50">
        <f t="shared" si="36"/>
        <v>1.3027704485488067E-2</v>
      </c>
      <c r="E2349" s="49"/>
    </row>
    <row r="2350" spans="1:5" ht="14.4">
      <c r="A2350" s="136">
        <v>41141</v>
      </c>
      <c r="B2350" s="137">
        <v>30.32</v>
      </c>
      <c r="C2350" s="133"/>
      <c r="D2350" s="50">
        <f t="shared" si="36"/>
        <v>2.314049586776834E-3</v>
      </c>
      <c r="E2350" s="49"/>
    </row>
    <row r="2351" spans="1:5" ht="14.4">
      <c r="A2351" s="136">
        <v>41138</v>
      </c>
      <c r="B2351" s="137">
        <v>30.25</v>
      </c>
      <c r="C2351" s="133"/>
      <c r="D2351" s="50">
        <f t="shared" si="36"/>
        <v>4.6496180670874132E-3</v>
      </c>
      <c r="E2351" s="49"/>
    </row>
    <row r="2352" spans="1:5" ht="14.4">
      <c r="A2352" s="136">
        <v>41137</v>
      </c>
      <c r="B2352" s="137">
        <v>30.11</v>
      </c>
      <c r="C2352" s="133"/>
      <c r="D2352" s="50">
        <f t="shared" si="36"/>
        <v>-9.7023515869101296E-3</v>
      </c>
      <c r="E2352" s="49"/>
    </row>
    <row r="2353" spans="1:5" ht="14.4">
      <c r="A2353" s="136">
        <v>41136</v>
      </c>
      <c r="B2353" s="137">
        <v>30.405000000000001</v>
      </c>
      <c r="C2353" s="133"/>
      <c r="D2353" s="50">
        <f t="shared" si="36"/>
        <v>4.4598612487611877E-3</v>
      </c>
      <c r="E2353" s="49"/>
    </row>
    <row r="2354" spans="1:5" ht="14.4">
      <c r="A2354" s="136">
        <v>41135</v>
      </c>
      <c r="B2354" s="137">
        <v>30.27</v>
      </c>
      <c r="C2354" s="133"/>
      <c r="D2354" s="50">
        <f t="shared" si="36"/>
        <v>-3.1286020088917565E-3</v>
      </c>
      <c r="E2354" s="49"/>
    </row>
    <row r="2355" spans="1:5" ht="14.4">
      <c r="A2355" s="136">
        <v>41134</v>
      </c>
      <c r="B2355" s="137">
        <v>30.364999999999998</v>
      </c>
      <c r="C2355" s="133"/>
      <c r="D2355" s="50">
        <f t="shared" si="36"/>
        <v>-1.0750936634631114E-2</v>
      </c>
      <c r="E2355" s="49"/>
    </row>
    <row r="2356" spans="1:5" ht="14.4">
      <c r="A2356" s="136">
        <v>41131</v>
      </c>
      <c r="B2356" s="137">
        <v>30.695</v>
      </c>
      <c r="C2356" s="133"/>
      <c r="D2356" s="50">
        <f t="shared" si="36"/>
        <v>2.6130981544993936E-3</v>
      </c>
      <c r="E2356" s="49"/>
    </row>
    <row r="2357" spans="1:5" ht="14.4">
      <c r="A2357" s="136">
        <v>41130</v>
      </c>
      <c r="B2357" s="137">
        <v>30.614999999999998</v>
      </c>
      <c r="C2357" s="133"/>
      <c r="D2357" s="50">
        <f t="shared" si="36"/>
        <v>1.2066115702479285E-2</v>
      </c>
      <c r="E2357" s="49"/>
    </row>
    <row r="2358" spans="1:5" ht="14.4">
      <c r="A2358" s="136">
        <v>41129</v>
      </c>
      <c r="B2358" s="137">
        <v>30.25</v>
      </c>
      <c r="C2358" s="133"/>
      <c r="D2358" s="50">
        <f t="shared" si="36"/>
        <v>-1.4657980456026065E-2</v>
      </c>
      <c r="E2358" s="49"/>
    </row>
    <row r="2359" spans="1:5" ht="14.4">
      <c r="A2359" s="136">
        <v>41128</v>
      </c>
      <c r="B2359" s="137">
        <v>30.7</v>
      </c>
      <c r="C2359" s="133"/>
      <c r="D2359" s="50">
        <f t="shared" si="36"/>
        <v>-3.2467532467532756E-3</v>
      </c>
      <c r="E2359" s="49"/>
    </row>
    <row r="2360" spans="1:5" ht="14.4">
      <c r="A2360" s="136">
        <v>41127</v>
      </c>
      <c r="B2360" s="137">
        <v>30.8</v>
      </c>
      <c r="C2360" s="133"/>
      <c r="D2360" s="50">
        <f t="shared" si="36"/>
        <v>-1.2820512820512775E-2</v>
      </c>
      <c r="E2360" s="49"/>
    </row>
    <row r="2361" spans="1:5" ht="14.4">
      <c r="A2361" s="136">
        <v>41124</v>
      </c>
      <c r="B2361" s="137">
        <v>31.2</v>
      </c>
      <c r="C2361" s="133"/>
      <c r="D2361" s="50">
        <f t="shared" si="36"/>
        <v>3.0383091149273289E-2</v>
      </c>
      <c r="E2361" s="49"/>
    </row>
    <row r="2362" spans="1:5" ht="14.4">
      <c r="A2362" s="136">
        <v>41123</v>
      </c>
      <c r="B2362" s="137">
        <v>30.28</v>
      </c>
      <c r="C2362" s="133"/>
      <c r="D2362" s="50">
        <f t="shared" si="36"/>
        <v>-2.3383325270117661E-2</v>
      </c>
      <c r="E2362" s="49"/>
    </row>
    <row r="2363" spans="1:5" ht="14.4">
      <c r="A2363" s="136">
        <v>41122</v>
      </c>
      <c r="B2363" s="137">
        <v>31.004999999999999</v>
      </c>
      <c r="C2363" s="133"/>
      <c r="D2363" s="50">
        <f t="shared" si="36"/>
        <v>5.9637730690362156E-2</v>
      </c>
      <c r="E2363" s="49"/>
    </row>
    <row r="2364" spans="1:5" ht="14.4">
      <c r="A2364" s="136">
        <v>41121</v>
      </c>
      <c r="B2364" s="137">
        <v>29.26</v>
      </c>
      <c r="C2364" s="133"/>
      <c r="D2364" s="50">
        <f t="shared" si="36"/>
        <v>-1.5312131919905769E-2</v>
      </c>
      <c r="E2364" s="49"/>
    </row>
    <row r="2365" spans="1:5" ht="14.4">
      <c r="A2365" s="136">
        <v>41120</v>
      </c>
      <c r="B2365" s="137">
        <v>29.715</v>
      </c>
      <c r="C2365" s="133"/>
      <c r="D2365" s="50">
        <f t="shared" si="36"/>
        <v>-3.0196275792652161E-3</v>
      </c>
      <c r="E2365" s="49"/>
    </row>
    <row r="2366" spans="1:5" ht="14.4">
      <c r="A2366" s="136">
        <v>41117</v>
      </c>
      <c r="B2366" s="137">
        <v>29.805</v>
      </c>
      <c r="C2366" s="133"/>
      <c r="D2366" s="50">
        <f t="shared" si="36"/>
        <v>5.6540233959588848E-2</v>
      </c>
      <c r="E2366" s="49"/>
    </row>
    <row r="2367" spans="1:5" ht="14.4">
      <c r="A2367" s="136">
        <v>41116</v>
      </c>
      <c r="B2367" s="137">
        <v>28.21</v>
      </c>
      <c r="C2367" s="133"/>
      <c r="D2367" s="50">
        <f t="shared" si="36"/>
        <v>1.129234629861986E-2</v>
      </c>
      <c r="E2367" s="49"/>
    </row>
    <row r="2368" spans="1:5" ht="14.4">
      <c r="A2368" s="136">
        <v>41115</v>
      </c>
      <c r="B2368" s="137">
        <v>27.895</v>
      </c>
      <c r="C2368" s="133"/>
      <c r="D2368" s="50">
        <f t="shared" si="36"/>
        <v>-1.9335559852346695E-2</v>
      </c>
      <c r="E2368" s="49"/>
    </row>
    <row r="2369" spans="1:5" ht="14.4">
      <c r="A2369" s="136">
        <v>41114</v>
      </c>
      <c r="B2369" s="137">
        <v>28.445</v>
      </c>
      <c r="C2369" s="133"/>
      <c r="D2369" s="50">
        <f t="shared" si="36"/>
        <v>1.8438954529180096E-2</v>
      </c>
      <c r="E2369" s="49"/>
    </row>
    <row r="2370" spans="1:5" ht="14.4">
      <c r="A2370" s="136">
        <v>41113</v>
      </c>
      <c r="B2370" s="137">
        <v>27.93</v>
      </c>
      <c r="C2370" s="133"/>
      <c r="D2370" s="50">
        <f t="shared" si="36"/>
        <v>-2.7168234064785857E-2</v>
      </c>
      <c r="E2370" s="49"/>
    </row>
    <row r="2371" spans="1:5" ht="14.4">
      <c r="A2371" s="136">
        <v>41110</v>
      </c>
      <c r="B2371" s="137">
        <v>28.71</v>
      </c>
      <c r="C2371" s="133"/>
      <c r="D2371" s="50">
        <f t="shared" si="36"/>
        <v>3.8712011577423988E-2</v>
      </c>
      <c r="E2371" s="49"/>
    </row>
    <row r="2372" spans="1:5" ht="14.4">
      <c r="A2372" s="136">
        <v>41109</v>
      </c>
      <c r="B2372" s="137">
        <v>27.64</v>
      </c>
      <c r="C2372" s="133"/>
      <c r="D2372" s="50">
        <f t="shared" si="36"/>
        <v>9.8648154914140473E-3</v>
      </c>
      <c r="E2372" s="49"/>
    </row>
    <row r="2373" spans="1:5" ht="14.4">
      <c r="A2373" s="136">
        <v>41108</v>
      </c>
      <c r="B2373" s="137">
        <v>27.37</v>
      </c>
      <c r="C2373" s="133"/>
      <c r="D2373" s="50">
        <f t="shared" si="36"/>
        <v>1.1456023651145619E-2</v>
      </c>
      <c r="E2373" s="49"/>
    </row>
    <row r="2374" spans="1:5" ht="14.4">
      <c r="A2374" s="136">
        <v>41107</v>
      </c>
      <c r="B2374" s="137">
        <v>27.06</v>
      </c>
      <c r="C2374" s="133"/>
      <c r="D2374" s="50">
        <f t="shared" si="36"/>
        <v>-1.707228478023981E-2</v>
      </c>
      <c r="E2374" s="49"/>
    </row>
    <row r="2375" spans="1:5" ht="14.4">
      <c r="A2375" s="136">
        <v>41106</v>
      </c>
      <c r="B2375" s="137">
        <v>27.53</v>
      </c>
      <c r="C2375" s="133"/>
      <c r="D2375" s="50">
        <f t="shared" si="36"/>
        <v>1.1574499356972412E-2</v>
      </c>
      <c r="E2375" s="49"/>
    </row>
    <row r="2376" spans="1:5" ht="14.4">
      <c r="A2376" s="136">
        <v>41103</v>
      </c>
      <c r="B2376" s="137">
        <v>27.215</v>
      </c>
      <c r="C2376" s="133"/>
      <c r="D2376" s="50">
        <f t="shared" ref="D2376:D2439" si="37">(B2376-C2376)/B2377-1</f>
        <v>1.5864128406121614E-2</v>
      </c>
      <c r="E2376" s="49"/>
    </row>
    <row r="2377" spans="1:5" ht="14.4">
      <c r="A2377" s="136">
        <v>41102</v>
      </c>
      <c r="B2377" s="137">
        <v>26.79</v>
      </c>
      <c r="C2377" s="133"/>
      <c r="D2377" s="50">
        <f t="shared" si="37"/>
        <v>-4.8291233283804802E-3</v>
      </c>
      <c r="E2377" s="49"/>
    </row>
    <row r="2378" spans="1:5" ht="14.4">
      <c r="A2378" s="136">
        <v>41101</v>
      </c>
      <c r="B2378" s="137">
        <v>26.92</v>
      </c>
      <c r="C2378" s="133"/>
      <c r="D2378" s="50">
        <f t="shared" si="37"/>
        <v>-4.6573401806268788E-2</v>
      </c>
      <c r="E2378" s="49"/>
    </row>
    <row r="2379" spans="1:5" ht="14.4">
      <c r="A2379" s="136">
        <v>41100</v>
      </c>
      <c r="B2379" s="137">
        <v>28.234999999999999</v>
      </c>
      <c r="C2379" s="133"/>
      <c r="D2379" s="50">
        <f t="shared" si="37"/>
        <v>-9.8193933017710622E-3</v>
      </c>
      <c r="E2379" s="49"/>
    </row>
    <row r="2380" spans="1:5" ht="14.4">
      <c r="A2380" s="136">
        <v>41099</v>
      </c>
      <c r="B2380" s="137">
        <v>28.515000000000001</v>
      </c>
      <c r="C2380" s="133"/>
      <c r="D2380" s="50">
        <f t="shared" si="37"/>
        <v>1.5853224082650552E-2</v>
      </c>
      <c r="E2380" s="49"/>
    </row>
    <row r="2381" spans="1:5" ht="14.4">
      <c r="A2381" s="136">
        <v>41096</v>
      </c>
      <c r="B2381" s="137">
        <v>28.07</v>
      </c>
      <c r="C2381" s="133"/>
      <c r="D2381" s="50">
        <f t="shared" si="37"/>
        <v>-1.5087719298245594E-2</v>
      </c>
      <c r="E2381" s="49"/>
    </row>
    <row r="2382" spans="1:5" ht="14.4">
      <c r="A2382" s="136">
        <v>41095</v>
      </c>
      <c r="B2382" s="137">
        <v>28.5</v>
      </c>
      <c r="C2382" s="133"/>
      <c r="D2382" s="50">
        <f t="shared" si="37"/>
        <v>-1.7241379310344862E-2</v>
      </c>
      <c r="E2382" s="49"/>
    </row>
    <row r="2383" spans="1:5" ht="14.4">
      <c r="A2383" s="136">
        <v>41094</v>
      </c>
      <c r="B2383" s="137">
        <v>29</v>
      </c>
      <c r="C2383" s="133"/>
      <c r="D2383" s="50">
        <f t="shared" si="37"/>
        <v>2.0228671943711474E-2</v>
      </c>
      <c r="E2383" s="49"/>
    </row>
    <row r="2384" spans="1:5" ht="14.4">
      <c r="A2384" s="136">
        <v>41093</v>
      </c>
      <c r="B2384" s="137">
        <v>28.425000000000001</v>
      </c>
      <c r="C2384" s="133"/>
      <c r="D2384" s="50">
        <f t="shared" si="37"/>
        <v>-2.4565713283032364E-3</v>
      </c>
      <c r="E2384" s="49"/>
    </row>
    <row r="2385" spans="1:5" ht="14.4">
      <c r="A2385" s="136">
        <v>41092</v>
      </c>
      <c r="B2385" s="137">
        <v>28.495000000000001</v>
      </c>
      <c r="C2385" s="133"/>
      <c r="D2385" s="50">
        <f t="shared" si="37"/>
        <v>1.9863994273443097E-2</v>
      </c>
      <c r="E2385" s="49"/>
    </row>
    <row r="2386" spans="1:5" ht="14.4">
      <c r="A2386" s="136">
        <v>41089</v>
      </c>
      <c r="B2386" s="137">
        <v>27.94</v>
      </c>
      <c r="C2386" s="133"/>
      <c r="D2386" s="50">
        <f t="shared" si="37"/>
        <v>4.4485981308411304E-2</v>
      </c>
      <c r="E2386" s="49"/>
    </row>
    <row r="2387" spans="1:5" ht="14.4">
      <c r="A2387" s="136">
        <v>41088</v>
      </c>
      <c r="B2387" s="137">
        <v>26.75</v>
      </c>
      <c r="C2387" s="133"/>
      <c r="D2387" s="50">
        <f t="shared" si="37"/>
        <v>4.6948356807512415E-3</v>
      </c>
      <c r="E2387" s="49"/>
    </row>
    <row r="2388" spans="1:5" ht="14.4">
      <c r="A2388" s="136">
        <v>41087</v>
      </c>
      <c r="B2388" s="137">
        <v>26.625</v>
      </c>
      <c r="C2388" s="133"/>
      <c r="D2388" s="50">
        <f t="shared" si="37"/>
        <v>2.5616332819722532E-2</v>
      </c>
      <c r="E2388" s="49"/>
    </row>
    <row r="2389" spans="1:5" ht="14.4">
      <c r="A2389" s="136">
        <v>41086</v>
      </c>
      <c r="B2389" s="137">
        <v>25.96</v>
      </c>
      <c r="C2389" s="133"/>
      <c r="D2389" s="50">
        <f t="shared" si="37"/>
        <v>-1.1424219345011477E-2</v>
      </c>
      <c r="E2389" s="49"/>
    </row>
    <row r="2390" spans="1:5" ht="14.4">
      <c r="A2390" s="136">
        <v>41085</v>
      </c>
      <c r="B2390" s="137">
        <v>26.26</v>
      </c>
      <c r="C2390" s="133"/>
      <c r="D2390" s="50">
        <f t="shared" si="37"/>
        <v>2.0202020202020332E-2</v>
      </c>
      <c r="E2390" s="49"/>
    </row>
    <row r="2391" spans="1:5" ht="14.4">
      <c r="A2391" s="136">
        <v>41082</v>
      </c>
      <c r="B2391" s="137">
        <v>25.74</v>
      </c>
      <c r="C2391" s="133"/>
      <c r="D2391" s="50">
        <f t="shared" si="37"/>
        <v>-4.3122676579925634E-2</v>
      </c>
      <c r="E2391" s="49"/>
    </row>
    <row r="2392" spans="1:5" ht="14.4">
      <c r="A2392" s="136">
        <v>41081</v>
      </c>
      <c r="B2392" s="137">
        <v>26.9</v>
      </c>
      <c r="C2392" s="133"/>
      <c r="D2392" s="50">
        <f t="shared" si="37"/>
        <v>1.1848786909911535E-2</v>
      </c>
      <c r="E2392" s="49"/>
    </row>
    <row r="2393" spans="1:5" ht="14.4">
      <c r="A2393" s="136">
        <v>41080</v>
      </c>
      <c r="B2393" s="137">
        <v>26.585000000000001</v>
      </c>
      <c r="C2393" s="133"/>
      <c r="D2393" s="50">
        <f t="shared" si="37"/>
        <v>-8.9468779123951236E-3</v>
      </c>
      <c r="E2393" s="49"/>
    </row>
    <row r="2394" spans="1:5" ht="14.4">
      <c r="A2394" s="136">
        <v>41079</v>
      </c>
      <c r="B2394" s="137">
        <v>26.824999999999999</v>
      </c>
      <c r="C2394" s="133"/>
      <c r="D2394" s="50">
        <f t="shared" si="37"/>
        <v>1.6803584764748525E-3</v>
      </c>
      <c r="E2394" s="49"/>
    </row>
    <row r="2395" spans="1:5" ht="14.4">
      <c r="A2395" s="136">
        <v>41078</v>
      </c>
      <c r="B2395" s="137">
        <v>26.78</v>
      </c>
      <c r="C2395" s="133"/>
      <c r="D2395" s="50">
        <f t="shared" si="37"/>
        <v>2.881290818286586E-2</v>
      </c>
      <c r="E2395" s="49"/>
    </row>
    <row r="2396" spans="1:5" ht="14.4">
      <c r="A2396" s="136">
        <v>41075</v>
      </c>
      <c r="B2396" s="137">
        <v>26.03</v>
      </c>
      <c r="C2396" s="133"/>
      <c r="D2396" s="50">
        <f t="shared" si="37"/>
        <v>-4.3985465672211621E-3</v>
      </c>
      <c r="E2396" s="49"/>
    </row>
    <row r="2397" spans="1:5" ht="14.4">
      <c r="A2397" s="136">
        <v>41074</v>
      </c>
      <c r="B2397" s="137">
        <v>26.145</v>
      </c>
      <c r="C2397" s="133"/>
      <c r="D2397" s="50">
        <f t="shared" si="37"/>
        <v>-1.673561489281683E-2</v>
      </c>
      <c r="E2397" s="49"/>
    </row>
    <row r="2398" spans="1:5" ht="14.4">
      <c r="A2398" s="136">
        <v>41073</v>
      </c>
      <c r="B2398" s="137">
        <v>26.59</v>
      </c>
      <c r="C2398" s="133"/>
      <c r="D2398" s="50">
        <f t="shared" si="37"/>
        <v>-7.0948469006721915E-3</v>
      </c>
      <c r="E2398" s="49"/>
    </row>
    <row r="2399" spans="1:5" ht="14.4">
      <c r="A2399" s="136">
        <v>41072</v>
      </c>
      <c r="B2399" s="137">
        <v>26.78</v>
      </c>
      <c r="C2399" s="133"/>
      <c r="D2399" s="50">
        <f t="shared" si="37"/>
        <v>-5.598059339428918E-4</v>
      </c>
      <c r="E2399" s="49"/>
    </row>
    <row r="2400" spans="1:5" ht="14.4">
      <c r="A2400" s="136">
        <v>41071</v>
      </c>
      <c r="B2400" s="137">
        <v>26.795000000000002</v>
      </c>
      <c r="C2400" s="133"/>
      <c r="D2400" s="50">
        <f t="shared" si="37"/>
        <v>-3.1622023809523281E-3</v>
      </c>
      <c r="E2400" s="49"/>
    </row>
    <row r="2401" spans="1:5" ht="14.4">
      <c r="A2401" s="136">
        <v>41068</v>
      </c>
      <c r="B2401" s="137">
        <v>26.88</v>
      </c>
      <c r="C2401" s="133"/>
      <c r="D2401" s="50">
        <f t="shared" si="37"/>
        <v>-1.6465422612513714E-2</v>
      </c>
      <c r="E2401" s="49"/>
    </row>
    <row r="2402" spans="1:5" ht="14.4">
      <c r="A2402" s="136">
        <v>41067</v>
      </c>
      <c r="B2402" s="137">
        <v>27.33</v>
      </c>
      <c r="C2402" s="133"/>
      <c r="D2402" s="50">
        <f t="shared" si="37"/>
        <v>3.6405005688282088E-2</v>
      </c>
      <c r="E2402" s="49"/>
    </row>
    <row r="2403" spans="1:5" ht="14.4">
      <c r="A2403" s="136">
        <v>41066</v>
      </c>
      <c r="B2403" s="137">
        <v>26.37</v>
      </c>
      <c r="C2403" s="133"/>
      <c r="D2403" s="50">
        <f t="shared" si="37"/>
        <v>2.3680124223602439E-2</v>
      </c>
      <c r="E2403" s="49"/>
    </row>
    <row r="2404" spans="1:5" ht="14.4">
      <c r="A2404" s="136">
        <v>41065</v>
      </c>
      <c r="B2404" s="137">
        <v>25.76</v>
      </c>
      <c r="C2404" s="133"/>
      <c r="D2404" s="50">
        <f t="shared" si="37"/>
        <v>6.0535051747705459E-3</v>
      </c>
      <c r="E2404" s="49"/>
    </row>
    <row r="2405" spans="1:5" ht="14.4">
      <c r="A2405" s="136">
        <v>41064</v>
      </c>
      <c r="B2405" s="137">
        <v>25.605</v>
      </c>
      <c r="C2405" s="133"/>
      <c r="D2405" s="50">
        <f t="shared" si="37"/>
        <v>-2.0841300191204559E-2</v>
      </c>
      <c r="E2405" s="49"/>
    </row>
    <row r="2406" spans="1:5" ht="14.4">
      <c r="A2406" s="136">
        <v>41061</v>
      </c>
      <c r="B2406" s="137">
        <v>26.15</v>
      </c>
      <c r="C2406" s="133"/>
      <c r="D2406" s="50">
        <f t="shared" si="37"/>
        <v>-3.3985962319911356E-2</v>
      </c>
      <c r="E2406" s="49"/>
    </row>
    <row r="2407" spans="1:5" ht="14.4">
      <c r="A2407" s="136">
        <v>41060</v>
      </c>
      <c r="B2407" s="137">
        <v>27.07</v>
      </c>
      <c r="C2407" s="133"/>
      <c r="D2407" s="50">
        <f t="shared" si="37"/>
        <v>0</v>
      </c>
      <c r="E2407" s="49"/>
    </row>
    <row r="2408" spans="1:5" ht="14.4">
      <c r="A2408" s="136">
        <v>41059</v>
      </c>
      <c r="B2408" s="137">
        <v>27.07</v>
      </c>
      <c r="C2408" s="133"/>
      <c r="D2408" s="50">
        <f t="shared" si="37"/>
        <v>-2.7133872416891247E-2</v>
      </c>
      <c r="E2408" s="49"/>
    </row>
    <row r="2409" spans="1:5" ht="14.4">
      <c r="A2409" s="136">
        <v>41058</v>
      </c>
      <c r="B2409" s="137">
        <v>27.824999999999999</v>
      </c>
      <c r="C2409" s="133"/>
      <c r="D2409" s="50">
        <f t="shared" si="37"/>
        <v>7.4221578566255886E-3</v>
      </c>
      <c r="E2409" s="49"/>
    </row>
    <row r="2410" spans="1:5" ht="14.4">
      <c r="A2410" s="136">
        <v>41057</v>
      </c>
      <c r="B2410" s="137">
        <v>27.62</v>
      </c>
      <c r="C2410" s="133"/>
      <c r="D2410" s="50">
        <f t="shared" si="37"/>
        <v>1.2463343108504388E-2</v>
      </c>
      <c r="E2410" s="49"/>
    </row>
    <row r="2411" spans="1:5" ht="14.4">
      <c r="A2411" s="136">
        <v>41054</v>
      </c>
      <c r="B2411" s="137">
        <v>27.28</v>
      </c>
      <c r="C2411" s="133"/>
      <c r="D2411" s="50">
        <f t="shared" si="37"/>
        <v>-2.5192067178845701E-2</v>
      </c>
      <c r="E2411" s="49"/>
    </row>
    <row r="2412" spans="1:5" ht="14.4">
      <c r="A2412" s="136">
        <v>41053</v>
      </c>
      <c r="B2412" s="137">
        <v>27.984999999999999</v>
      </c>
      <c r="C2412" s="133"/>
      <c r="D2412" s="50">
        <f t="shared" si="37"/>
        <v>2.3280802292262592E-3</v>
      </c>
      <c r="E2412" s="49"/>
    </row>
    <row r="2413" spans="1:5" ht="14.4">
      <c r="A2413" s="136">
        <v>41052</v>
      </c>
      <c r="B2413" s="137">
        <v>27.92</v>
      </c>
      <c r="C2413" s="133"/>
      <c r="D2413" s="50">
        <f t="shared" si="37"/>
        <v>-2.0522715313102902E-2</v>
      </c>
      <c r="E2413" s="49"/>
    </row>
    <row r="2414" spans="1:5" ht="14.4">
      <c r="A2414" s="136">
        <v>41051</v>
      </c>
      <c r="B2414" s="137">
        <v>28.504999999999999</v>
      </c>
      <c r="C2414" s="133"/>
      <c r="D2414" s="50">
        <f t="shared" si="37"/>
        <v>2.022190408017166E-2</v>
      </c>
      <c r="E2414" s="49"/>
    </row>
    <row r="2415" spans="1:5" ht="14.4">
      <c r="A2415" s="136">
        <v>41050</v>
      </c>
      <c r="B2415" s="137">
        <v>27.94</v>
      </c>
      <c r="C2415" s="133"/>
      <c r="D2415" s="50">
        <f t="shared" si="37"/>
        <v>4.6745774901115755E-3</v>
      </c>
      <c r="E2415" s="49"/>
    </row>
    <row r="2416" spans="1:5" ht="14.4">
      <c r="A2416" s="136">
        <v>41047</v>
      </c>
      <c r="B2416" s="137">
        <v>27.81</v>
      </c>
      <c r="C2416" s="133"/>
      <c r="D2416" s="50">
        <f t="shared" si="37"/>
        <v>-3.2863849765258246E-2</v>
      </c>
      <c r="E2416" s="49"/>
    </row>
    <row r="2417" spans="1:5" ht="14.4">
      <c r="A2417" s="136">
        <v>41046</v>
      </c>
      <c r="B2417" s="137">
        <v>28.754999999999999</v>
      </c>
      <c r="C2417" s="133"/>
      <c r="D2417" s="50">
        <f t="shared" si="37"/>
        <v>-2.1272974812797774E-2</v>
      </c>
      <c r="E2417" s="49"/>
    </row>
    <row r="2418" spans="1:5" ht="14.4">
      <c r="A2418" s="136">
        <v>41045</v>
      </c>
      <c r="B2418" s="137">
        <v>29.38</v>
      </c>
      <c r="C2418" s="133"/>
      <c r="D2418" s="50">
        <f t="shared" si="37"/>
        <v>1.2056493282810887E-2</v>
      </c>
      <c r="E2418" s="49"/>
    </row>
    <row r="2419" spans="1:5" ht="14.4">
      <c r="A2419" s="136">
        <v>41044</v>
      </c>
      <c r="B2419" s="137">
        <v>29.03</v>
      </c>
      <c r="C2419" s="133"/>
      <c r="D2419" s="50">
        <f t="shared" si="37"/>
        <v>1.0617928633594342E-2</v>
      </c>
      <c r="E2419" s="49"/>
    </row>
    <row r="2420" spans="1:5" ht="14.4">
      <c r="A2420" s="136">
        <v>41043</v>
      </c>
      <c r="B2420" s="137">
        <v>28.725000000000001</v>
      </c>
      <c r="C2420" s="133"/>
      <c r="D2420" s="50">
        <f t="shared" si="37"/>
        <v>4.3706293706293753E-3</v>
      </c>
      <c r="E2420" s="49"/>
    </row>
    <row r="2421" spans="1:5" ht="14.4">
      <c r="A2421" s="136">
        <v>41040</v>
      </c>
      <c r="B2421" s="137">
        <v>28.6</v>
      </c>
      <c r="C2421" s="133"/>
      <c r="D2421" s="50">
        <f t="shared" si="37"/>
        <v>-8.3217753120665705E-3</v>
      </c>
      <c r="E2421" s="49"/>
    </row>
    <row r="2422" spans="1:5" ht="14.4">
      <c r="A2422" s="136">
        <v>41039</v>
      </c>
      <c r="B2422" s="137">
        <v>28.84</v>
      </c>
      <c r="C2422" s="133"/>
      <c r="D2422" s="50">
        <f t="shared" si="37"/>
        <v>-8.5940185630800636E-3</v>
      </c>
      <c r="E2422" s="49"/>
    </row>
    <row r="2423" spans="1:5" ht="14.4">
      <c r="A2423" s="136">
        <v>41038</v>
      </c>
      <c r="B2423" s="137">
        <v>29.09</v>
      </c>
      <c r="C2423" s="133"/>
      <c r="D2423" s="50">
        <f t="shared" si="37"/>
        <v>1.2178148921363929E-2</v>
      </c>
      <c r="E2423" s="49"/>
    </row>
    <row r="2424" spans="1:5" ht="14.4">
      <c r="A2424" s="136">
        <v>41037</v>
      </c>
      <c r="B2424" s="137">
        <v>28.74</v>
      </c>
      <c r="C2424" s="133"/>
      <c r="D2424" s="50">
        <f t="shared" si="37"/>
        <v>-3.2648939750925643E-2</v>
      </c>
      <c r="E2424" s="49"/>
    </row>
    <row r="2425" spans="1:5" ht="14.4">
      <c r="A2425" s="136">
        <v>41036</v>
      </c>
      <c r="B2425" s="137">
        <v>29.71</v>
      </c>
      <c r="C2425" s="133"/>
      <c r="D2425" s="50">
        <f t="shared" si="37"/>
        <v>6.0954961056551848E-3</v>
      </c>
      <c r="E2425" s="49"/>
    </row>
    <row r="2426" spans="1:5" ht="14.4">
      <c r="A2426" s="136">
        <v>41033</v>
      </c>
      <c r="B2426" s="137">
        <v>29.53</v>
      </c>
      <c r="C2426" s="133"/>
      <c r="D2426" s="50">
        <f t="shared" si="37"/>
        <v>-3.3387888707037683E-2</v>
      </c>
      <c r="E2426" s="49"/>
    </row>
    <row r="2427" spans="1:5" ht="14.4">
      <c r="A2427" s="136">
        <v>41032</v>
      </c>
      <c r="B2427" s="137">
        <v>30.55</v>
      </c>
      <c r="C2427" s="133"/>
      <c r="D2427" s="50">
        <f t="shared" si="37"/>
        <v>1.2931034482758674E-2</v>
      </c>
      <c r="E2427" s="49"/>
    </row>
    <row r="2428" spans="1:5" ht="14.4">
      <c r="A2428" s="136">
        <v>41031</v>
      </c>
      <c r="B2428" s="137">
        <v>30.16</v>
      </c>
      <c r="C2428" s="133"/>
      <c r="D2428" s="50">
        <f t="shared" si="37"/>
        <v>1.123218776194479E-2</v>
      </c>
      <c r="E2428" s="49"/>
    </row>
    <row r="2429" spans="1:5" ht="14.4">
      <c r="A2429" s="136">
        <v>41029</v>
      </c>
      <c r="B2429" s="137">
        <v>29.824999999999999</v>
      </c>
      <c r="C2429" s="133"/>
      <c r="D2429" s="50">
        <f t="shared" si="37"/>
        <v>-2.0686258414053471E-2</v>
      </c>
      <c r="E2429" s="49"/>
    </row>
    <row r="2430" spans="1:5" ht="14.4">
      <c r="A2430" s="136">
        <v>41026</v>
      </c>
      <c r="B2430" s="137">
        <v>30.454999999999998</v>
      </c>
      <c r="C2430" s="133"/>
      <c r="D2430" s="50">
        <f t="shared" si="37"/>
        <v>5.6133399372626513E-3</v>
      </c>
      <c r="E2430" s="49"/>
    </row>
    <row r="2431" spans="1:5" ht="14.4">
      <c r="A2431" s="136">
        <v>41025</v>
      </c>
      <c r="B2431" s="137">
        <v>30.285</v>
      </c>
      <c r="C2431" s="133"/>
      <c r="D2431" s="50">
        <f t="shared" si="37"/>
        <v>-5.0919842312746599E-3</v>
      </c>
      <c r="E2431" s="49"/>
    </row>
    <row r="2432" spans="1:5" ht="14.4">
      <c r="A2432" s="136">
        <v>41024</v>
      </c>
      <c r="B2432" s="137">
        <v>30.44</v>
      </c>
      <c r="C2432" s="133"/>
      <c r="D2432" s="50">
        <f t="shared" si="37"/>
        <v>2.3365271474197424E-2</v>
      </c>
      <c r="E2432" s="49"/>
    </row>
    <row r="2433" spans="1:5" ht="14.4">
      <c r="A2433" s="136">
        <v>41023</v>
      </c>
      <c r="B2433" s="137">
        <v>29.745000000000001</v>
      </c>
      <c r="C2433" s="133"/>
      <c r="D2433" s="50">
        <f t="shared" si="37"/>
        <v>1.6923076923077041E-2</v>
      </c>
      <c r="E2433" s="49"/>
    </row>
    <row r="2434" spans="1:5" ht="14.4">
      <c r="A2434" s="136">
        <v>41022</v>
      </c>
      <c r="B2434" s="137">
        <v>29.25</v>
      </c>
      <c r="C2434" s="133"/>
      <c r="D2434" s="50">
        <f t="shared" si="37"/>
        <v>-4.3648847474252128E-2</v>
      </c>
      <c r="E2434" s="49"/>
    </row>
    <row r="2435" spans="1:5" ht="14.4">
      <c r="A2435" s="136">
        <v>41019</v>
      </c>
      <c r="B2435" s="137">
        <v>30.585000000000001</v>
      </c>
      <c r="C2435" s="133"/>
      <c r="D2435" s="50">
        <f t="shared" si="37"/>
        <v>-8.5899513776337422E-3</v>
      </c>
      <c r="E2435" s="49"/>
    </row>
    <row r="2436" spans="1:5" ht="14.4">
      <c r="A2436" s="136">
        <v>41018</v>
      </c>
      <c r="B2436" s="137">
        <v>30.85</v>
      </c>
      <c r="C2436" s="133"/>
      <c r="D2436" s="50">
        <f t="shared" si="37"/>
        <v>6.8537859007833379E-3</v>
      </c>
      <c r="E2436" s="49"/>
    </row>
    <row r="2437" spans="1:5" ht="14.4">
      <c r="A2437" s="136">
        <v>41017</v>
      </c>
      <c r="B2437" s="137">
        <v>30.64</v>
      </c>
      <c r="C2437" s="133"/>
      <c r="D2437" s="50">
        <f t="shared" si="37"/>
        <v>-1.049572097529472E-2</v>
      </c>
      <c r="E2437" s="49"/>
    </row>
    <row r="2438" spans="1:5" ht="14.4">
      <c r="A2438" s="136">
        <v>41016</v>
      </c>
      <c r="B2438" s="137">
        <v>30.965</v>
      </c>
      <c r="C2438" s="133"/>
      <c r="D2438" s="50">
        <f t="shared" si="37"/>
        <v>9.6185197261167144E-3</v>
      </c>
      <c r="E2438" s="49"/>
    </row>
    <row r="2439" spans="1:5" ht="14.4">
      <c r="A2439" s="136">
        <v>41015</v>
      </c>
      <c r="B2439" s="137">
        <v>30.67</v>
      </c>
      <c r="C2439" s="133"/>
      <c r="D2439" s="50">
        <f t="shared" si="37"/>
        <v>1.4890800794176151E-2</v>
      </c>
      <c r="E2439" s="49"/>
    </row>
    <row r="2440" spans="1:5" ht="14.4">
      <c r="A2440" s="136">
        <v>41012</v>
      </c>
      <c r="B2440" s="137">
        <v>30.22</v>
      </c>
      <c r="C2440" s="133"/>
      <c r="D2440" s="50">
        <f t="shared" ref="D2440:D2503" si="38">(B2440-C2440)/B2441-1</f>
        <v>-2.2006472491909346E-2</v>
      </c>
      <c r="E2440" s="49"/>
    </row>
    <row r="2441" spans="1:5" ht="14.4">
      <c r="A2441" s="136">
        <v>41011</v>
      </c>
      <c r="B2441" s="137">
        <v>30.9</v>
      </c>
      <c r="C2441" s="133"/>
      <c r="D2441" s="50">
        <f t="shared" si="38"/>
        <v>2.8799733644081948E-2</v>
      </c>
      <c r="E2441" s="49"/>
    </row>
    <row r="2442" spans="1:5" ht="14.4">
      <c r="A2442" s="136">
        <v>41010</v>
      </c>
      <c r="B2442" s="137">
        <v>30.035</v>
      </c>
      <c r="C2442" s="133"/>
      <c r="D2442" s="50">
        <f t="shared" si="38"/>
        <v>1.0428931875525516E-2</v>
      </c>
      <c r="E2442" s="49"/>
    </row>
    <row r="2443" spans="1:5" ht="14.4">
      <c r="A2443" s="136">
        <v>41009</v>
      </c>
      <c r="B2443" s="137">
        <v>29.725000000000001</v>
      </c>
      <c r="C2443" s="133"/>
      <c r="D2443" s="50">
        <f t="shared" si="38"/>
        <v>-3.1285644451686356E-2</v>
      </c>
      <c r="E2443" s="49"/>
    </row>
    <row r="2444" spans="1:5" ht="14.4">
      <c r="A2444" s="136">
        <v>41004</v>
      </c>
      <c r="B2444" s="137">
        <v>30.684999999999999</v>
      </c>
      <c r="C2444" s="133"/>
      <c r="D2444" s="50">
        <f t="shared" si="38"/>
        <v>1.037207770826476E-2</v>
      </c>
      <c r="E2444" s="49"/>
    </row>
    <row r="2445" spans="1:5" ht="14.4">
      <c r="A2445" s="136">
        <v>41003</v>
      </c>
      <c r="B2445" s="137">
        <v>30.37</v>
      </c>
      <c r="C2445" s="133"/>
      <c r="D2445" s="50">
        <f t="shared" si="38"/>
        <v>-2.5665704202759043E-2</v>
      </c>
      <c r="E2445" s="49"/>
    </row>
    <row r="2446" spans="1:5" ht="14.4">
      <c r="A2446" s="136">
        <v>41002</v>
      </c>
      <c r="B2446" s="137">
        <v>31.17</v>
      </c>
      <c r="C2446" s="133"/>
      <c r="D2446" s="50">
        <f t="shared" si="38"/>
        <v>7.1082390953149943E-3</v>
      </c>
      <c r="E2446" s="49"/>
    </row>
    <row r="2447" spans="1:5" ht="14.4">
      <c r="A2447" s="136">
        <v>41001</v>
      </c>
      <c r="B2447" s="137">
        <v>30.95</v>
      </c>
      <c r="C2447" s="133"/>
      <c r="D2447" s="50">
        <f t="shared" si="38"/>
        <v>7.9791564891711353E-3</v>
      </c>
      <c r="E2447" s="49"/>
    </row>
    <row r="2448" spans="1:5" ht="14.4">
      <c r="A2448" s="136">
        <v>40998</v>
      </c>
      <c r="B2448" s="137">
        <v>30.704999999999998</v>
      </c>
      <c r="C2448" s="133"/>
      <c r="D2448" s="50">
        <f t="shared" si="38"/>
        <v>1.2530915086562233E-2</v>
      </c>
      <c r="E2448" s="49"/>
    </row>
    <row r="2449" spans="1:5" ht="14.4">
      <c r="A2449" s="136">
        <v>40997</v>
      </c>
      <c r="B2449" s="137">
        <v>30.324999999999999</v>
      </c>
      <c r="C2449" s="133"/>
      <c r="D2449" s="50">
        <f t="shared" si="38"/>
        <v>-1.2054080469131812E-2</v>
      </c>
      <c r="E2449" s="49"/>
    </row>
    <row r="2450" spans="1:5" ht="14.4">
      <c r="A2450" s="136">
        <v>40996</v>
      </c>
      <c r="B2450" s="137">
        <v>30.695</v>
      </c>
      <c r="C2450" s="133"/>
      <c r="D2450" s="50">
        <f t="shared" si="38"/>
        <v>-3.4090909090909172E-3</v>
      </c>
      <c r="E2450" s="49"/>
    </row>
    <row r="2451" spans="1:5" ht="14.4">
      <c r="A2451" s="136">
        <v>40995</v>
      </c>
      <c r="B2451" s="137">
        <v>30.8</v>
      </c>
      <c r="C2451" s="133"/>
      <c r="D2451" s="50">
        <f t="shared" si="38"/>
        <v>-1.7825311942959443E-3</v>
      </c>
      <c r="E2451" s="49"/>
    </row>
    <row r="2452" spans="1:5" ht="14.4">
      <c r="A2452" s="136">
        <v>40994</v>
      </c>
      <c r="B2452" s="137">
        <v>30.855</v>
      </c>
      <c r="C2452" s="133"/>
      <c r="D2452" s="50">
        <f t="shared" si="38"/>
        <v>1.2967826657912074E-2</v>
      </c>
      <c r="E2452" s="49"/>
    </row>
    <row r="2453" spans="1:5" ht="14.4">
      <c r="A2453" s="136">
        <v>40991</v>
      </c>
      <c r="B2453" s="137">
        <v>30.46</v>
      </c>
      <c r="C2453" s="133"/>
      <c r="D2453" s="50">
        <f t="shared" si="38"/>
        <v>7.2751322751323233E-3</v>
      </c>
      <c r="E2453" s="49"/>
    </row>
    <row r="2454" spans="1:5" ht="14.4">
      <c r="A2454" s="136">
        <v>40990</v>
      </c>
      <c r="B2454" s="137">
        <v>30.24</v>
      </c>
      <c r="C2454" s="133"/>
      <c r="D2454" s="50">
        <f t="shared" si="38"/>
        <v>-1.6745244675662518E-2</v>
      </c>
      <c r="E2454" s="49"/>
    </row>
    <row r="2455" spans="1:5" ht="14.4">
      <c r="A2455" s="136">
        <v>40989</v>
      </c>
      <c r="B2455" s="137">
        <v>30.754999999999999</v>
      </c>
      <c r="C2455" s="133"/>
      <c r="D2455" s="50">
        <f t="shared" si="38"/>
        <v>1.0348226018396689E-2</v>
      </c>
      <c r="E2455" s="49"/>
    </row>
    <row r="2456" spans="1:5" ht="14.4">
      <c r="A2456" s="136">
        <v>40988</v>
      </c>
      <c r="B2456" s="137">
        <v>30.44</v>
      </c>
      <c r="C2456" s="133"/>
      <c r="D2456" s="50">
        <f t="shared" si="38"/>
        <v>3.7922506183019067E-3</v>
      </c>
      <c r="E2456" s="49"/>
    </row>
    <row r="2457" spans="1:5" ht="14.4">
      <c r="A2457" s="136">
        <v>40987</v>
      </c>
      <c r="B2457" s="137">
        <v>30.324999999999999</v>
      </c>
      <c r="C2457" s="133"/>
      <c r="D2457" s="50">
        <f t="shared" si="38"/>
        <v>-2.4919614147909996E-2</v>
      </c>
      <c r="E2457" s="49"/>
    </row>
    <row r="2458" spans="1:5" ht="14.4">
      <c r="A2458" s="136">
        <v>40984</v>
      </c>
      <c r="B2458" s="137">
        <v>31.1</v>
      </c>
      <c r="C2458" s="133"/>
      <c r="D2458" s="50">
        <f t="shared" si="38"/>
        <v>9.248742495537865E-3</v>
      </c>
      <c r="E2458" s="49"/>
    </row>
    <row r="2459" spans="1:5" ht="14.4">
      <c r="A2459" s="136">
        <v>40983</v>
      </c>
      <c r="B2459" s="137">
        <v>30.815000000000001</v>
      </c>
      <c r="C2459" s="133"/>
      <c r="D2459" s="50">
        <f t="shared" si="38"/>
        <v>8.5092456226476543E-3</v>
      </c>
      <c r="E2459" s="49"/>
    </row>
    <row r="2460" spans="1:5" ht="14.4">
      <c r="A2460" s="136">
        <v>40982</v>
      </c>
      <c r="B2460" s="137">
        <v>30.555</v>
      </c>
      <c r="C2460" s="133"/>
      <c r="D2460" s="50">
        <f t="shared" si="38"/>
        <v>1.0082644628099269E-2</v>
      </c>
      <c r="E2460" s="49"/>
    </row>
    <row r="2461" spans="1:5" ht="14.4">
      <c r="A2461" s="136">
        <v>40981</v>
      </c>
      <c r="B2461" s="137">
        <v>30.25</v>
      </c>
      <c r="C2461" s="133"/>
      <c r="D2461" s="50">
        <f t="shared" si="38"/>
        <v>1.8518518518518601E-2</v>
      </c>
      <c r="E2461" s="49"/>
    </row>
    <row r="2462" spans="1:5" ht="14.4">
      <c r="A2462" s="136">
        <v>40980</v>
      </c>
      <c r="B2462" s="137">
        <v>29.7</v>
      </c>
      <c r="C2462" s="133"/>
      <c r="D2462" s="50">
        <f t="shared" si="38"/>
        <v>-1.19760479041916E-2</v>
      </c>
      <c r="E2462" s="49"/>
    </row>
    <row r="2463" spans="1:5" ht="14.4">
      <c r="A2463" s="136">
        <v>40977</v>
      </c>
      <c r="B2463" s="137">
        <v>30.06</v>
      </c>
      <c r="C2463" s="133"/>
      <c r="D2463" s="50">
        <f t="shared" si="38"/>
        <v>1.0759919300605159E-2</v>
      </c>
      <c r="E2463" s="49"/>
    </row>
    <row r="2464" spans="1:5" ht="14.4">
      <c r="A2464" s="136">
        <v>40976</v>
      </c>
      <c r="B2464" s="137">
        <v>29.74</v>
      </c>
      <c r="C2464" s="133"/>
      <c r="D2464" s="50">
        <f t="shared" si="38"/>
        <v>0.10784131123114182</v>
      </c>
      <c r="E2464" s="49"/>
    </row>
    <row r="2465" spans="1:5" ht="14.4">
      <c r="A2465" s="136">
        <v>40975</v>
      </c>
      <c r="B2465" s="137">
        <v>26.844999999999999</v>
      </c>
      <c r="C2465" s="133"/>
      <c r="D2465" s="50">
        <f t="shared" si="38"/>
        <v>1.4933837429111474E-2</v>
      </c>
      <c r="E2465" s="49"/>
    </row>
    <row r="2466" spans="1:5" ht="14.4">
      <c r="A2466" s="136">
        <v>40974</v>
      </c>
      <c r="B2466" s="137">
        <v>26.45</v>
      </c>
      <c r="C2466" s="133"/>
      <c r="D2466" s="50">
        <f t="shared" si="38"/>
        <v>-3.7131416090280256E-2</v>
      </c>
      <c r="E2466" s="49"/>
    </row>
    <row r="2467" spans="1:5" ht="14.4">
      <c r="A2467" s="136">
        <v>40973</v>
      </c>
      <c r="B2467" s="137">
        <v>27.47</v>
      </c>
      <c r="C2467" s="133"/>
      <c r="D2467" s="50">
        <f t="shared" si="38"/>
        <v>-6.5099457504520508E-3</v>
      </c>
      <c r="E2467" s="49"/>
    </row>
    <row r="2468" spans="1:5" ht="14.4">
      <c r="A2468" s="136">
        <v>40970</v>
      </c>
      <c r="B2468" s="137">
        <v>27.65</v>
      </c>
      <c r="C2468" s="133"/>
      <c r="D2468" s="50">
        <f t="shared" si="38"/>
        <v>-1.4260249554367332E-2</v>
      </c>
      <c r="E2468" s="49"/>
    </row>
    <row r="2469" spans="1:5" ht="14.4">
      <c r="A2469" s="136">
        <v>40969</v>
      </c>
      <c r="B2469" s="137">
        <v>28.05</v>
      </c>
      <c r="C2469" s="133"/>
      <c r="D2469" s="50">
        <f t="shared" si="38"/>
        <v>2.8791490922428054E-2</v>
      </c>
      <c r="E2469" s="49"/>
    </row>
    <row r="2470" spans="1:5" ht="14.4">
      <c r="A2470" s="136">
        <v>40968</v>
      </c>
      <c r="B2470" s="137">
        <v>27.265000000000001</v>
      </c>
      <c r="C2470" s="133"/>
      <c r="D2470" s="50">
        <f t="shared" si="38"/>
        <v>2.7583670467083987E-3</v>
      </c>
      <c r="E2470" s="49"/>
    </row>
    <row r="2471" spans="1:5" ht="14.4">
      <c r="A2471" s="136">
        <v>40967</v>
      </c>
      <c r="B2471" s="137">
        <v>27.19</v>
      </c>
      <c r="C2471" s="133"/>
      <c r="D2471" s="50">
        <f t="shared" si="38"/>
        <v>9.2030185900981998E-4</v>
      </c>
      <c r="E2471" s="49"/>
    </row>
    <row r="2472" spans="1:5" ht="14.4">
      <c r="A2472" s="136">
        <v>40966</v>
      </c>
      <c r="B2472" s="137">
        <v>27.164999999999999</v>
      </c>
      <c r="C2472" s="133"/>
      <c r="D2472" s="50">
        <f t="shared" si="38"/>
        <v>3.8802660753880502E-3</v>
      </c>
      <c r="E2472" s="49"/>
    </row>
    <row r="2473" spans="1:5" ht="14.4">
      <c r="A2473" s="136">
        <v>40963</v>
      </c>
      <c r="B2473" s="137">
        <v>27.06</v>
      </c>
      <c r="C2473" s="133"/>
      <c r="D2473" s="50">
        <f t="shared" si="38"/>
        <v>-8.6096354643708795E-3</v>
      </c>
      <c r="E2473" s="49"/>
    </row>
    <row r="2474" spans="1:5" ht="14.4">
      <c r="A2474" s="136">
        <v>40962</v>
      </c>
      <c r="B2474" s="137">
        <v>27.295000000000002</v>
      </c>
      <c r="C2474" s="133"/>
      <c r="D2474" s="50">
        <f t="shared" si="38"/>
        <v>4.7855696668508418E-3</v>
      </c>
      <c r="E2474" s="49"/>
    </row>
    <row r="2475" spans="1:5" ht="14.4">
      <c r="A2475" s="136">
        <v>40961</v>
      </c>
      <c r="B2475" s="137">
        <v>27.164999999999999</v>
      </c>
      <c r="C2475" s="133"/>
      <c r="D2475" s="50">
        <f t="shared" si="38"/>
        <v>6.1111111111111782E-3</v>
      </c>
      <c r="E2475" s="49"/>
    </row>
    <row r="2476" spans="1:5" ht="14.4">
      <c r="A2476" s="136">
        <v>40960</v>
      </c>
      <c r="B2476" s="137">
        <v>27</v>
      </c>
      <c r="C2476" s="133"/>
      <c r="D2476" s="50">
        <f t="shared" si="38"/>
        <v>-2.5858884373846092E-3</v>
      </c>
      <c r="E2476" s="49"/>
    </row>
    <row r="2477" spans="1:5" ht="14.4">
      <c r="A2477" s="136">
        <v>40959</v>
      </c>
      <c r="B2477" s="137">
        <v>27.07</v>
      </c>
      <c r="C2477" s="133"/>
      <c r="D2477" s="50">
        <f t="shared" si="38"/>
        <v>-1.8436578171091567E-3</v>
      </c>
      <c r="E2477" s="49"/>
    </row>
    <row r="2478" spans="1:5" ht="14.4">
      <c r="A2478" s="136">
        <v>40956</v>
      </c>
      <c r="B2478" s="137">
        <v>27.12</v>
      </c>
      <c r="C2478" s="133"/>
      <c r="D2478" s="50">
        <f t="shared" si="38"/>
        <v>8.5533655634064676E-3</v>
      </c>
      <c r="E2478" s="49"/>
    </row>
    <row r="2479" spans="1:5" ht="14.4">
      <c r="A2479" s="136">
        <v>40955</v>
      </c>
      <c r="B2479" s="137">
        <v>26.89</v>
      </c>
      <c r="C2479" s="133"/>
      <c r="D2479" s="50">
        <f t="shared" si="38"/>
        <v>-5.3634177917514236E-3</v>
      </c>
      <c r="E2479" s="49"/>
    </row>
    <row r="2480" spans="1:5" ht="14.4">
      <c r="A2480" s="136">
        <v>40954</v>
      </c>
      <c r="B2480" s="137">
        <v>27.035</v>
      </c>
      <c r="C2480" s="133"/>
      <c r="D2480" s="50">
        <f t="shared" si="38"/>
        <v>1.667284179325712E-3</v>
      </c>
      <c r="E2480" s="49"/>
    </row>
    <row r="2481" spans="1:5" ht="14.4">
      <c r="A2481" s="136">
        <v>40953</v>
      </c>
      <c r="B2481" s="137">
        <v>26.99</v>
      </c>
      <c r="C2481" s="133"/>
      <c r="D2481" s="50">
        <f t="shared" si="38"/>
        <v>-2.2181146025879173E-3</v>
      </c>
      <c r="E2481" s="49"/>
    </row>
    <row r="2482" spans="1:5" ht="14.4">
      <c r="A2482" s="136">
        <v>40952</v>
      </c>
      <c r="B2482" s="137">
        <v>27.05</v>
      </c>
      <c r="C2482" s="133"/>
      <c r="D2482" s="50">
        <f t="shared" si="38"/>
        <v>1.1214953271028172E-2</v>
      </c>
      <c r="E2482" s="49"/>
    </row>
    <row r="2483" spans="1:5" ht="14.4">
      <c r="A2483" s="136">
        <v>40949</v>
      </c>
      <c r="B2483" s="137">
        <v>26.75</v>
      </c>
      <c r="C2483" s="133"/>
      <c r="D2483" s="50">
        <f t="shared" si="38"/>
        <v>-2.9817368617218731E-3</v>
      </c>
      <c r="E2483" s="49"/>
    </row>
    <row r="2484" spans="1:5" ht="14.4">
      <c r="A2484" s="136">
        <v>40948</v>
      </c>
      <c r="B2484" s="137">
        <v>26.83</v>
      </c>
      <c r="C2484" s="133"/>
      <c r="D2484" s="50">
        <f t="shared" si="38"/>
        <v>1.41750141750141E-2</v>
      </c>
      <c r="E2484" s="49"/>
    </row>
    <row r="2485" spans="1:5" ht="14.4">
      <c r="A2485" s="136">
        <v>40947</v>
      </c>
      <c r="B2485" s="137">
        <v>26.454999999999998</v>
      </c>
      <c r="C2485" s="133"/>
      <c r="D2485" s="50">
        <f t="shared" si="38"/>
        <v>-1.8549434242255636E-2</v>
      </c>
      <c r="E2485" s="49"/>
    </row>
    <row r="2486" spans="1:5" ht="14.4">
      <c r="A2486" s="136">
        <v>40946</v>
      </c>
      <c r="B2486" s="137">
        <v>26.954999999999998</v>
      </c>
      <c r="C2486" s="133"/>
      <c r="D2486" s="50">
        <f t="shared" si="38"/>
        <v>-1.0099155343371358E-2</v>
      </c>
      <c r="E2486" s="49"/>
    </row>
    <row r="2487" spans="1:5" ht="14.4">
      <c r="A2487" s="136">
        <v>40945</v>
      </c>
      <c r="B2487" s="137">
        <v>27.23</v>
      </c>
      <c r="C2487" s="133"/>
      <c r="D2487" s="50">
        <f t="shared" si="38"/>
        <v>-1.125635439360928E-2</v>
      </c>
      <c r="E2487" s="49"/>
    </row>
    <row r="2488" spans="1:5" ht="14.4">
      <c r="A2488" s="136">
        <v>40942</v>
      </c>
      <c r="B2488" s="137">
        <v>27.54</v>
      </c>
      <c r="C2488" s="133"/>
      <c r="D2488" s="50">
        <f t="shared" si="38"/>
        <v>6.0862865947611589E-2</v>
      </c>
      <c r="E2488" s="49"/>
    </row>
    <row r="2489" spans="1:5" ht="14.4">
      <c r="A2489" s="136">
        <v>40941</v>
      </c>
      <c r="B2489" s="137">
        <v>25.96</v>
      </c>
      <c r="C2489" s="133"/>
      <c r="D2489" s="50">
        <f t="shared" si="38"/>
        <v>1.9264110961292324E-4</v>
      </c>
      <c r="E2489" s="49"/>
    </row>
    <row r="2490" spans="1:5" ht="14.4">
      <c r="A2490" s="136">
        <v>40940</v>
      </c>
      <c r="B2490" s="137">
        <v>25.954999999999998</v>
      </c>
      <c r="C2490" s="133"/>
      <c r="D2490" s="50">
        <f t="shared" si="38"/>
        <v>1.0708722741432863E-2</v>
      </c>
      <c r="E2490" s="49"/>
    </row>
    <row r="2491" spans="1:5" ht="14.4">
      <c r="A2491" s="136">
        <v>40939</v>
      </c>
      <c r="B2491" s="137">
        <v>25.68</v>
      </c>
      <c r="C2491" s="133"/>
      <c r="D2491" s="50">
        <f t="shared" si="38"/>
        <v>1.1820330969267268E-2</v>
      </c>
      <c r="E2491" s="49"/>
    </row>
    <row r="2492" spans="1:5" ht="14.4">
      <c r="A2492" s="136">
        <v>40938</v>
      </c>
      <c r="B2492" s="137">
        <v>25.38</v>
      </c>
      <c r="C2492" s="133"/>
      <c r="D2492" s="50">
        <f t="shared" si="38"/>
        <v>-8.9808668488872145E-3</v>
      </c>
      <c r="E2492" s="49"/>
    </row>
    <row r="2493" spans="1:5" ht="14.4">
      <c r="A2493" s="136">
        <v>40935</v>
      </c>
      <c r="B2493" s="137">
        <v>25.61</v>
      </c>
      <c r="C2493" s="133"/>
      <c r="D2493" s="50">
        <f t="shared" si="38"/>
        <v>6.4845745726076487E-3</v>
      </c>
      <c r="E2493" s="49"/>
    </row>
    <row r="2494" spans="1:5" ht="14.4">
      <c r="A2494" s="136">
        <v>40934</v>
      </c>
      <c r="B2494" s="137">
        <v>25.445</v>
      </c>
      <c r="C2494" s="133"/>
      <c r="D2494" s="50">
        <f t="shared" si="38"/>
        <v>-1.4141805501743487E-2</v>
      </c>
      <c r="E2494" s="49"/>
    </row>
    <row r="2495" spans="1:5" ht="14.4">
      <c r="A2495" s="136">
        <v>40933</v>
      </c>
      <c r="B2495" s="137">
        <v>25.81</v>
      </c>
      <c r="C2495" s="133"/>
      <c r="D2495" s="50">
        <f t="shared" si="38"/>
        <v>-6.160954948016939E-3</v>
      </c>
      <c r="E2495" s="49"/>
    </row>
    <row r="2496" spans="1:5" ht="14.4">
      <c r="A2496" s="136">
        <v>40932</v>
      </c>
      <c r="B2496" s="137">
        <v>25.97</v>
      </c>
      <c r="C2496" s="133"/>
      <c r="D2496" s="50">
        <f t="shared" si="38"/>
        <v>1.2673035679469757E-2</v>
      </c>
      <c r="E2496" s="49"/>
    </row>
    <row r="2497" spans="1:5" ht="14.4">
      <c r="A2497" s="136">
        <v>40931</v>
      </c>
      <c r="B2497" s="137">
        <v>25.645</v>
      </c>
      <c r="C2497" s="133"/>
      <c r="D2497" s="50">
        <f t="shared" si="38"/>
        <v>-1.9493177387908123E-4</v>
      </c>
      <c r="E2497" s="49"/>
    </row>
    <row r="2498" spans="1:5" ht="14.4">
      <c r="A2498" s="136">
        <v>40928</v>
      </c>
      <c r="B2498" s="137">
        <v>25.65</v>
      </c>
      <c r="C2498" s="133"/>
      <c r="D2498" s="50">
        <f t="shared" si="38"/>
        <v>4.8971596474045587E-3</v>
      </c>
      <c r="E2498" s="49"/>
    </row>
    <row r="2499" spans="1:5" ht="14.4">
      <c r="A2499" s="136">
        <v>40927</v>
      </c>
      <c r="B2499" s="137">
        <v>25.524999999999999</v>
      </c>
      <c r="C2499" s="133"/>
      <c r="D2499" s="50">
        <f t="shared" si="38"/>
        <v>-1.3145176879953646E-2</v>
      </c>
      <c r="E2499" s="49"/>
    </row>
    <row r="2500" spans="1:5" ht="14.4">
      <c r="A2500" s="136">
        <v>40926</v>
      </c>
      <c r="B2500" s="137">
        <v>25.864999999999998</v>
      </c>
      <c r="C2500" s="133"/>
      <c r="D2500" s="50">
        <f t="shared" si="38"/>
        <v>2.9081039162466293E-3</v>
      </c>
      <c r="E2500" s="49"/>
    </row>
    <row r="2501" spans="1:5" ht="14.4">
      <c r="A2501" s="136">
        <v>40925</v>
      </c>
      <c r="B2501" s="137">
        <v>25.79</v>
      </c>
      <c r="C2501" s="133"/>
      <c r="D2501" s="50">
        <f t="shared" si="38"/>
        <v>4.4790652385588992E-3</v>
      </c>
      <c r="E2501" s="49"/>
    </row>
    <row r="2502" spans="1:5" ht="14.4">
      <c r="A2502" s="136">
        <v>40924</v>
      </c>
      <c r="B2502" s="137">
        <v>25.675000000000001</v>
      </c>
      <c r="C2502" s="133"/>
      <c r="D2502" s="50">
        <f t="shared" si="38"/>
        <v>2.0874751491053667E-2</v>
      </c>
      <c r="E2502" s="49"/>
    </row>
    <row r="2503" spans="1:5" ht="14.4">
      <c r="A2503" s="136">
        <v>40921</v>
      </c>
      <c r="B2503" s="137">
        <v>25.15</v>
      </c>
      <c r="C2503" s="133"/>
      <c r="D2503" s="50">
        <f t="shared" si="38"/>
        <v>4.5935690033951371E-3</v>
      </c>
      <c r="E2503" s="49"/>
    </row>
    <row r="2504" spans="1:5" ht="14.4">
      <c r="A2504" s="136">
        <v>40920</v>
      </c>
      <c r="B2504" s="137">
        <v>25.035</v>
      </c>
      <c r="C2504" s="133"/>
      <c r="D2504" s="50">
        <f t="shared" ref="D2504:D2567" si="39">(B2504-C2504)/B2505-1</f>
        <v>-5.3635280095352122E-3</v>
      </c>
      <c r="E2504" s="49"/>
    </row>
    <row r="2505" spans="1:5" ht="14.4">
      <c r="A2505" s="136">
        <v>40919</v>
      </c>
      <c r="B2505" s="137">
        <v>25.17</v>
      </c>
      <c r="C2505" s="133"/>
      <c r="D2505" s="50">
        <f t="shared" si="39"/>
        <v>5.5932880543347885E-3</v>
      </c>
      <c r="E2505" s="49"/>
    </row>
    <row r="2506" spans="1:5" ht="14.4">
      <c r="A2506" s="136">
        <v>40918</v>
      </c>
      <c r="B2506" s="137">
        <v>25.03</v>
      </c>
      <c r="C2506" s="133"/>
      <c r="D2506" s="50">
        <f t="shared" si="39"/>
        <v>6.6358335009049085E-3</v>
      </c>
      <c r="E2506" s="49"/>
    </row>
    <row r="2507" spans="1:5" ht="14.4">
      <c r="A2507" s="136">
        <v>40917</v>
      </c>
      <c r="B2507" s="137">
        <v>24.864999999999998</v>
      </c>
      <c r="C2507" s="133"/>
      <c r="D2507" s="50">
        <f t="shared" si="39"/>
        <v>4.0379567938622074E-3</v>
      </c>
      <c r="E2507" s="49"/>
    </row>
    <row r="2508" spans="1:5" ht="14.4">
      <c r="A2508" s="136">
        <v>40914</v>
      </c>
      <c r="B2508" s="137">
        <v>24.765000000000001</v>
      </c>
      <c r="C2508" s="133"/>
      <c r="D2508" s="50">
        <f t="shared" si="39"/>
        <v>-5.0220972278023357E-3</v>
      </c>
      <c r="E2508" s="49"/>
    </row>
    <row r="2509" spans="1:5" ht="14.4">
      <c r="A2509" s="136">
        <v>40913</v>
      </c>
      <c r="B2509" s="137">
        <v>24.89</v>
      </c>
      <c r="C2509" s="133"/>
      <c r="D2509" s="50">
        <f t="shared" si="39"/>
        <v>1.3230205577040577E-2</v>
      </c>
      <c r="E2509" s="49"/>
    </row>
    <row r="2510" spans="1:5" ht="14.4">
      <c r="A2510" s="136">
        <v>40912</v>
      </c>
      <c r="B2510" s="137">
        <v>24.565000000000001</v>
      </c>
      <c r="C2510" s="133"/>
      <c r="D2510" s="50">
        <f t="shared" si="39"/>
        <v>2.6530612244899388E-3</v>
      </c>
      <c r="E2510" s="49"/>
    </row>
    <row r="2511" spans="1:5" ht="14.4">
      <c r="A2511" s="136">
        <v>40911</v>
      </c>
      <c r="B2511" s="137">
        <v>24.5</v>
      </c>
      <c r="C2511" s="133"/>
      <c r="D2511" s="50">
        <f t="shared" si="39"/>
        <v>0</v>
      </c>
      <c r="E2511" s="49"/>
    </row>
    <row r="2512" spans="1:5" ht="14.4">
      <c r="A2512" s="136">
        <v>40910</v>
      </c>
      <c r="B2512" s="137">
        <v>24.5</v>
      </c>
      <c r="C2512" s="133"/>
      <c r="D2512" s="50">
        <f t="shared" si="39"/>
        <v>1.449275362318847E-2</v>
      </c>
      <c r="E2512" s="49"/>
    </row>
    <row r="2513" spans="1:5" ht="14.4">
      <c r="A2513" s="136">
        <v>40907</v>
      </c>
      <c r="B2513" s="137">
        <v>24.15</v>
      </c>
      <c r="C2513" s="133">
        <v>0.45</v>
      </c>
      <c r="D2513" s="50">
        <f t="shared" si="39"/>
        <v>-1.5780730897009931E-2</v>
      </c>
      <c r="E2513" s="49"/>
    </row>
    <row r="2514" spans="1:5" ht="14.4">
      <c r="A2514" s="136">
        <v>40906</v>
      </c>
      <c r="B2514" s="137">
        <v>24.08</v>
      </c>
      <c r="C2514" s="133"/>
      <c r="D2514" s="50">
        <f t="shared" si="39"/>
        <v>2.0338983050847359E-2</v>
      </c>
      <c r="E2514" s="49"/>
    </row>
    <row r="2515" spans="1:5" ht="14.4">
      <c r="A2515" s="136">
        <v>40905</v>
      </c>
      <c r="B2515" s="137">
        <v>23.6</v>
      </c>
      <c r="C2515" s="133"/>
      <c r="D2515" s="50">
        <f t="shared" si="39"/>
        <v>4.2390843577799764E-4</v>
      </c>
      <c r="E2515" s="49"/>
    </row>
    <row r="2516" spans="1:5" ht="14.4">
      <c r="A2516" s="136">
        <v>40904</v>
      </c>
      <c r="B2516" s="137">
        <v>23.59</v>
      </c>
      <c r="C2516" s="133"/>
      <c r="D2516" s="50">
        <f t="shared" si="39"/>
        <v>-4.2372881355934311E-4</v>
      </c>
      <c r="E2516" s="49"/>
    </row>
    <row r="2517" spans="1:5" ht="14.4">
      <c r="A2517" s="136">
        <v>40900</v>
      </c>
      <c r="B2517" s="137">
        <v>23.6</v>
      </c>
      <c r="C2517" s="133"/>
      <c r="D2517" s="50">
        <f t="shared" si="39"/>
        <v>-1.9031507718333396E-3</v>
      </c>
      <c r="E2517" s="49"/>
    </row>
    <row r="2518" spans="1:5" ht="14.4">
      <c r="A2518" s="136">
        <v>40899</v>
      </c>
      <c r="B2518" s="137">
        <v>23.645</v>
      </c>
      <c r="C2518" s="133"/>
      <c r="D2518" s="50">
        <f t="shared" si="39"/>
        <v>-1.6888325944690585E-3</v>
      </c>
      <c r="E2518" s="49"/>
    </row>
    <row r="2519" spans="1:5" ht="14.4">
      <c r="A2519" s="136">
        <v>40898</v>
      </c>
      <c r="B2519" s="137">
        <v>23.684999999999999</v>
      </c>
      <c r="C2519" s="133"/>
      <c r="D2519" s="50">
        <f t="shared" si="39"/>
        <v>3.6016949152541944E-3</v>
      </c>
      <c r="E2519" s="49"/>
    </row>
    <row r="2520" spans="1:5" ht="14.4">
      <c r="A2520" s="136">
        <v>40897</v>
      </c>
      <c r="B2520" s="137">
        <v>23.6</v>
      </c>
      <c r="C2520" s="133"/>
      <c r="D2520" s="50">
        <f t="shared" si="39"/>
        <v>3.5087719298245723E-2</v>
      </c>
      <c r="E2520" s="49"/>
    </row>
    <row r="2521" spans="1:5" ht="14.4">
      <c r="A2521" s="136">
        <v>40896</v>
      </c>
      <c r="B2521" s="137">
        <v>22.8</v>
      </c>
      <c r="C2521" s="133"/>
      <c r="D2521" s="50">
        <f t="shared" si="39"/>
        <v>6.6225165562914245E-3</v>
      </c>
      <c r="E2521" s="49"/>
    </row>
    <row r="2522" spans="1:5" ht="14.4">
      <c r="A2522" s="136">
        <v>40893</v>
      </c>
      <c r="B2522" s="137">
        <v>22.65</v>
      </c>
      <c r="C2522" s="133"/>
      <c r="D2522" s="50">
        <f t="shared" si="39"/>
        <v>-4.833040421792778E-3</v>
      </c>
      <c r="E2522" s="49"/>
    </row>
    <row r="2523" spans="1:5" ht="14.4">
      <c r="A2523" s="136">
        <v>40892</v>
      </c>
      <c r="B2523" s="137">
        <v>22.76</v>
      </c>
      <c r="C2523" s="133"/>
      <c r="D2523" s="50">
        <f t="shared" si="39"/>
        <v>2.7539503386004638E-2</v>
      </c>
      <c r="E2523" s="49"/>
    </row>
    <row r="2524" spans="1:5" ht="14.4">
      <c r="A2524" s="136">
        <v>40891</v>
      </c>
      <c r="B2524" s="137">
        <v>22.15</v>
      </c>
      <c r="C2524" s="133"/>
      <c r="D2524" s="50">
        <f t="shared" si="39"/>
        <v>-2.0994475138121582E-2</v>
      </c>
      <c r="E2524" s="49"/>
    </row>
    <row r="2525" spans="1:5" ht="14.4">
      <c r="A2525" s="136">
        <v>40890</v>
      </c>
      <c r="B2525" s="137">
        <v>22.625</v>
      </c>
      <c r="C2525" s="133"/>
      <c r="D2525" s="50">
        <f t="shared" si="39"/>
        <v>2.677558429770821E-2</v>
      </c>
      <c r="E2525" s="49"/>
    </row>
    <row r="2526" spans="1:5" ht="14.4">
      <c r="A2526" s="136">
        <v>40889</v>
      </c>
      <c r="B2526" s="137">
        <v>22.035</v>
      </c>
      <c r="C2526" s="133"/>
      <c r="D2526" s="50">
        <f t="shared" si="39"/>
        <v>-1.6514170943985773E-2</v>
      </c>
      <c r="E2526" s="49"/>
    </row>
    <row r="2527" spans="1:5" ht="14.4">
      <c r="A2527" s="136">
        <v>40886</v>
      </c>
      <c r="B2527" s="137">
        <v>22.405000000000001</v>
      </c>
      <c r="C2527" s="133"/>
      <c r="D2527" s="50">
        <f t="shared" si="39"/>
        <v>2.6810265811182399E-2</v>
      </c>
      <c r="E2527" s="49"/>
    </row>
    <row r="2528" spans="1:5" ht="14.4">
      <c r="A2528" s="136">
        <v>40885</v>
      </c>
      <c r="B2528" s="137">
        <v>21.82</v>
      </c>
      <c r="C2528" s="133"/>
      <c r="D2528" s="50">
        <f t="shared" si="39"/>
        <v>0</v>
      </c>
      <c r="E2528" s="49"/>
    </row>
    <row r="2529" spans="1:5" ht="14.4">
      <c r="A2529" s="136">
        <v>40884</v>
      </c>
      <c r="B2529" s="137">
        <v>21.82</v>
      </c>
      <c r="C2529" s="133"/>
      <c r="D2529" s="50">
        <f t="shared" si="39"/>
        <v>-4.78905359179016E-3</v>
      </c>
      <c r="E2529" s="49"/>
    </row>
    <row r="2530" spans="1:5" ht="14.4">
      <c r="A2530" s="136">
        <v>40883</v>
      </c>
      <c r="B2530" s="137">
        <v>21.925000000000001</v>
      </c>
      <c r="C2530" s="133"/>
      <c r="D2530" s="50">
        <f t="shared" si="39"/>
        <v>-5.8943550215370122E-3</v>
      </c>
      <c r="E2530" s="49"/>
    </row>
    <row r="2531" spans="1:5" ht="14.4">
      <c r="A2531" s="136">
        <v>40882</v>
      </c>
      <c r="B2531" s="137">
        <v>22.055</v>
      </c>
      <c r="C2531" s="133"/>
      <c r="D2531" s="50">
        <f t="shared" si="39"/>
        <v>5.6999544003648595E-3</v>
      </c>
      <c r="E2531" s="49"/>
    </row>
    <row r="2532" spans="1:5" ht="14.4">
      <c r="A2532" s="136">
        <v>40879</v>
      </c>
      <c r="B2532" s="137">
        <v>21.93</v>
      </c>
      <c r="C2532" s="133"/>
      <c r="D2532" s="50">
        <f t="shared" si="39"/>
        <v>7.3495636196601044E-3</v>
      </c>
      <c r="E2532" s="49"/>
    </row>
    <row r="2533" spans="1:5" ht="14.4">
      <c r="A2533" s="136">
        <v>40878</v>
      </c>
      <c r="B2533" s="137">
        <v>21.77</v>
      </c>
      <c r="C2533" s="133"/>
      <c r="D2533" s="50">
        <f t="shared" si="39"/>
        <v>-1.9148456859653051E-2</v>
      </c>
      <c r="E2533" s="49"/>
    </row>
    <row r="2534" spans="1:5" ht="14.4">
      <c r="A2534" s="136">
        <v>40877</v>
      </c>
      <c r="B2534" s="137">
        <v>22.195</v>
      </c>
      <c r="C2534" s="133"/>
      <c r="D2534" s="50">
        <f t="shared" si="39"/>
        <v>3.7149532710280431E-2</v>
      </c>
      <c r="E2534" s="49"/>
    </row>
    <row r="2535" spans="1:5" ht="14.4">
      <c r="A2535" s="136">
        <v>40876</v>
      </c>
      <c r="B2535" s="137">
        <v>21.4</v>
      </c>
      <c r="C2535" s="133"/>
      <c r="D2535" s="50">
        <f t="shared" si="39"/>
        <v>1.6381933068101429E-3</v>
      </c>
      <c r="E2535" s="49"/>
    </row>
    <row r="2536" spans="1:5" ht="14.4">
      <c r="A2536" s="136">
        <v>40875</v>
      </c>
      <c r="B2536" s="137">
        <v>21.364999999999998</v>
      </c>
      <c r="C2536" s="133"/>
      <c r="D2536" s="50">
        <f t="shared" si="39"/>
        <v>2.9886719691491814E-2</v>
      </c>
      <c r="E2536" s="49"/>
    </row>
    <row r="2537" spans="1:5" ht="14.4">
      <c r="A2537" s="136">
        <v>40872</v>
      </c>
      <c r="B2537" s="137">
        <v>20.745000000000001</v>
      </c>
      <c r="C2537" s="133"/>
      <c r="D2537" s="50">
        <f t="shared" si="39"/>
        <v>2.4108003857303828E-4</v>
      </c>
      <c r="E2537" s="49"/>
    </row>
    <row r="2538" spans="1:5" ht="14.4">
      <c r="A2538" s="136">
        <v>40871</v>
      </c>
      <c r="B2538" s="137">
        <v>20.74</v>
      </c>
      <c r="C2538" s="133"/>
      <c r="D2538" s="50">
        <f t="shared" si="39"/>
        <v>2.7241208519068749E-2</v>
      </c>
      <c r="E2538" s="49"/>
    </row>
    <row r="2539" spans="1:5" ht="14.4">
      <c r="A2539" s="136">
        <v>40870</v>
      </c>
      <c r="B2539" s="137">
        <v>20.190000000000001</v>
      </c>
      <c r="C2539" s="133"/>
      <c r="D2539" s="50">
        <f t="shared" si="39"/>
        <v>-1.8712029161603749E-2</v>
      </c>
      <c r="E2539" s="49"/>
    </row>
    <row r="2540" spans="1:5" ht="14.4">
      <c r="A2540" s="136">
        <v>40869</v>
      </c>
      <c r="B2540" s="137">
        <v>20.574999999999999</v>
      </c>
      <c r="C2540" s="133"/>
      <c r="D2540" s="50">
        <f t="shared" si="39"/>
        <v>-1.0817307692307709E-2</v>
      </c>
      <c r="E2540" s="49"/>
    </row>
    <row r="2541" spans="1:5" ht="14.4">
      <c r="A2541" s="136">
        <v>40868</v>
      </c>
      <c r="B2541" s="137">
        <v>20.8</v>
      </c>
      <c r="C2541" s="133"/>
      <c r="D2541" s="50">
        <f t="shared" si="39"/>
        <v>-2.3703356019713628E-2</v>
      </c>
      <c r="E2541" s="49"/>
    </row>
    <row r="2542" spans="1:5" ht="14.4">
      <c r="A2542" s="136">
        <v>40865</v>
      </c>
      <c r="B2542" s="137">
        <v>21.305</v>
      </c>
      <c r="C2542" s="133"/>
      <c r="D2542" s="50">
        <f t="shared" si="39"/>
        <v>4.7158688988446773E-3</v>
      </c>
      <c r="E2542" s="49"/>
    </row>
    <row r="2543" spans="1:5" ht="14.4">
      <c r="A2543" s="136">
        <v>40864</v>
      </c>
      <c r="B2543" s="137">
        <v>21.204999999999998</v>
      </c>
      <c r="C2543" s="133"/>
      <c r="D2543" s="50">
        <f t="shared" si="39"/>
        <v>-3.6136363636363744E-2</v>
      </c>
      <c r="E2543" s="49"/>
    </row>
    <row r="2544" spans="1:5" ht="14.4">
      <c r="A2544" s="136">
        <v>40863</v>
      </c>
      <c r="B2544" s="137">
        <v>22</v>
      </c>
      <c r="C2544" s="133"/>
      <c r="D2544" s="50">
        <f t="shared" si="39"/>
        <v>4.5475216007284658E-4</v>
      </c>
      <c r="E2544" s="49"/>
    </row>
    <row r="2545" spans="1:5" ht="14.4">
      <c r="A2545" s="136">
        <v>40862</v>
      </c>
      <c r="B2545" s="137">
        <v>21.99</v>
      </c>
      <c r="C2545" s="133"/>
      <c r="D2545" s="50">
        <f t="shared" si="39"/>
        <v>-2.7210884353742193E-3</v>
      </c>
      <c r="E2545" s="49"/>
    </row>
    <row r="2546" spans="1:5" ht="14.4">
      <c r="A2546" s="136">
        <v>40861</v>
      </c>
      <c r="B2546" s="137">
        <v>22.05</v>
      </c>
      <c r="C2546" s="133"/>
      <c r="D2546" s="50">
        <f t="shared" si="39"/>
        <v>-9.6564114080395225E-3</v>
      </c>
      <c r="E2546" s="49"/>
    </row>
    <row r="2547" spans="1:5" ht="14.4">
      <c r="A2547" s="136">
        <v>40858</v>
      </c>
      <c r="B2547" s="137">
        <v>22.265000000000001</v>
      </c>
      <c r="C2547" s="133"/>
      <c r="D2547" s="50">
        <f t="shared" si="39"/>
        <v>6.1754887935145497E-2</v>
      </c>
      <c r="E2547" s="49"/>
    </row>
    <row r="2548" spans="1:5" ht="14.4">
      <c r="A2548" s="136">
        <v>40857</v>
      </c>
      <c r="B2548" s="137">
        <v>20.97</v>
      </c>
      <c r="C2548" s="133"/>
      <c r="D2548" s="50">
        <f t="shared" si="39"/>
        <v>5.0338091660405704E-2</v>
      </c>
      <c r="E2548" s="49"/>
    </row>
    <row r="2549" spans="1:5" ht="14.4">
      <c r="A2549" s="136">
        <v>40856</v>
      </c>
      <c r="B2549" s="137">
        <v>19.965</v>
      </c>
      <c r="C2549" s="133"/>
      <c r="D2549" s="50">
        <f t="shared" si="39"/>
        <v>-4.3363679923335008E-2</v>
      </c>
      <c r="E2549" s="49"/>
    </row>
    <row r="2550" spans="1:5" ht="14.4">
      <c r="A2550" s="136">
        <v>40855</v>
      </c>
      <c r="B2550" s="137">
        <v>20.87</v>
      </c>
      <c r="C2550" s="133"/>
      <c r="D2550" s="50">
        <f t="shared" si="39"/>
        <v>-1.6262078717888206E-2</v>
      </c>
      <c r="E2550" s="49"/>
    </row>
    <row r="2551" spans="1:5" ht="14.4">
      <c r="A2551" s="136">
        <v>40854</v>
      </c>
      <c r="B2551" s="137">
        <v>21.215</v>
      </c>
      <c r="C2551" s="133"/>
      <c r="D2551" s="50">
        <f t="shared" si="39"/>
        <v>-5.3914674167837573E-3</v>
      </c>
      <c r="E2551" s="49"/>
    </row>
    <row r="2552" spans="1:5" ht="14.4">
      <c r="A2552" s="136">
        <v>40851</v>
      </c>
      <c r="B2552" s="137">
        <v>21.33</v>
      </c>
      <c r="C2552" s="133"/>
      <c r="D2552" s="50">
        <f t="shared" si="39"/>
        <v>-1.4553014553014609E-2</v>
      </c>
      <c r="E2552" s="49"/>
    </row>
    <row r="2553" spans="1:5" ht="14.4">
      <c r="A2553" s="136">
        <v>40850</v>
      </c>
      <c r="B2553" s="137">
        <v>21.645</v>
      </c>
      <c r="C2553" s="133"/>
      <c r="D2553" s="50">
        <f t="shared" si="39"/>
        <v>1.6913319238900604E-2</v>
      </c>
      <c r="E2553" s="49"/>
    </row>
    <row r="2554" spans="1:5" ht="14.4">
      <c r="A2554" s="136">
        <v>40849</v>
      </c>
      <c r="B2554" s="137">
        <v>21.285</v>
      </c>
      <c r="C2554" s="133"/>
      <c r="D2554" s="50">
        <f t="shared" si="39"/>
        <v>9.2460881934566252E-3</v>
      </c>
      <c r="E2554" s="49"/>
    </row>
    <row r="2555" spans="1:5" ht="14.4">
      <c r="A2555" s="136">
        <v>40848</v>
      </c>
      <c r="B2555" s="137">
        <v>21.09</v>
      </c>
      <c r="C2555" s="133"/>
      <c r="D2555" s="50">
        <f t="shared" si="39"/>
        <v>-1.310248011230708E-2</v>
      </c>
      <c r="E2555" s="49"/>
    </row>
    <row r="2556" spans="1:5" ht="14.4">
      <c r="A2556" s="136">
        <v>40847</v>
      </c>
      <c r="B2556" s="137">
        <v>21.37</v>
      </c>
      <c r="C2556" s="133"/>
      <c r="D2556" s="50">
        <f t="shared" si="39"/>
        <v>9.3676814988286061E-4</v>
      </c>
      <c r="E2556" s="49"/>
    </row>
    <row r="2557" spans="1:5" ht="14.4">
      <c r="A2557" s="136">
        <v>40844</v>
      </c>
      <c r="B2557" s="137">
        <v>21.35</v>
      </c>
      <c r="C2557" s="133"/>
      <c r="D2557" s="50">
        <f t="shared" si="39"/>
        <v>-1.0199350950394037E-2</v>
      </c>
      <c r="E2557" s="49"/>
    </row>
    <row r="2558" spans="1:5" ht="14.4">
      <c r="A2558" s="136">
        <v>40843</v>
      </c>
      <c r="B2558" s="137">
        <v>21.57</v>
      </c>
      <c r="C2558" s="133"/>
      <c r="D2558" s="50">
        <f t="shared" si="39"/>
        <v>6.2038404726735719E-2</v>
      </c>
      <c r="E2558" s="49"/>
    </row>
    <row r="2559" spans="1:5" ht="14.4">
      <c r="A2559" s="136">
        <v>40842</v>
      </c>
      <c r="B2559" s="137">
        <v>20.309999999999999</v>
      </c>
      <c r="C2559" s="133"/>
      <c r="D2559" s="50">
        <f t="shared" si="39"/>
        <v>-3.2857142857142918E-2</v>
      </c>
      <c r="E2559" s="49"/>
    </row>
    <row r="2560" spans="1:5" ht="14.4">
      <c r="A2560" s="136">
        <v>40841</v>
      </c>
      <c r="B2560" s="137">
        <v>21</v>
      </c>
      <c r="C2560" s="133"/>
      <c r="D2560" s="50">
        <f t="shared" si="39"/>
        <v>2.1897810218977964E-2</v>
      </c>
      <c r="E2560" s="49"/>
    </row>
    <row r="2561" spans="1:5" ht="14.4">
      <c r="A2561" s="136">
        <v>40840</v>
      </c>
      <c r="B2561" s="137">
        <v>20.55</v>
      </c>
      <c r="C2561" s="133"/>
      <c r="D2561" s="50">
        <f t="shared" si="39"/>
        <v>9.8280098280096873E-3</v>
      </c>
      <c r="E2561" s="49"/>
    </row>
    <row r="2562" spans="1:5" ht="14.4">
      <c r="A2562" s="136">
        <v>40837</v>
      </c>
      <c r="B2562" s="137">
        <v>20.350000000000001</v>
      </c>
      <c r="C2562" s="133"/>
      <c r="D2562" s="50">
        <f t="shared" si="39"/>
        <v>1.3698630136986356E-2</v>
      </c>
      <c r="E2562" s="49"/>
    </row>
    <row r="2563" spans="1:5" ht="14.4">
      <c r="A2563" s="136">
        <v>40836</v>
      </c>
      <c r="B2563" s="137">
        <v>20.074999999999999</v>
      </c>
      <c r="C2563" s="133"/>
      <c r="D2563" s="50">
        <f t="shared" si="39"/>
        <v>-6.3666044776119479E-2</v>
      </c>
      <c r="E2563" s="49"/>
    </row>
    <row r="2564" spans="1:5" ht="14.4">
      <c r="A2564" s="136">
        <v>40835</v>
      </c>
      <c r="B2564" s="137">
        <v>21.44</v>
      </c>
      <c r="C2564" s="133"/>
      <c r="D2564" s="50">
        <f t="shared" si="39"/>
        <v>-4.2857142857142705E-2</v>
      </c>
      <c r="E2564" s="49"/>
    </row>
    <row r="2565" spans="1:5" ht="14.4">
      <c r="A2565" s="136">
        <v>40834</v>
      </c>
      <c r="B2565" s="137">
        <v>22.4</v>
      </c>
      <c r="C2565" s="133"/>
      <c r="D2565" s="50">
        <f t="shared" si="39"/>
        <v>1.8413275744487256E-2</v>
      </c>
      <c r="E2565" s="49"/>
    </row>
    <row r="2566" spans="1:5" ht="14.4">
      <c r="A2566" s="136">
        <v>40833</v>
      </c>
      <c r="B2566" s="137">
        <v>21.995000000000001</v>
      </c>
      <c r="C2566" s="133"/>
      <c r="D2566" s="50">
        <f t="shared" si="39"/>
        <v>-4.2655059847660493E-2</v>
      </c>
      <c r="E2566" s="49"/>
    </row>
    <row r="2567" spans="1:5" ht="14.4">
      <c r="A2567" s="136">
        <v>40830</v>
      </c>
      <c r="B2567" s="137">
        <v>22.975000000000001</v>
      </c>
      <c r="C2567" s="133"/>
      <c r="D2567" s="50">
        <f t="shared" si="39"/>
        <v>1.6817880061960722E-2</v>
      </c>
      <c r="E2567" s="49"/>
    </row>
    <row r="2568" spans="1:5" ht="14.4">
      <c r="A2568" s="136">
        <v>40829</v>
      </c>
      <c r="B2568" s="137">
        <v>22.594999999999999</v>
      </c>
      <c r="C2568" s="133"/>
      <c r="D2568" s="50">
        <f t="shared" ref="D2568:D2631" si="40">(B2568-C2568)/B2569-1</f>
        <v>1.0961968680089473E-2</v>
      </c>
      <c r="E2568" s="49"/>
    </row>
    <row r="2569" spans="1:5" ht="14.4">
      <c r="A2569" s="136">
        <v>40828</v>
      </c>
      <c r="B2569" s="137">
        <v>22.35</v>
      </c>
      <c r="C2569" s="133"/>
      <c r="D2569" s="50">
        <f t="shared" si="40"/>
        <v>-2.4548091943762396E-3</v>
      </c>
      <c r="E2569" s="49"/>
    </row>
    <row r="2570" spans="1:5" ht="14.4">
      <c r="A2570" s="136">
        <v>40827</v>
      </c>
      <c r="B2570" s="137">
        <v>22.405000000000001</v>
      </c>
      <c r="C2570" s="133"/>
      <c r="D2570" s="50">
        <f t="shared" si="40"/>
        <v>2.7752293577981701E-2</v>
      </c>
      <c r="E2570" s="49"/>
    </row>
    <row r="2571" spans="1:5" ht="14.4">
      <c r="A2571" s="136">
        <v>40826</v>
      </c>
      <c r="B2571" s="137">
        <v>21.8</v>
      </c>
      <c r="C2571" s="133"/>
      <c r="D2571" s="50">
        <f t="shared" si="40"/>
        <v>3.8837264712890285E-2</v>
      </c>
      <c r="E2571" s="49"/>
    </row>
    <row r="2572" spans="1:5" ht="14.4">
      <c r="A2572" s="136">
        <v>40823</v>
      </c>
      <c r="B2572" s="137">
        <v>20.984999999999999</v>
      </c>
      <c r="C2572" s="133"/>
      <c r="D2572" s="50">
        <f t="shared" si="40"/>
        <v>-3.3172080165860374E-2</v>
      </c>
      <c r="E2572" s="49"/>
    </row>
    <row r="2573" spans="1:5" ht="14.4">
      <c r="A2573" s="136">
        <v>40822</v>
      </c>
      <c r="B2573" s="137">
        <v>21.704999999999998</v>
      </c>
      <c r="C2573" s="133"/>
      <c r="D2573" s="50">
        <f t="shared" si="40"/>
        <v>3.5543893129770909E-2</v>
      </c>
      <c r="E2573" s="49"/>
    </row>
    <row r="2574" spans="1:5" ht="14.4">
      <c r="A2574" s="136">
        <v>40821</v>
      </c>
      <c r="B2574" s="137">
        <v>20.96</v>
      </c>
      <c r="C2574" s="133"/>
      <c r="D2574" s="50">
        <f t="shared" si="40"/>
        <v>5.6984367120524571E-2</v>
      </c>
      <c r="E2574" s="49"/>
    </row>
    <row r="2575" spans="1:5" ht="14.4">
      <c r="A2575" s="136">
        <v>40820</v>
      </c>
      <c r="B2575" s="137">
        <v>19.829999999999998</v>
      </c>
      <c r="C2575" s="133"/>
      <c r="D2575" s="50">
        <f t="shared" si="40"/>
        <v>-5.2103250478011676E-2</v>
      </c>
      <c r="E2575" s="49"/>
    </row>
    <row r="2576" spans="1:5" ht="14.4">
      <c r="A2576" s="136">
        <v>40819</v>
      </c>
      <c r="B2576" s="137">
        <v>20.92</v>
      </c>
      <c r="C2576" s="133"/>
      <c r="D2576" s="50">
        <f t="shared" si="40"/>
        <v>-1.3440226361706942E-2</v>
      </c>
      <c r="E2576" s="49"/>
    </row>
    <row r="2577" spans="1:5" ht="14.4">
      <c r="A2577" s="136">
        <v>40816</v>
      </c>
      <c r="B2577" s="137">
        <v>21.204999999999998</v>
      </c>
      <c r="C2577" s="133"/>
      <c r="D2577" s="50">
        <f t="shared" si="40"/>
        <v>-1.7832329782306644E-2</v>
      </c>
      <c r="E2577" s="49"/>
    </row>
    <row r="2578" spans="1:5" ht="14.4">
      <c r="A2578" s="136">
        <v>40815</v>
      </c>
      <c r="B2578" s="137">
        <v>21.59</v>
      </c>
      <c r="C2578" s="133"/>
      <c r="D2578" s="50">
        <f t="shared" si="40"/>
        <v>1.5044663845792172E-2</v>
      </c>
      <c r="E2578" s="49"/>
    </row>
    <row r="2579" spans="1:5" ht="14.4">
      <c r="A2579" s="136">
        <v>40814</v>
      </c>
      <c r="B2579" s="137">
        <v>21.27</v>
      </c>
      <c r="C2579" s="133"/>
      <c r="D2579" s="50">
        <f t="shared" si="40"/>
        <v>9.4117647058822307E-4</v>
      </c>
      <c r="E2579" s="49"/>
    </row>
    <row r="2580" spans="1:5" ht="14.4">
      <c r="A2580" s="136">
        <v>40813</v>
      </c>
      <c r="B2580" s="137">
        <v>21.25</v>
      </c>
      <c r="C2580" s="133"/>
      <c r="D2580" s="50">
        <f t="shared" si="40"/>
        <v>4.4226044226044259E-2</v>
      </c>
      <c r="E2580" s="49"/>
    </row>
    <row r="2581" spans="1:5" ht="14.4">
      <c r="A2581" s="136">
        <v>40812</v>
      </c>
      <c r="B2581" s="137">
        <v>20.350000000000001</v>
      </c>
      <c r="C2581" s="133"/>
      <c r="D2581" s="50">
        <f t="shared" si="40"/>
        <v>-1.5957446808510523E-2</v>
      </c>
      <c r="E2581" s="49"/>
    </row>
    <row r="2582" spans="1:5" ht="14.4">
      <c r="A2582" s="136">
        <v>40809</v>
      </c>
      <c r="B2582" s="137">
        <v>20.68</v>
      </c>
      <c r="C2582" s="133"/>
      <c r="D2582" s="50">
        <f t="shared" si="40"/>
        <v>-1.0052656773575919E-2</v>
      </c>
      <c r="E2582" s="49"/>
    </row>
    <row r="2583" spans="1:5" ht="14.4">
      <c r="A2583" s="136">
        <v>40808</v>
      </c>
      <c r="B2583" s="137">
        <v>20.89</v>
      </c>
      <c r="C2583" s="133"/>
      <c r="D2583" s="50">
        <f t="shared" si="40"/>
        <v>-7.9127176548379863E-2</v>
      </c>
      <c r="E2583" s="49"/>
    </row>
    <row r="2584" spans="1:5" ht="14.4">
      <c r="A2584" s="136">
        <v>40807</v>
      </c>
      <c r="B2584" s="137">
        <v>22.684999999999999</v>
      </c>
      <c r="C2584" s="133"/>
      <c r="D2584" s="50">
        <f t="shared" si="40"/>
        <v>-9.1723083642717418E-3</v>
      </c>
      <c r="E2584" s="49"/>
    </row>
    <row r="2585" spans="1:5" ht="14.4">
      <c r="A2585" s="136">
        <v>40806</v>
      </c>
      <c r="B2585" s="137">
        <v>22.895</v>
      </c>
      <c r="C2585" s="133"/>
      <c r="D2585" s="50">
        <f t="shared" si="40"/>
        <v>3.1074082413870885E-2</v>
      </c>
      <c r="E2585" s="49"/>
    </row>
    <row r="2586" spans="1:5" ht="14.4">
      <c r="A2586" s="136">
        <v>40805</v>
      </c>
      <c r="B2586" s="137">
        <v>22.204999999999998</v>
      </c>
      <c r="C2586" s="133"/>
      <c r="D2586" s="50">
        <f t="shared" si="40"/>
        <v>4.7511312217192181E-3</v>
      </c>
      <c r="E2586" s="49"/>
    </row>
    <row r="2587" spans="1:5" ht="14.4">
      <c r="A2587" s="136">
        <v>40802</v>
      </c>
      <c r="B2587" s="137">
        <v>22.1</v>
      </c>
      <c r="C2587" s="133"/>
      <c r="D2587" s="50">
        <f t="shared" si="40"/>
        <v>-7.1877807726864473E-3</v>
      </c>
      <c r="E2587" s="49"/>
    </row>
    <row r="2588" spans="1:5" ht="14.4">
      <c r="A2588" s="136">
        <v>40801</v>
      </c>
      <c r="B2588" s="137">
        <v>22.26</v>
      </c>
      <c r="C2588" s="133"/>
      <c r="D2588" s="50">
        <f t="shared" si="40"/>
        <v>2.3683605426534804E-2</v>
      </c>
      <c r="E2588" s="49"/>
    </row>
    <row r="2589" spans="1:5" ht="14.4">
      <c r="A2589" s="136">
        <v>40800</v>
      </c>
      <c r="B2589" s="137">
        <v>21.745000000000001</v>
      </c>
      <c r="C2589" s="133"/>
      <c r="D2589" s="50">
        <f t="shared" si="40"/>
        <v>2.5707547169811384E-2</v>
      </c>
      <c r="E2589" s="49"/>
    </row>
    <row r="2590" spans="1:5" ht="14.4">
      <c r="A2590" s="136">
        <v>40799</v>
      </c>
      <c r="B2590" s="137">
        <v>21.2</v>
      </c>
      <c r="C2590" s="133"/>
      <c r="D2590" s="50">
        <f t="shared" si="40"/>
        <v>-1.0270774976657404E-2</v>
      </c>
      <c r="E2590" s="49"/>
    </row>
    <row r="2591" spans="1:5" ht="14.4">
      <c r="A2591" s="136">
        <v>40798</v>
      </c>
      <c r="B2591" s="137">
        <v>21.42</v>
      </c>
      <c r="C2591" s="133"/>
      <c r="D2591" s="50">
        <f t="shared" si="40"/>
        <v>3.2786885245901232E-3</v>
      </c>
      <c r="E2591" s="49"/>
    </row>
    <row r="2592" spans="1:5" ht="14.4">
      <c r="A2592" s="136">
        <v>40795</v>
      </c>
      <c r="B2592" s="137">
        <v>21.35</v>
      </c>
      <c r="C2592" s="133"/>
      <c r="D2592" s="50">
        <f t="shared" si="40"/>
        <v>-1.3401109057301297E-2</v>
      </c>
      <c r="E2592" s="49"/>
    </row>
    <row r="2593" spans="1:5" ht="14.4">
      <c r="A2593" s="136">
        <v>40794</v>
      </c>
      <c r="B2593" s="137">
        <v>21.64</v>
      </c>
      <c r="C2593" s="133"/>
      <c r="D2593" s="50">
        <f t="shared" si="40"/>
        <v>-1.0742857142857165E-2</v>
      </c>
      <c r="E2593" s="49"/>
    </row>
    <row r="2594" spans="1:5" ht="14.4">
      <c r="A2594" s="136">
        <v>40793</v>
      </c>
      <c r="B2594" s="137">
        <v>21.875</v>
      </c>
      <c r="C2594" s="133"/>
      <c r="D2594" s="50">
        <f t="shared" si="40"/>
        <v>7.0729319627998111E-2</v>
      </c>
      <c r="E2594" s="49"/>
    </row>
    <row r="2595" spans="1:5" ht="14.4">
      <c r="A2595" s="136">
        <v>40792</v>
      </c>
      <c r="B2595" s="137">
        <v>20.43</v>
      </c>
      <c r="C2595" s="133"/>
      <c r="D2595" s="50">
        <f t="shared" si="40"/>
        <v>2.6993865030675579E-3</v>
      </c>
      <c r="E2595" s="49"/>
    </row>
    <row r="2596" spans="1:5" ht="14.4">
      <c r="A2596" s="136">
        <v>40791</v>
      </c>
      <c r="B2596" s="137">
        <v>20.375</v>
      </c>
      <c r="C2596" s="133"/>
      <c r="D2596" s="50">
        <f t="shared" si="40"/>
        <v>-4.3202629725287656E-2</v>
      </c>
      <c r="E2596" s="49"/>
    </row>
    <row r="2597" spans="1:5" ht="14.4">
      <c r="A2597" s="136">
        <v>40788</v>
      </c>
      <c r="B2597" s="137">
        <v>21.295000000000002</v>
      </c>
      <c r="C2597" s="133"/>
      <c r="D2597" s="50">
        <f t="shared" si="40"/>
        <v>-3.7731586082241142E-2</v>
      </c>
      <c r="E2597" s="49"/>
    </row>
    <row r="2598" spans="1:5" ht="14.4">
      <c r="A2598" s="136">
        <v>40787</v>
      </c>
      <c r="B2598" s="137">
        <v>22.13</v>
      </c>
      <c r="C2598" s="133"/>
      <c r="D2598" s="50">
        <f t="shared" si="40"/>
        <v>2.0375820692777324E-3</v>
      </c>
      <c r="E2598" s="49"/>
    </row>
    <row r="2599" spans="1:5" ht="14.4">
      <c r="A2599" s="136">
        <v>40786</v>
      </c>
      <c r="B2599" s="137">
        <v>22.085000000000001</v>
      </c>
      <c r="C2599" s="133"/>
      <c r="D2599" s="50">
        <f t="shared" si="40"/>
        <v>3.9294117647058924E-2</v>
      </c>
      <c r="E2599" s="49"/>
    </row>
    <row r="2600" spans="1:5" ht="14.4">
      <c r="A2600" s="136">
        <v>40785</v>
      </c>
      <c r="B2600" s="137">
        <v>21.25</v>
      </c>
      <c r="C2600" s="133"/>
      <c r="D2600" s="50">
        <f t="shared" si="40"/>
        <v>-3.2833020637899057E-3</v>
      </c>
      <c r="E2600" s="49"/>
    </row>
    <row r="2601" spans="1:5" ht="14.4">
      <c r="A2601" s="136">
        <v>40784</v>
      </c>
      <c r="B2601" s="137">
        <v>21.32</v>
      </c>
      <c r="C2601" s="133"/>
      <c r="D2601" s="50">
        <f t="shared" si="40"/>
        <v>1.4513442778967489E-2</v>
      </c>
      <c r="E2601" s="49"/>
    </row>
    <row r="2602" spans="1:5" ht="14.4">
      <c r="A2602" s="136">
        <v>40781</v>
      </c>
      <c r="B2602" s="137">
        <v>21.015000000000001</v>
      </c>
      <c r="C2602" s="133"/>
      <c r="D2602" s="50">
        <f t="shared" si="40"/>
        <v>-1.7531556802244053E-2</v>
      </c>
      <c r="E2602" s="49"/>
    </row>
    <row r="2603" spans="1:5" ht="14.4">
      <c r="A2603" s="136">
        <v>40780</v>
      </c>
      <c r="B2603" s="137">
        <v>21.39</v>
      </c>
      <c r="C2603" s="133"/>
      <c r="D2603" s="50">
        <f t="shared" si="40"/>
        <v>-1.6777752240864086E-2</v>
      </c>
      <c r="E2603" s="49"/>
    </row>
    <row r="2604" spans="1:5" ht="14.4">
      <c r="A2604" s="136">
        <v>40779</v>
      </c>
      <c r="B2604" s="137">
        <v>21.754999999999999</v>
      </c>
      <c r="C2604" s="133"/>
      <c r="D2604" s="50">
        <f t="shared" si="40"/>
        <v>2.2321428571428381E-2</v>
      </c>
      <c r="E2604" s="49"/>
    </row>
    <row r="2605" spans="1:5" ht="14.4">
      <c r="A2605" s="136">
        <v>40778</v>
      </c>
      <c r="B2605" s="137">
        <v>21.28</v>
      </c>
      <c r="C2605" s="133"/>
      <c r="D2605" s="50">
        <f t="shared" si="40"/>
        <v>9.2482807683187396E-3</v>
      </c>
      <c r="E2605" s="49"/>
    </row>
    <row r="2606" spans="1:5" ht="14.4">
      <c r="A2606" s="136">
        <v>40777</v>
      </c>
      <c r="B2606" s="137">
        <v>21.085000000000001</v>
      </c>
      <c r="C2606" s="133"/>
      <c r="D2606" s="50">
        <f t="shared" si="40"/>
        <v>1.5166104959075666E-2</v>
      </c>
      <c r="E2606" s="49"/>
    </row>
    <row r="2607" spans="1:5" ht="14.4">
      <c r="A2607" s="136">
        <v>40774</v>
      </c>
      <c r="B2607" s="137">
        <v>20.77</v>
      </c>
      <c r="C2607" s="133"/>
      <c r="D2607" s="50">
        <f t="shared" si="40"/>
        <v>-6.2200956937799035E-3</v>
      </c>
      <c r="E2607" s="49"/>
    </row>
    <row r="2608" spans="1:5" ht="14.4">
      <c r="A2608" s="136">
        <v>40773</v>
      </c>
      <c r="B2608" s="137">
        <v>20.9</v>
      </c>
      <c r="C2608" s="133"/>
      <c r="D2608" s="50">
        <f t="shared" si="40"/>
        <v>-7.5221238938053214E-2</v>
      </c>
      <c r="E2608" s="49"/>
    </row>
    <row r="2609" spans="1:5" ht="14.4">
      <c r="A2609" s="136">
        <v>40772</v>
      </c>
      <c r="B2609" s="137">
        <v>22.6</v>
      </c>
      <c r="C2609" s="133"/>
      <c r="D2609" s="50">
        <f t="shared" si="40"/>
        <v>3.669724770642202E-2</v>
      </c>
      <c r="E2609" s="49"/>
    </row>
    <row r="2610" spans="1:5" ht="14.4">
      <c r="A2610" s="136">
        <v>40771</v>
      </c>
      <c r="B2610" s="137">
        <v>21.8</v>
      </c>
      <c r="C2610" s="133"/>
      <c r="D2610" s="50">
        <f t="shared" si="40"/>
        <v>-9.5411176737846271E-3</v>
      </c>
      <c r="E2610" s="49"/>
    </row>
    <row r="2611" spans="1:5" ht="14.4">
      <c r="A2611" s="136">
        <v>40770</v>
      </c>
      <c r="B2611" s="137">
        <v>22.01</v>
      </c>
      <c r="C2611" s="133"/>
      <c r="D2611" s="50">
        <f t="shared" si="40"/>
        <v>3.0913348946135732E-2</v>
      </c>
      <c r="E2611" s="49"/>
    </row>
    <row r="2612" spans="1:5" ht="14.4">
      <c r="A2612" s="136">
        <v>40767</v>
      </c>
      <c r="B2612" s="137">
        <v>21.35</v>
      </c>
      <c r="C2612" s="133"/>
      <c r="D2612" s="50">
        <f t="shared" si="40"/>
        <v>3.3147834502782692E-2</v>
      </c>
      <c r="E2612" s="49"/>
    </row>
    <row r="2613" spans="1:5" ht="14.4">
      <c r="A2613" s="136">
        <v>40766</v>
      </c>
      <c r="B2613" s="137">
        <v>20.664999999999999</v>
      </c>
      <c r="C2613" s="133"/>
      <c r="D2613" s="50">
        <f t="shared" si="40"/>
        <v>3.7920642893018552E-2</v>
      </c>
      <c r="E2613" s="49"/>
    </row>
    <row r="2614" spans="1:5" ht="14.4">
      <c r="A2614" s="136">
        <v>40765</v>
      </c>
      <c r="B2614" s="137">
        <v>19.91</v>
      </c>
      <c r="C2614" s="133"/>
      <c r="D2614" s="50">
        <f t="shared" si="40"/>
        <v>-2.8543547206635766E-2</v>
      </c>
      <c r="E2614" s="49"/>
    </row>
    <row r="2615" spans="1:5" ht="14.4">
      <c r="A2615" s="136">
        <v>40764</v>
      </c>
      <c r="B2615" s="137">
        <v>20.495000000000001</v>
      </c>
      <c r="C2615" s="133"/>
      <c r="D2615" s="50">
        <f t="shared" si="40"/>
        <v>3.4578495709237878E-2</v>
      </c>
      <c r="E2615" s="49"/>
    </row>
    <row r="2616" spans="1:5" ht="14.4">
      <c r="A2616" s="136">
        <v>40763</v>
      </c>
      <c r="B2616" s="137">
        <v>19.809999999999999</v>
      </c>
      <c r="C2616" s="133"/>
      <c r="D2616" s="50">
        <f t="shared" si="40"/>
        <v>-8.6254612546125542E-2</v>
      </c>
      <c r="E2616" s="49"/>
    </row>
    <row r="2617" spans="1:5" ht="14.4">
      <c r="A2617" s="136">
        <v>40760</v>
      </c>
      <c r="B2617" s="137">
        <v>21.68</v>
      </c>
      <c r="C2617" s="133"/>
      <c r="D2617" s="50">
        <f t="shared" si="40"/>
        <v>1.5218918286115546E-2</v>
      </c>
      <c r="E2617" s="49"/>
    </row>
    <row r="2618" spans="1:5" ht="14.4">
      <c r="A2618" s="136">
        <v>40759</v>
      </c>
      <c r="B2618" s="137">
        <v>21.355</v>
      </c>
      <c r="C2618" s="133"/>
      <c r="D2618" s="50">
        <f t="shared" si="40"/>
        <v>-6.0492740871095463E-2</v>
      </c>
      <c r="E2618" s="49"/>
    </row>
    <row r="2619" spans="1:5" ht="14.4">
      <c r="A2619" s="136">
        <v>40758</v>
      </c>
      <c r="B2619" s="137">
        <v>22.73</v>
      </c>
      <c r="C2619" s="133"/>
      <c r="D2619" s="50">
        <f t="shared" si="40"/>
        <v>-3.4204376460590602E-2</v>
      </c>
      <c r="E2619" s="49"/>
    </row>
    <row r="2620" spans="1:5" ht="14.4">
      <c r="A2620" s="136">
        <v>40757</v>
      </c>
      <c r="B2620" s="137">
        <v>23.535</v>
      </c>
      <c r="C2620" s="133"/>
      <c r="D2620" s="50">
        <f t="shared" si="40"/>
        <v>-1.7532874139010612E-2</v>
      </c>
      <c r="E2620" s="49"/>
    </row>
    <row r="2621" spans="1:5" ht="14.4">
      <c r="A2621" s="136">
        <v>40756</v>
      </c>
      <c r="B2621" s="137">
        <v>23.954999999999998</v>
      </c>
      <c r="C2621" s="133"/>
      <c r="D2621" s="50">
        <f t="shared" si="40"/>
        <v>-1.0123966942148788E-2</v>
      </c>
      <c r="E2621" s="49"/>
    </row>
    <row r="2622" spans="1:5" ht="14.4">
      <c r="A2622" s="136">
        <v>40753</v>
      </c>
      <c r="B2622" s="137">
        <v>24.2</v>
      </c>
      <c r="C2622" s="133"/>
      <c r="D2622" s="50">
        <f t="shared" si="40"/>
        <v>-4.115226337448652E-3</v>
      </c>
      <c r="E2622" s="49"/>
    </row>
    <row r="2623" spans="1:5" ht="14.4">
      <c r="A2623" s="136">
        <v>40752</v>
      </c>
      <c r="B2623" s="137">
        <v>24.3</v>
      </c>
      <c r="C2623" s="133"/>
      <c r="D2623" s="50">
        <f t="shared" si="40"/>
        <v>-1.2330456226878894E-3</v>
      </c>
      <c r="E2623" s="49"/>
    </row>
    <row r="2624" spans="1:5" ht="14.4">
      <c r="A2624" s="136">
        <v>40751</v>
      </c>
      <c r="B2624" s="137">
        <v>24.33</v>
      </c>
      <c r="C2624" s="133"/>
      <c r="D2624" s="50">
        <f t="shared" si="40"/>
        <v>-6.1274509803922461E-3</v>
      </c>
      <c r="E2624" s="49"/>
    </row>
    <row r="2625" spans="1:5" ht="14.4">
      <c r="A2625" s="136">
        <v>40750</v>
      </c>
      <c r="B2625" s="137">
        <v>24.48</v>
      </c>
      <c r="C2625" s="133"/>
      <c r="D2625" s="50">
        <f t="shared" si="40"/>
        <v>-2.2364217252396124E-2</v>
      </c>
      <c r="E2625" s="49"/>
    </row>
    <row r="2626" spans="1:5" ht="14.4">
      <c r="A2626" s="136">
        <v>40749</v>
      </c>
      <c r="B2626" s="137">
        <v>25.04</v>
      </c>
      <c r="C2626" s="133"/>
      <c r="D2626" s="50">
        <f t="shared" si="40"/>
        <v>8.2544795651298131E-3</v>
      </c>
      <c r="E2626" s="49"/>
    </row>
    <row r="2627" spans="1:5" ht="14.4">
      <c r="A2627" s="136">
        <v>40746</v>
      </c>
      <c r="B2627" s="137">
        <v>24.835000000000001</v>
      </c>
      <c r="C2627" s="133"/>
      <c r="D2627" s="50">
        <f t="shared" si="40"/>
        <v>-1.4073180538801688E-3</v>
      </c>
      <c r="E2627" s="49"/>
    </row>
    <row r="2628" spans="1:5" ht="14.4">
      <c r="A2628" s="136">
        <v>40745</v>
      </c>
      <c r="B2628" s="137">
        <v>24.87</v>
      </c>
      <c r="C2628" s="133"/>
      <c r="D2628" s="50">
        <f t="shared" si="40"/>
        <v>3.2271077047196783E-3</v>
      </c>
      <c r="E2628" s="49"/>
    </row>
    <row r="2629" spans="1:5" ht="14.4">
      <c r="A2629" s="136">
        <v>40744</v>
      </c>
      <c r="B2629" s="137">
        <v>24.79</v>
      </c>
      <c r="C2629" s="133"/>
      <c r="D2629" s="50">
        <f t="shared" si="40"/>
        <v>3.5938152946092705E-2</v>
      </c>
      <c r="E2629" s="49"/>
    </row>
    <row r="2630" spans="1:5" ht="14.4">
      <c r="A2630" s="136">
        <v>40743</v>
      </c>
      <c r="B2630" s="137">
        <v>23.93</v>
      </c>
      <c r="C2630" s="133"/>
      <c r="D2630" s="50">
        <f t="shared" si="40"/>
        <v>7.1548821548821362E-3</v>
      </c>
      <c r="E2630" s="49"/>
    </row>
    <row r="2631" spans="1:5" ht="14.4">
      <c r="A2631" s="136">
        <v>40742</v>
      </c>
      <c r="B2631" s="137">
        <v>23.76</v>
      </c>
      <c r="C2631" s="133"/>
      <c r="D2631" s="50">
        <f t="shared" si="40"/>
        <v>2.1088148460566281E-3</v>
      </c>
      <c r="E2631" s="49"/>
    </row>
    <row r="2632" spans="1:5" ht="14.4">
      <c r="A2632" s="136">
        <v>40739</v>
      </c>
      <c r="B2632" s="137">
        <v>23.71</v>
      </c>
      <c r="C2632" s="133"/>
      <c r="D2632" s="50">
        <f t="shared" ref="D2632:D2695" si="41">(B2632-C2632)/B2633-1</f>
        <v>-3.3627574611180266E-3</v>
      </c>
      <c r="E2632" s="49"/>
    </row>
    <row r="2633" spans="1:5" ht="14.4">
      <c r="A2633" s="136">
        <v>40738</v>
      </c>
      <c r="B2633" s="137">
        <v>23.79</v>
      </c>
      <c r="C2633" s="133"/>
      <c r="D2633" s="50">
        <f t="shared" si="41"/>
        <v>-1.2658227848101222E-2</v>
      </c>
      <c r="E2633" s="49"/>
    </row>
    <row r="2634" spans="1:5" ht="14.4">
      <c r="A2634" s="136">
        <v>40737</v>
      </c>
      <c r="B2634" s="137">
        <v>24.094999999999999</v>
      </c>
      <c r="C2634" s="133"/>
      <c r="D2634" s="50">
        <f t="shared" si="41"/>
        <v>3.8801465833153692E-2</v>
      </c>
      <c r="E2634" s="49"/>
    </row>
    <row r="2635" spans="1:5" ht="14.4">
      <c r="A2635" s="136">
        <v>40736</v>
      </c>
      <c r="B2635" s="137">
        <v>23.195</v>
      </c>
      <c r="C2635" s="133"/>
      <c r="D2635" s="50">
        <f t="shared" si="41"/>
        <v>6.5090041223692108E-3</v>
      </c>
      <c r="E2635" s="49"/>
    </row>
    <row r="2636" spans="1:5" ht="14.4">
      <c r="A2636" s="136">
        <v>40735</v>
      </c>
      <c r="B2636" s="137">
        <v>23.045000000000002</v>
      </c>
      <c r="C2636" s="133"/>
      <c r="D2636" s="50">
        <f t="shared" si="41"/>
        <v>-3.4594594594593575E-3</v>
      </c>
      <c r="E2636" s="49"/>
    </row>
    <row r="2637" spans="1:5" ht="14.4">
      <c r="A2637" s="136">
        <v>40732</v>
      </c>
      <c r="B2637" s="137">
        <v>23.125</v>
      </c>
      <c r="C2637" s="133"/>
      <c r="D2637" s="50">
        <f t="shared" si="41"/>
        <v>-1.1118238186871965E-2</v>
      </c>
      <c r="E2637" s="49"/>
    </row>
    <row r="2638" spans="1:5" ht="14.4">
      <c r="A2638" s="136">
        <v>40731</v>
      </c>
      <c r="B2638" s="137">
        <v>23.385000000000002</v>
      </c>
      <c r="C2638" s="133"/>
      <c r="D2638" s="50">
        <f t="shared" si="41"/>
        <v>-2.1376656690885731E-4</v>
      </c>
      <c r="E2638" s="49"/>
    </row>
    <row r="2639" spans="1:5" ht="14.4">
      <c r="A2639" s="136">
        <v>40730</v>
      </c>
      <c r="B2639" s="137">
        <v>23.39</v>
      </c>
      <c r="C2639" s="133"/>
      <c r="D2639" s="50">
        <f t="shared" si="41"/>
        <v>-6.7940552016985123E-3</v>
      </c>
      <c r="E2639" s="49"/>
    </row>
    <row r="2640" spans="1:5" ht="14.4">
      <c r="A2640" s="136">
        <v>40729</v>
      </c>
      <c r="B2640" s="137">
        <v>23.55</v>
      </c>
      <c r="C2640" s="133"/>
      <c r="D2640" s="50">
        <f t="shared" si="41"/>
        <v>5.3361792956243548E-3</v>
      </c>
      <c r="E2640" s="49"/>
    </row>
    <row r="2641" spans="1:5" ht="14.4">
      <c r="A2641" s="136">
        <v>40728</v>
      </c>
      <c r="B2641" s="137">
        <v>23.425000000000001</v>
      </c>
      <c r="C2641" s="133"/>
      <c r="D2641" s="50">
        <f t="shared" si="41"/>
        <v>1.8035636679704536E-2</v>
      </c>
      <c r="E2641" s="49"/>
    </row>
    <row r="2642" spans="1:5" ht="14.4">
      <c r="A2642" s="136">
        <v>40725</v>
      </c>
      <c r="B2642" s="137">
        <v>23.01</v>
      </c>
      <c r="C2642" s="133"/>
      <c r="D2642" s="50">
        <f t="shared" si="41"/>
        <v>-3.032928942807489E-3</v>
      </c>
      <c r="E2642" s="49"/>
    </row>
    <row r="2643" spans="1:5" ht="14.4">
      <c r="A2643" s="136">
        <v>40724</v>
      </c>
      <c r="B2643" s="137">
        <v>23.08</v>
      </c>
      <c r="C2643" s="133"/>
      <c r="D2643" s="50">
        <f t="shared" si="41"/>
        <v>1.1171960569550832E-2</v>
      </c>
      <c r="E2643" s="49"/>
    </row>
    <row r="2644" spans="1:5" ht="14.4">
      <c r="A2644" s="136">
        <v>40723</v>
      </c>
      <c r="B2644" s="137">
        <v>22.824999999999999</v>
      </c>
      <c r="C2644" s="133"/>
      <c r="D2644" s="50">
        <f t="shared" si="41"/>
        <v>1.2644188110026544E-2</v>
      </c>
      <c r="E2644" s="49"/>
    </row>
    <row r="2645" spans="1:5" ht="14.4">
      <c r="A2645" s="136">
        <v>40722</v>
      </c>
      <c r="B2645" s="137">
        <v>22.54</v>
      </c>
      <c r="C2645" s="133"/>
      <c r="D2645" s="50">
        <f t="shared" si="41"/>
        <v>2.2222222222222143E-2</v>
      </c>
      <c r="E2645" s="49"/>
    </row>
    <row r="2646" spans="1:5" ht="14.4">
      <c r="A2646" s="136">
        <v>40721</v>
      </c>
      <c r="B2646" s="137">
        <v>22.05</v>
      </c>
      <c r="C2646" s="133"/>
      <c r="D2646" s="50">
        <f t="shared" si="41"/>
        <v>-1.5624999999999889E-2</v>
      </c>
      <c r="E2646" s="49"/>
    </row>
    <row r="2647" spans="1:5" ht="14.4">
      <c r="A2647" s="136">
        <v>40718</v>
      </c>
      <c r="B2647" s="137">
        <v>22.4</v>
      </c>
      <c r="C2647" s="133"/>
      <c r="D2647" s="50">
        <f t="shared" si="41"/>
        <v>1.72570390554041E-2</v>
      </c>
      <c r="E2647" s="49"/>
    </row>
    <row r="2648" spans="1:5" ht="14.4">
      <c r="A2648" s="136">
        <v>40717</v>
      </c>
      <c r="B2648" s="137">
        <v>22.02</v>
      </c>
      <c r="C2648" s="133"/>
      <c r="D2648" s="50">
        <f t="shared" si="41"/>
        <v>7.7803203661326314E-3</v>
      </c>
      <c r="E2648" s="49"/>
    </row>
    <row r="2649" spans="1:5" ht="14.4">
      <c r="A2649" s="136">
        <v>40716</v>
      </c>
      <c r="B2649" s="137">
        <v>21.85</v>
      </c>
      <c r="C2649" s="133"/>
      <c r="D2649" s="50">
        <f t="shared" si="41"/>
        <v>4.366812227074357E-3</v>
      </c>
      <c r="E2649" s="49"/>
    </row>
    <row r="2650" spans="1:5" ht="14.4">
      <c r="A2650" s="136">
        <v>40715</v>
      </c>
      <c r="B2650" s="137">
        <v>21.754999999999999</v>
      </c>
      <c r="C2650" s="133"/>
      <c r="D2650" s="50">
        <f t="shared" si="41"/>
        <v>2.3283160865474883E-2</v>
      </c>
      <c r="E2650" s="49"/>
    </row>
    <row r="2651" spans="1:5" ht="14.4">
      <c r="A2651" s="136">
        <v>40714</v>
      </c>
      <c r="B2651" s="137">
        <v>21.26</v>
      </c>
      <c r="C2651" s="133"/>
      <c r="D2651" s="50">
        <f t="shared" si="41"/>
        <v>-8.3955223880597396E-3</v>
      </c>
      <c r="E2651" s="49"/>
    </row>
    <row r="2652" spans="1:5" ht="14.4">
      <c r="A2652" s="136">
        <v>40711</v>
      </c>
      <c r="B2652" s="137">
        <v>21.44</v>
      </c>
      <c r="C2652" s="133"/>
      <c r="D2652" s="50">
        <f t="shared" si="41"/>
        <v>-8.7840961627367875E-3</v>
      </c>
      <c r="E2652" s="49"/>
    </row>
    <row r="2653" spans="1:5" ht="14.4">
      <c r="A2653" s="136">
        <v>40710</v>
      </c>
      <c r="B2653" s="137">
        <v>21.63</v>
      </c>
      <c r="C2653" s="133"/>
      <c r="D2653" s="50">
        <f t="shared" si="41"/>
        <v>-2.0761245674740803E-3</v>
      </c>
      <c r="E2653" s="49"/>
    </row>
    <row r="2654" spans="1:5" ht="14.4">
      <c r="A2654" s="136">
        <v>40709</v>
      </c>
      <c r="B2654" s="137">
        <v>21.675000000000001</v>
      </c>
      <c r="C2654" s="133"/>
      <c r="D2654" s="50">
        <f t="shared" si="41"/>
        <v>1.261387526278912E-2</v>
      </c>
      <c r="E2654" s="49"/>
    </row>
    <row r="2655" spans="1:5" ht="14.4">
      <c r="A2655" s="136">
        <v>40708</v>
      </c>
      <c r="B2655" s="137">
        <v>21.405000000000001</v>
      </c>
      <c r="C2655" s="133"/>
      <c r="D2655" s="50">
        <f t="shared" si="41"/>
        <v>6.3469675599436837E-3</v>
      </c>
      <c r="E2655" s="49"/>
    </row>
    <row r="2656" spans="1:5" ht="14.4">
      <c r="A2656" s="136">
        <v>40707</v>
      </c>
      <c r="B2656" s="137">
        <v>21.27</v>
      </c>
      <c r="C2656" s="133"/>
      <c r="D2656" s="50">
        <f t="shared" si="41"/>
        <v>7.3407530191806902E-3</v>
      </c>
      <c r="E2656" s="49"/>
    </row>
    <row r="2657" spans="1:5" ht="14.4">
      <c r="A2657" s="136">
        <v>40704</v>
      </c>
      <c r="B2657" s="137">
        <v>21.114999999999998</v>
      </c>
      <c r="C2657" s="133"/>
      <c r="D2657" s="50">
        <f t="shared" si="41"/>
        <v>-2.1320973348783356E-2</v>
      </c>
      <c r="E2657" s="49"/>
    </row>
    <row r="2658" spans="1:5" ht="14.4">
      <c r="A2658" s="136">
        <v>40703</v>
      </c>
      <c r="B2658" s="137">
        <v>21.574999999999999</v>
      </c>
      <c r="C2658" s="133"/>
      <c r="D2658" s="50">
        <f t="shared" si="41"/>
        <v>1.7208863743517044E-2</v>
      </c>
      <c r="E2658" s="49"/>
    </row>
    <row r="2659" spans="1:5" ht="14.4">
      <c r="A2659" s="136">
        <v>40702</v>
      </c>
      <c r="B2659" s="137">
        <v>21.21</v>
      </c>
      <c r="C2659" s="133"/>
      <c r="D2659" s="50">
        <f t="shared" si="41"/>
        <v>-6.0918462980318333E-3</v>
      </c>
      <c r="E2659" s="49"/>
    </row>
    <row r="2660" spans="1:5" ht="14.4">
      <c r="A2660" s="136">
        <v>40701</v>
      </c>
      <c r="B2660" s="137">
        <v>21.34</v>
      </c>
      <c r="C2660" s="133"/>
      <c r="D2660" s="50">
        <f t="shared" si="41"/>
        <v>-5.8234334963894741E-3</v>
      </c>
      <c r="E2660" s="49"/>
    </row>
    <row r="2661" spans="1:5" ht="14.4">
      <c r="A2661" s="136">
        <v>40700</v>
      </c>
      <c r="B2661" s="137">
        <v>21.465</v>
      </c>
      <c r="C2661" s="133"/>
      <c r="D2661" s="50">
        <f t="shared" si="41"/>
        <v>-2.5557620817843185E-3</v>
      </c>
      <c r="E2661" s="49"/>
    </row>
    <row r="2662" spans="1:5" ht="14.4">
      <c r="A2662" s="136">
        <v>40697</v>
      </c>
      <c r="B2662" s="137">
        <v>21.52</v>
      </c>
      <c r="C2662" s="133"/>
      <c r="D2662" s="50">
        <f t="shared" si="41"/>
        <v>6.077606358111165E-3</v>
      </c>
      <c r="E2662" s="49"/>
    </row>
    <row r="2663" spans="1:5" ht="14.4">
      <c r="A2663" s="136">
        <v>40696</v>
      </c>
      <c r="B2663" s="137">
        <v>21.39</v>
      </c>
      <c r="C2663" s="133"/>
      <c r="D2663" s="50">
        <f t="shared" si="41"/>
        <v>-3.3438770899231751E-2</v>
      </c>
      <c r="E2663" s="49"/>
    </row>
    <row r="2664" spans="1:5" ht="14.4">
      <c r="A2664" s="136">
        <v>40695</v>
      </c>
      <c r="B2664" s="137">
        <v>22.13</v>
      </c>
      <c r="C2664" s="133"/>
      <c r="D2664" s="50">
        <f t="shared" si="41"/>
        <v>-3.2779720279720315E-2</v>
      </c>
      <c r="E2664" s="49"/>
    </row>
    <row r="2665" spans="1:5" ht="14.4">
      <c r="A2665" s="136">
        <v>40694</v>
      </c>
      <c r="B2665" s="137">
        <v>22.88</v>
      </c>
      <c r="C2665" s="133"/>
      <c r="D2665" s="50">
        <f t="shared" si="41"/>
        <v>2.0289855072463725E-2</v>
      </c>
      <c r="E2665" s="49"/>
    </row>
    <row r="2666" spans="1:5" ht="14.4">
      <c r="A2666" s="136">
        <v>40693</v>
      </c>
      <c r="B2666" s="137">
        <v>22.425000000000001</v>
      </c>
      <c r="C2666" s="133"/>
      <c r="D2666" s="50">
        <f t="shared" si="41"/>
        <v>2.2301516503109298E-4</v>
      </c>
      <c r="E2666" s="49"/>
    </row>
    <row r="2667" spans="1:5" ht="14.4">
      <c r="A2667" s="136">
        <v>40690</v>
      </c>
      <c r="B2667" s="137">
        <v>22.42</v>
      </c>
      <c r="C2667" s="133"/>
      <c r="D2667" s="50">
        <f t="shared" si="41"/>
        <v>-3.7769384581203269E-3</v>
      </c>
      <c r="E2667" s="49"/>
    </row>
    <row r="2668" spans="1:5" ht="14.4">
      <c r="A2668" s="136">
        <v>40689</v>
      </c>
      <c r="B2668" s="137">
        <v>22.504999999999999</v>
      </c>
      <c r="C2668" s="133"/>
      <c r="D2668" s="50">
        <f t="shared" si="41"/>
        <v>7.160438576862882E-3</v>
      </c>
      <c r="E2668" s="49"/>
    </row>
    <row r="2669" spans="1:5" ht="14.4">
      <c r="A2669" s="136">
        <v>40688</v>
      </c>
      <c r="B2669" s="137">
        <v>22.344999999999999</v>
      </c>
      <c r="C2669" s="133"/>
      <c r="D2669" s="50">
        <f t="shared" si="41"/>
        <v>-9.7496122313318612E-3</v>
      </c>
      <c r="E2669" s="49"/>
    </row>
    <row r="2670" spans="1:5" ht="14.4">
      <c r="A2670" s="136">
        <v>40687</v>
      </c>
      <c r="B2670" s="137">
        <v>22.565000000000001</v>
      </c>
      <c r="C2670" s="133"/>
      <c r="D2670" s="50">
        <f t="shared" si="41"/>
        <v>7.3660714285714857E-3</v>
      </c>
      <c r="E2670" s="49"/>
    </row>
    <row r="2671" spans="1:5" ht="14.4">
      <c r="A2671" s="136">
        <v>40686</v>
      </c>
      <c r="B2671" s="137">
        <v>22.4</v>
      </c>
      <c r="C2671" s="133"/>
      <c r="D2671" s="50">
        <f t="shared" si="41"/>
        <v>-1.3867488443759735E-2</v>
      </c>
      <c r="E2671" s="49"/>
    </row>
    <row r="2672" spans="1:5" ht="14.4">
      <c r="A2672" s="136">
        <v>40683</v>
      </c>
      <c r="B2672" s="137">
        <v>22.715</v>
      </c>
      <c r="C2672" s="133"/>
      <c r="D2672" s="50">
        <f t="shared" si="41"/>
        <v>-1.3463626492942415E-2</v>
      </c>
      <c r="E2672" s="49"/>
    </row>
    <row r="2673" spans="1:5" ht="14.4">
      <c r="A2673" s="136">
        <v>40682</v>
      </c>
      <c r="B2673" s="137">
        <v>23.024999999999999</v>
      </c>
      <c r="C2673" s="133"/>
      <c r="D2673" s="50">
        <f t="shared" si="41"/>
        <v>3.3902110462505464E-2</v>
      </c>
      <c r="E2673" s="49"/>
    </row>
    <row r="2674" spans="1:5" ht="14.4">
      <c r="A2674" s="136">
        <v>40681</v>
      </c>
      <c r="B2674" s="137">
        <v>22.27</v>
      </c>
      <c r="C2674" s="133"/>
      <c r="D2674" s="50">
        <f t="shared" si="41"/>
        <v>9.977324263038545E-3</v>
      </c>
      <c r="E2674" s="49"/>
    </row>
    <row r="2675" spans="1:5" ht="14.4">
      <c r="A2675" s="136">
        <v>40680</v>
      </c>
      <c r="B2675" s="137">
        <v>22.05</v>
      </c>
      <c r="C2675" s="133"/>
      <c r="D2675" s="50">
        <f t="shared" si="41"/>
        <v>-2.433628318584069E-2</v>
      </c>
      <c r="E2675" s="49"/>
    </row>
    <row r="2676" spans="1:5" ht="14.4">
      <c r="A2676" s="136">
        <v>40679</v>
      </c>
      <c r="B2676" s="137">
        <v>22.6</v>
      </c>
      <c r="C2676" s="133"/>
      <c r="D2676" s="50">
        <f t="shared" si="41"/>
        <v>-2.1221307925508803E-2</v>
      </c>
      <c r="E2676" s="49"/>
    </row>
    <row r="2677" spans="1:5" ht="14.4">
      <c r="A2677" s="136">
        <v>40676</v>
      </c>
      <c r="B2677" s="137">
        <v>23.09</v>
      </c>
      <c r="C2677" s="133"/>
      <c r="D2677" s="50">
        <f t="shared" si="41"/>
        <v>5.8446023378409206E-2</v>
      </c>
      <c r="E2677" s="49"/>
    </row>
    <row r="2678" spans="1:5" ht="14.4">
      <c r="A2678" s="136">
        <v>40675</v>
      </c>
      <c r="B2678" s="137">
        <v>21.815000000000001</v>
      </c>
      <c r="C2678" s="133"/>
      <c r="D2678" s="50">
        <f t="shared" si="41"/>
        <v>2.5275735294116863E-3</v>
      </c>
      <c r="E2678" s="49"/>
    </row>
    <row r="2679" spans="1:5" ht="14.4">
      <c r="A2679" s="136">
        <v>40674</v>
      </c>
      <c r="B2679" s="137">
        <v>21.76</v>
      </c>
      <c r="C2679" s="133"/>
      <c r="D2679" s="50">
        <f t="shared" si="41"/>
        <v>1.1387404136648849E-2</v>
      </c>
      <c r="E2679" s="49"/>
    </row>
    <row r="2680" spans="1:5" ht="14.4">
      <c r="A2680" s="136">
        <v>40673</v>
      </c>
      <c r="B2680" s="137">
        <v>21.515000000000001</v>
      </c>
      <c r="C2680" s="133"/>
      <c r="D2680" s="50">
        <f t="shared" si="41"/>
        <v>2.5989508822126917E-2</v>
      </c>
      <c r="E2680" s="49"/>
    </row>
    <row r="2681" spans="1:5" ht="14.4">
      <c r="A2681" s="136">
        <v>40672</v>
      </c>
      <c r="B2681" s="137">
        <v>20.97</v>
      </c>
      <c r="C2681" s="133"/>
      <c r="D2681" s="50">
        <f t="shared" si="41"/>
        <v>9.5465393794746944E-4</v>
      </c>
      <c r="E2681" s="49"/>
    </row>
    <row r="2682" spans="1:5" ht="14.4">
      <c r="A2682" s="136">
        <v>40669</v>
      </c>
      <c r="B2682" s="137">
        <v>20.95</v>
      </c>
      <c r="C2682" s="133"/>
      <c r="D2682" s="50">
        <f t="shared" si="41"/>
        <v>2.6960784313725616E-2</v>
      </c>
      <c r="E2682" s="49"/>
    </row>
    <row r="2683" spans="1:5" ht="14.4">
      <c r="A2683" s="136">
        <v>40668</v>
      </c>
      <c r="B2683" s="137">
        <v>20.399999999999999</v>
      </c>
      <c r="C2683" s="133"/>
      <c r="D2683" s="50">
        <f t="shared" si="41"/>
        <v>-3.4196384953590897E-3</v>
      </c>
      <c r="E2683" s="49"/>
    </row>
    <row r="2684" spans="1:5" ht="14.4">
      <c r="A2684" s="136">
        <v>40667</v>
      </c>
      <c r="B2684" s="137">
        <v>20.47</v>
      </c>
      <c r="C2684" s="133"/>
      <c r="D2684" s="50">
        <f t="shared" si="41"/>
        <v>-1.3493975903614563E-2</v>
      </c>
      <c r="E2684" s="49"/>
    </row>
    <row r="2685" spans="1:5" ht="14.4">
      <c r="A2685" s="136">
        <v>40666</v>
      </c>
      <c r="B2685" s="137">
        <v>20.75</v>
      </c>
      <c r="C2685" s="133"/>
      <c r="D2685" s="50">
        <f t="shared" si="41"/>
        <v>-9.6292729898894702E-4</v>
      </c>
      <c r="E2685" s="49"/>
    </row>
    <row r="2686" spans="1:5" ht="14.4">
      <c r="A2686" s="136">
        <v>40665</v>
      </c>
      <c r="B2686" s="137">
        <v>20.77</v>
      </c>
      <c r="C2686" s="133"/>
      <c r="D2686" s="50">
        <f t="shared" si="41"/>
        <v>-5.7443752991862551E-3</v>
      </c>
      <c r="E2686" s="49"/>
    </row>
    <row r="2687" spans="1:5" ht="14.4">
      <c r="A2687" s="136">
        <v>40662</v>
      </c>
      <c r="B2687" s="137">
        <v>20.89</v>
      </c>
      <c r="C2687" s="133"/>
      <c r="D2687" s="50">
        <f t="shared" si="41"/>
        <v>-1.1124260355029558E-2</v>
      </c>
      <c r="E2687" s="49"/>
    </row>
    <row r="2688" spans="1:5" ht="14.4">
      <c r="A2688" s="136">
        <v>40661</v>
      </c>
      <c r="B2688" s="137">
        <v>21.125</v>
      </c>
      <c r="C2688" s="133"/>
      <c r="D2688" s="50">
        <f t="shared" si="41"/>
        <v>-6.817113305124578E-3</v>
      </c>
      <c r="E2688" s="49"/>
    </row>
    <row r="2689" spans="1:5" ht="14.4">
      <c r="A2689" s="136">
        <v>40660</v>
      </c>
      <c r="B2689" s="137">
        <v>21.27</v>
      </c>
      <c r="C2689" s="133"/>
      <c r="D2689" s="50">
        <f t="shared" si="41"/>
        <v>-7.4661689220718586E-3</v>
      </c>
      <c r="E2689" s="49"/>
    </row>
    <row r="2690" spans="1:5" ht="14.4">
      <c r="A2690" s="136">
        <v>40659</v>
      </c>
      <c r="B2690" s="137">
        <v>21.43</v>
      </c>
      <c r="C2690" s="133"/>
      <c r="D2690" s="50">
        <f t="shared" si="41"/>
        <v>9.182952672474709E-3</v>
      </c>
      <c r="E2690" s="49"/>
    </row>
    <row r="2691" spans="1:5" ht="14.4">
      <c r="A2691" s="136">
        <v>40654</v>
      </c>
      <c r="B2691" s="137">
        <v>21.234999999999999</v>
      </c>
      <c r="C2691" s="133"/>
      <c r="D2691" s="50">
        <f t="shared" si="41"/>
        <v>-1.1759172154280906E-3</v>
      </c>
      <c r="E2691" s="49"/>
    </row>
    <row r="2692" spans="1:5" ht="14.4">
      <c r="A2692" s="136">
        <v>40653</v>
      </c>
      <c r="B2692" s="137">
        <v>21.26</v>
      </c>
      <c r="C2692" s="133"/>
      <c r="D2692" s="50">
        <f t="shared" si="41"/>
        <v>3.103782735208549E-2</v>
      </c>
      <c r="E2692" s="49"/>
    </row>
    <row r="2693" spans="1:5" ht="14.4">
      <c r="A2693" s="136">
        <v>40652</v>
      </c>
      <c r="B2693" s="137">
        <v>20.62</v>
      </c>
      <c r="C2693" s="133"/>
      <c r="D2693" s="50">
        <f t="shared" si="41"/>
        <v>3.6505232416645939E-3</v>
      </c>
      <c r="E2693" s="49"/>
    </row>
    <row r="2694" spans="1:5" ht="14.4">
      <c r="A2694" s="136">
        <v>40651</v>
      </c>
      <c r="B2694" s="137">
        <v>20.545000000000002</v>
      </c>
      <c r="C2694" s="133"/>
      <c r="D2694" s="50">
        <f t="shared" si="41"/>
        <v>-2.4453941120607614E-2</v>
      </c>
      <c r="E2694" s="49"/>
    </row>
    <row r="2695" spans="1:5" ht="14.4">
      <c r="A2695" s="136">
        <v>40648</v>
      </c>
      <c r="B2695" s="137">
        <v>21.06</v>
      </c>
      <c r="C2695" s="133"/>
      <c r="D2695" s="50">
        <f t="shared" si="41"/>
        <v>8.8622754491016753E-3</v>
      </c>
      <c r="E2695" s="49"/>
    </row>
    <row r="2696" spans="1:5" ht="14.4">
      <c r="A2696" s="136">
        <v>40647</v>
      </c>
      <c r="B2696" s="137">
        <v>20.875</v>
      </c>
      <c r="C2696" s="133"/>
      <c r="D2696" s="50">
        <f t="shared" ref="D2696:D2759" si="42">(B2696-C2696)/B2697-1</f>
        <v>-1.9125029882858247E-3</v>
      </c>
      <c r="E2696" s="49"/>
    </row>
    <row r="2697" spans="1:5" ht="14.4">
      <c r="A2697" s="136">
        <v>40646</v>
      </c>
      <c r="B2697" s="137">
        <v>20.914999999999999</v>
      </c>
      <c r="C2697" s="133"/>
      <c r="D2697" s="50">
        <f t="shared" si="42"/>
        <v>1.2587751149842452E-2</v>
      </c>
      <c r="E2697" s="49"/>
    </row>
    <row r="2698" spans="1:5" ht="14.4">
      <c r="A2698" s="136">
        <v>40645</v>
      </c>
      <c r="B2698" s="137">
        <v>20.655000000000001</v>
      </c>
      <c r="C2698" s="133"/>
      <c r="D2698" s="50">
        <f t="shared" si="42"/>
        <v>-1.0538922155688524E-2</v>
      </c>
      <c r="E2698" s="49"/>
    </row>
    <row r="2699" spans="1:5" ht="14.4">
      <c r="A2699" s="136">
        <v>40644</v>
      </c>
      <c r="B2699" s="137">
        <v>20.875</v>
      </c>
      <c r="C2699" s="133"/>
      <c r="D2699" s="50">
        <f t="shared" si="42"/>
        <v>-1.6738402678144748E-3</v>
      </c>
      <c r="E2699" s="49"/>
    </row>
    <row r="2700" spans="1:5" ht="14.4">
      <c r="A2700" s="136">
        <v>40641</v>
      </c>
      <c r="B2700" s="137">
        <v>20.91</v>
      </c>
      <c r="C2700" s="133"/>
      <c r="D2700" s="50">
        <f t="shared" si="42"/>
        <v>-5.9424768243403481E-3</v>
      </c>
      <c r="E2700" s="49"/>
    </row>
    <row r="2701" spans="1:5" ht="14.4">
      <c r="A2701" s="136">
        <v>40640</v>
      </c>
      <c r="B2701" s="137">
        <v>21.035</v>
      </c>
      <c r="C2701" s="133"/>
      <c r="D2701" s="50">
        <f t="shared" si="42"/>
        <v>8.8729016786570636E-3</v>
      </c>
      <c r="E2701" s="49"/>
    </row>
    <row r="2702" spans="1:5" ht="14.4">
      <c r="A2702" s="136">
        <v>40639</v>
      </c>
      <c r="B2702" s="137">
        <v>20.85</v>
      </c>
      <c r="C2702" s="133"/>
      <c r="D2702" s="50">
        <f t="shared" si="42"/>
        <v>-7.6154212279866407E-3</v>
      </c>
      <c r="E2702" s="49"/>
    </row>
    <row r="2703" spans="1:5" ht="14.4">
      <c r="A2703" s="136">
        <v>40638</v>
      </c>
      <c r="B2703" s="137">
        <v>21.01</v>
      </c>
      <c r="C2703" s="133"/>
      <c r="D2703" s="50">
        <f t="shared" si="42"/>
        <v>-1.1884953648679808E-3</v>
      </c>
      <c r="E2703" s="49"/>
    </row>
    <row r="2704" spans="1:5" ht="14.4">
      <c r="A2704" s="136">
        <v>40637</v>
      </c>
      <c r="B2704" s="137">
        <v>21.035</v>
      </c>
      <c r="C2704" s="133"/>
      <c r="D2704" s="50">
        <f t="shared" si="42"/>
        <v>-5.9073724007561168E-3</v>
      </c>
      <c r="E2704" s="49"/>
    </row>
    <row r="2705" spans="1:5" ht="14.4">
      <c r="A2705" s="136">
        <v>40634</v>
      </c>
      <c r="B2705" s="137">
        <v>21.16</v>
      </c>
      <c r="C2705" s="133"/>
      <c r="D2705" s="50">
        <f t="shared" si="42"/>
        <v>3.0185004868549248E-2</v>
      </c>
      <c r="E2705" s="49"/>
    </row>
    <row r="2706" spans="1:5" ht="14.4">
      <c r="A2706" s="136">
        <v>40633</v>
      </c>
      <c r="B2706" s="137">
        <v>20.54</v>
      </c>
      <c r="C2706" s="133"/>
      <c r="D2706" s="50">
        <f t="shared" si="42"/>
        <v>-1.0597302504817052E-2</v>
      </c>
      <c r="E2706" s="49"/>
    </row>
    <row r="2707" spans="1:5" ht="14.4">
      <c r="A2707" s="136">
        <v>40632</v>
      </c>
      <c r="B2707" s="137">
        <v>20.76</v>
      </c>
      <c r="C2707" s="133"/>
      <c r="D2707" s="50">
        <f t="shared" si="42"/>
        <v>2.3416317475967618E-2</v>
      </c>
      <c r="E2707" s="49"/>
    </row>
    <row r="2708" spans="1:5" ht="14.4">
      <c r="A2708" s="136">
        <v>40631</v>
      </c>
      <c r="B2708" s="137">
        <v>20.285</v>
      </c>
      <c r="C2708" s="133"/>
      <c r="D2708" s="50">
        <f t="shared" si="42"/>
        <v>2.9666254635352107E-3</v>
      </c>
      <c r="E2708" s="49"/>
    </row>
    <row r="2709" spans="1:5" ht="14.4">
      <c r="A2709" s="136">
        <v>40630</v>
      </c>
      <c r="B2709" s="137">
        <v>20.225000000000001</v>
      </c>
      <c r="C2709" s="133"/>
      <c r="D2709" s="50">
        <f t="shared" si="42"/>
        <v>1.9816695566015063E-3</v>
      </c>
      <c r="E2709" s="49"/>
    </row>
    <row r="2710" spans="1:5" ht="14.4">
      <c r="A2710" s="136">
        <v>40627</v>
      </c>
      <c r="B2710" s="137">
        <v>20.184999999999999</v>
      </c>
      <c r="C2710" s="133"/>
      <c r="D2710" s="50">
        <f t="shared" si="42"/>
        <v>2.4777006937548585E-4</v>
      </c>
      <c r="E2710" s="49"/>
    </row>
    <row r="2711" spans="1:5" ht="14.4">
      <c r="A2711" s="136">
        <v>40626</v>
      </c>
      <c r="B2711" s="137">
        <v>20.18</v>
      </c>
      <c r="C2711" s="133"/>
      <c r="D2711" s="50">
        <f t="shared" si="42"/>
        <v>1.7137096774193505E-2</v>
      </c>
      <c r="E2711" s="49"/>
    </row>
    <row r="2712" spans="1:5" ht="14.4">
      <c r="A2712" s="136">
        <v>40625</v>
      </c>
      <c r="B2712" s="137">
        <v>19.84</v>
      </c>
      <c r="C2712" s="133"/>
      <c r="D2712" s="50">
        <f t="shared" si="42"/>
        <v>1.9265348060621523E-2</v>
      </c>
      <c r="E2712" s="49"/>
    </row>
    <row r="2713" spans="1:5" ht="14.4">
      <c r="A2713" s="136">
        <v>40624</v>
      </c>
      <c r="B2713" s="137">
        <v>19.465</v>
      </c>
      <c r="C2713" s="133"/>
      <c r="D2713" s="50">
        <f t="shared" si="42"/>
        <v>-5.1111679018656098E-3</v>
      </c>
      <c r="E2713" s="49"/>
    </row>
    <row r="2714" spans="1:5" ht="14.4">
      <c r="A2714" s="136">
        <v>40623</v>
      </c>
      <c r="B2714" s="137">
        <v>19.565000000000001</v>
      </c>
      <c r="C2714" s="133"/>
      <c r="D2714" s="50">
        <f t="shared" si="42"/>
        <v>1.6891891891892108E-2</v>
      </c>
      <c r="E2714" s="49"/>
    </row>
    <row r="2715" spans="1:5" ht="14.4">
      <c r="A2715" s="136">
        <v>40620</v>
      </c>
      <c r="B2715" s="137">
        <v>19.239999999999998</v>
      </c>
      <c r="C2715" s="133"/>
      <c r="D2715" s="50">
        <f t="shared" si="42"/>
        <v>9.1791240493048765E-3</v>
      </c>
      <c r="E2715" s="49"/>
    </row>
    <row r="2716" spans="1:5" ht="14.4">
      <c r="A2716" s="136">
        <v>40619</v>
      </c>
      <c r="B2716" s="137">
        <v>19.065000000000001</v>
      </c>
      <c r="C2716" s="133"/>
      <c r="D2716" s="50">
        <f t="shared" si="42"/>
        <v>1.5175718849840258E-2</v>
      </c>
      <c r="E2716" s="49"/>
    </row>
    <row r="2717" spans="1:5" ht="14.4">
      <c r="A2717" s="136">
        <v>40618</v>
      </c>
      <c r="B2717" s="137">
        <v>18.78</v>
      </c>
      <c r="C2717" s="133"/>
      <c r="D2717" s="50">
        <f t="shared" si="42"/>
        <v>-2.6616981634275394E-4</v>
      </c>
      <c r="E2717" s="49"/>
    </row>
    <row r="2718" spans="1:5" ht="14.4">
      <c r="A2718" s="136">
        <v>40617</v>
      </c>
      <c r="B2718" s="137">
        <v>18.785</v>
      </c>
      <c r="C2718" s="133"/>
      <c r="D2718" s="50">
        <f t="shared" si="42"/>
        <v>-2.8445823635893541E-2</v>
      </c>
      <c r="E2718" s="49"/>
    </row>
    <row r="2719" spans="1:5" ht="14.4">
      <c r="A2719" s="136">
        <v>40616</v>
      </c>
      <c r="B2719" s="137">
        <v>19.335000000000001</v>
      </c>
      <c r="C2719" s="133"/>
      <c r="D2719" s="50">
        <f t="shared" si="42"/>
        <v>-1.628084456881207E-2</v>
      </c>
      <c r="E2719" s="49"/>
    </row>
    <row r="2720" spans="1:5" ht="14.4">
      <c r="A2720" s="136">
        <v>40613</v>
      </c>
      <c r="B2720" s="137">
        <v>19.655000000000001</v>
      </c>
      <c r="C2720" s="133"/>
      <c r="D2720" s="50">
        <f t="shared" si="42"/>
        <v>-6.5706343189284588E-3</v>
      </c>
      <c r="E2720" s="49"/>
    </row>
    <row r="2721" spans="1:5" ht="14.4">
      <c r="A2721" s="136">
        <v>40612</v>
      </c>
      <c r="B2721" s="137">
        <v>19.785</v>
      </c>
      <c r="C2721" s="133"/>
      <c r="D2721" s="50">
        <f t="shared" si="42"/>
        <v>-1.3708873379860376E-2</v>
      </c>
      <c r="E2721" s="49"/>
    </row>
    <row r="2722" spans="1:5" ht="14.4">
      <c r="A2722" s="136">
        <v>40611</v>
      </c>
      <c r="B2722" s="137">
        <v>20.059999999999999</v>
      </c>
      <c r="C2722" s="133"/>
      <c r="D2722" s="50">
        <f t="shared" si="42"/>
        <v>1.1088709677419262E-2</v>
      </c>
      <c r="E2722" s="49"/>
    </row>
    <row r="2723" spans="1:5" ht="14.4">
      <c r="A2723" s="136">
        <v>40610</v>
      </c>
      <c r="B2723" s="137">
        <v>19.84</v>
      </c>
      <c r="C2723" s="133"/>
      <c r="D2723" s="50">
        <f t="shared" si="42"/>
        <v>2.797927461139893E-2</v>
      </c>
      <c r="E2723" s="49"/>
    </row>
    <row r="2724" spans="1:5" ht="14.4">
      <c r="A2724" s="136">
        <v>40609</v>
      </c>
      <c r="B2724" s="137">
        <v>19.3</v>
      </c>
      <c r="C2724" s="133"/>
      <c r="D2724" s="50">
        <f t="shared" si="42"/>
        <v>-2.0055851739020025E-2</v>
      </c>
      <c r="E2724" s="49"/>
    </row>
    <row r="2725" spans="1:5" ht="14.4">
      <c r="A2725" s="136">
        <v>40606</v>
      </c>
      <c r="B2725" s="137">
        <v>19.695</v>
      </c>
      <c r="C2725" s="133"/>
      <c r="D2725" s="50">
        <f t="shared" si="42"/>
        <v>-4.2972699696663952E-3</v>
      </c>
      <c r="E2725" s="49"/>
    </row>
    <row r="2726" spans="1:5" ht="14.4">
      <c r="A2726" s="136">
        <v>40605</v>
      </c>
      <c r="B2726" s="137">
        <v>19.78</v>
      </c>
      <c r="C2726" s="133"/>
      <c r="D2726" s="50">
        <f t="shared" si="42"/>
        <v>-2.6574803149606252E-2</v>
      </c>
      <c r="E2726" s="49"/>
    </row>
    <row r="2727" spans="1:5" ht="14.4">
      <c r="A2727" s="136">
        <v>40604</v>
      </c>
      <c r="B2727" s="137">
        <v>20.32</v>
      </c>
      <c r="C2727" s="133"/>
      <c r="D2727" s="50">
        <f t="shared" si="42"/>
        <v>-1.5980629539951496E-2</v>
      </c>
      <c r="E2727" s="49"/>
    </row>
    <row r="2728" spans="1:5" ht="14.4">
      <c r="A2728" s="136">
        <v>40603</v>
      </c>
      <c r="B2728" s="137">
        <v>20.65</v>
      </c>
      <c r="C2728" s="133"/>
      <c r="D2728" s="50">
        <f t="shared" si="42"/>
        <v>-1.4790076335877922E-2</v>
      </c>
      <c r="E2728" s="49"/>
    </row>
    <row r="2729" spans="1:5" ht="14.4">
      <c r="A2729" s="136">
        <v>40602</v>
      </c>
      <c r="B2729" s="137">
        <v>20.96</v>
      </c>
      <c r="C2729" s="133"/>
      <c r="D2729" s="50">
        <f t="shared" si="42"/>
        <v>1.4520813165537216E-2</v>
      </c>
      <c r="E2729" s="49"/>
    </row>
    <row r="2730" spans="1:5" ht="14.4">
      <c r="A2730" s="136">
        <v>40599</v>
      </c>
      <c r="B2730" s="137">
        <v>20.66</v>
      </c>
      <c r="C2730" s="133"/>
      <c r="D2730" s="50">
        <f t="shared" si="42"/>
        <v>-5.2961001444390421E-3</v>
      </c>
      <c r="E2730" s="49"/>
    </row>
    <row r="2731" spans="1:5" ht="14.4">
      <c r="A2731" s="136">
        <v>40598</v>
      </c>
      <c r="B2731" s="137">
        <v>20.77</v>
      </c>
      <c r="C2731" s="133"/>
      <c r="D2731" s="50">
        <f t="shared" si="42"/>
        <v>-3.836930455635601E-3</v>
      </c>
      <c r="E2731" s="49"/>
    </row>
    <row r="2732" spans="1:5" ht="14.4">
      <c r="A2732" s="136">
        <v>40597</v>
      </c>
      <c r="B2732" s="137">
        <v>20.85</v>
      </c>
      <c r="C2732" s="133"/>
      <c r="D2732" s="50">
        <f t="shared" si="42"/>
        <v>-9.5011876484559776E-3</v>
      </c>
      <c r="E2732" s="49"/>
    </row>
    <row r="2733" spans="1:5" ht="14.4">
      <c r="A2733" s="136">
        <v>40596</v>
      </c>
      <c r="B2733" s="137">
        <v>21.05</v>
      </c>
      <c r="C2733" s="133"/>
      <c r="D2733" s="50">
        <f t="shared" si="42"/>
        <v>-5.6683986773736761E-3</v>
      </c>
      <c r="E2733" s="49"/>
    </row>
    <row r="2734" spans="1:5" ht="14.4">
      <c r="A2734" s="136">
        <v>40595</v>
      </c>
      <c r="B2734" s="137">
        <v>21.17</v>
      </c>
      <c r="C2734" s="133"/>
      <c r="D2734" s="50">
        <f t="shared" si="42"/>
        <v>-2.2170900692840556E-2</v>
      </c>
      <c r="E2734" s="49"/>
    </row>
    <row r="2735" spans="1:5" ht="14.4">
      <c r="A2735" s="136">
        <v>40592</v>
      </c>
      <c r="B2735" s="137">
        <v>21.65</v>
      </c>
      <c r="C2735" s="133"/>
      <c r="D2735" s="50">
        <f t="shared" si="42"/>
        <v>-5.5121727147451338E-3</v>
      </c>
      <c r="E2735" s="49"/>
    </row>
    <row r="2736" spans="1:5" ht="14.4">
      <c r="A2736" s="136">
        <v>40591</v>
      </c>
      <c r="B2736" s="137">
        <v>21.77</v>
      </c>
      <c r="C2736" s="133"/>
      <c r="D2736" s="50">
        <f t="shared" si="42"/>
        <v>-2.113309352517978E-2</v>
      </c>
      <c r="E2736" s="49"/>
    </row>
    <row r="2737" spans="1:5" ht="14.4">
      <c r="A2737" s="136">
        <v>40590</v>
      </c>
      <c r="B2737" s="137">
        <v>22.24</v>
      </c>
      <c r="C2737" s="133"/>
      <c r="D2737" s="50">
        <f t="shared" si="42"/>
        <v>1.831501831501825E-2</v>
      </c>
      <c r="E2737" s="49"/>
    </row>
    <row r="2738" spans="1:5" ht="14.4">
      <c r="A2738" s="136">
        <v>40589</v>
      </c>
      <c r="B2738" s="137">
        <v>21.84</v>
      </c>
      <c r="C2738" s="133"/>
      <c r="D2738" s="50">
        <f t="shared" si="42"/>
        <v>5.062126092959085E-3</v>
      </c>
      <c r="E2738" s="49"/>
    </row>
    <row r="2739" spans="1:5" ht="14.4">
      <c r="A2739" s="136">
        <v>40588</v>
      </c>
      <c r="B2739" s="137">
        <v>21.73</v>
      </c>
      <c r="C2739" s="133"/>
      <c r="D2739" s="50">
        <f t="shared" si="42"/>
        <v>-1.6080863772111043E-3</v>
      </c>
      <c r="E2739" s="49"/>
    </row>
    <row r="2740" spans="1:5" ht="14.4">
      <c r="A2740" s="136">
        <v>40585</v>
      </c>
      <c r="B2740" s="137">
        <v>21.765000000000001</v>
      </c>
      <c r="C2740" s="133"/>
      <c r="D2740" s="50">
        <f t="shared" si="42"/>
        <v>3.7416587225929554E-2</v>
      </c>
      <c r="E2740" s="49"/>
    </row>
    <row r="2741" spans="1:5" ht="14.4">
      <c r="A2741" s="136">
        <v>40584</v>
      </c>
      <c r="B2741" s="137">
        <v>20.98</v>
      </c>
      <c r="C2741" s="133"/>
      <c r="D2741" s="50">
        <f t="shared" si="42"/>
        <v>4.3082814743895526E-3</v>
      </c>
      <c r="E2741" s="49"/>
    </row>
    <row r="2742" spans="1:5" ht="14.4">
      <c r="A2742" s="136">
        <v>40583</v>
      </c>
      <c r="B2742" s="137">
        <v>20.89</v>
      </c>
      <c r="C2742" s="133"/>
      <c r="D2742" s="50">
        <f t="shared" si="42"/>
        <v>-1.2993149066855558E-2</v>
      </c>
      <c r="E2742" s="49"/>
    </row>
    <row r="2743" spans="1:5" ht="14.4">
      <c r="A2743" s="136">
        <v>40582</v>
      </c>
      <c r="B2743" s="137">
        <v>21.164999999999999</v>
      </c>
      <c r="C2743" s="133"/>
      <c r="D2743" s="50">
        <f t="shared" si="42"/>
        <v>1.510791366906461E-2</v>
      </c>
      <c r="E2743" s="49"/>
    </row>
    <row r="2744" spans="1:5" ht="14.4">
      <c r="A2744" s="136">
        <v>40581</v>
      </c>
      <c r="B2744" s="137">
        <v>20.85</v>
      </c>
      <c r="C2744" s="133"/>
      <c r="D2744" s="50">
        <f t="shared" si="42"/>
        <v>2.5325792967789473E-2</v>
      </c>
      <c r="E2744" s="49"/>
    </row>
    <row r="2745" spans="1:5" ht="14.4">
      <c r="A2745" s="136">
        <v>40578</v>
      </c>
      <c r="B2745" s="137">
        <v>20.335000000000001</v>
      </c>
      <c r="C2745" s="133"/>
      <c r="D2745" s="50">
        <f t="shared" si="42"/>
        <v>-2.0472061657032747E-2</v>
      </c>
      <c r="E2745" s="49"/>
    </row>
    <row r="2746" spans="1:5" ht="14.4">
      <c r="A2746" s="136">
        <v>40577</v>
      </c>
      <c r="B2746" s="137">
        <v>20.76</v>
      </c>
      <c r="C2746" s="133"/>
      <c r="D2746" s="50">
        <f t="shared" si="42"/>
        <v>-3.8387715930900956E-3</v>
      </c>
      <c r="E2746" s="49"/>
    </row>
    <row r="2747" spans="1:5" ht="14.4">
      <c r="A2747" s="136">
        <v>40576</v>
      </c>
      <c r="B2747" s="137">
        <v>20.84</v>
      </c>
      <c r="C2747" s="133"/>
      <c r="D2747" s="50">
        <f t="shared" si="42"/>
        <v>-6.4362336114422991E-3</v>
      </c>
      <c r="E2747" s="49"/>
    </row>
    <row r="2748" spans="1:5" ht="14.4">
      <c r="A2748" s="136">
        <v>40575</v>
      </c>
      <c r="B2748" s="137">
        <v>20.975000000000001</v>
      </c>
      <c r="C2748" s="133"/>
      <c r="D2748" s="50">
        <f t="shared" si="42"/>
        <v>-3.5629453681710332E-3</v>
      </c>
      <c r="E2748" s="49"/>
    </row>
    <row r="2749" spans="1:5" ht="14.4">
      <c r="A2749" s="136">
        <v>40574</v>
      </c>
      <c r="B2749" s="137">
        <v>21.05</v>
      </c>
      <c r="C2749" s="133"/>
      <c r="D2749" s="50">
        <f t="shared" si="42"/>
        <v>-2.7938120526437293E-2</v>
      </c>
      <c r="E2749" s="49"/>
    </row>
    <row r="2750" spans="1:5" ht="14.4">
      <c r="A2750" s="136">
        <v>40571</v>
      </c>
      <c r="B2750" s="137">
        <v>21.655000000000001</v>
      </c>
      <c r="C2750" s="133"/>
      <c r="D2750" s="50">
        <f t="shared" si="42"/>
        <v>3.2429928190873536E-3</v>
      </c>
      <c r="E2750" s="49"/>
    </row>
    <row r="2751" spans="1:5" ht="14.4">
      <c r="A2751" s="136">
        <v>40570</v>
      </c>
      <c r="B2751" s="137">
        <v>21.585000000000001</v>
      </c>
      <c r="C2751" s="133"/>
      <c r="D2751" s="50">
        <f t="shared" si="42"/>
        <v>4.0240963855421752E-2</v>
      </c>
      <c r="E2751" s="49"/>
    </row>
    <row r="2752" spans="1:5" ht="14.4">
      <c r="A2752" s="136">
        <v>40569</v>
      </c>
      <c r="B2752" s="137">
        <v>20.75</v>
      </c>
      <c r="C2752" s="133"/>
      <c r="D2752" s="50">
        <f t="shared" si="42"/>
        <v>4.8216007714563247E-4</v>
      </c>
      <c r="E2752" s="49"/>
    </row>
    <row r="2753" spans="1:7" ht="14.4">
      <c r="A2753" s="136">
        <v>40568</v>
      </c>
      <c r="B2753" s="137">
        <v>20.74</v>
      </c>
      <c r="C2753" s="133"/>
      <c r="D2753" s="50">
        <f t="shared" si="42"/>
        <v>9.7370983446931625E-3</v>
      </c>
      <c r="E2753" s="49"/>
    </row>
    <row r="2754" spans="1:7" ht="14.4">
      <c r="A2754" s="136">
        <v>40567</v>
      </c>
      <c r="B2754" s="137">
        <v>20.54</v>
      </c>
      <c r="C2754" s="133"/>
      <c r="D2754" s="50">
        <f t="shared" si="42"/>
        <v>7.356547327121099E-3</v>
      </c>
      <c r="E2754" s="49"/>
    </row>
    <row r="2755" spans="1:7" ht="14.4">
      <c r="A2755" s="136">
        <v>40564</v>
      </c>
      <c r="B2755" s="137">
        <v>20.39</v>
      </c>
      <c r="C2755" s="133"/>
      <c r="D2755" s="50">
        <f t="shared" si="42"/>
        <v>-8.2684824902722331E-3</v>
      </c>
      <c r="E2755" s="49"/>
    </row>
    <row r="2756" spans="1:7" ht="14.4">
      <c r="A2756" s="136">
        <v>40563</v>
      </c>
      <c r="B2756" s="137">
        <v>20.56</v>
      </c>
      <c r="C2756" s="133"/>
      <c r="D2756" s="50">
        <f t="shared" si="42"/>
        <v>-1.8615751789976209E-2</v>
      </c>
      <c r="E2756" s="49"/>
    </row>
    <row r="2757" spans="1:7" ht="14.4">
      <c r="A2757" s="136">
        <v>40562</v>
      </c>
      <c r="B2757" s="137">
        <v>20.95</v>
      </c>
      <c r="C2757" s="133"/>
      <c r="D2757" s="50">
        <f t="shared" si="42"/>
        <v>-2.3310023310023298E-2</v>
      </c>
      <c r="E2757" s="49"/>
    </row>
    <row r="2758" spans="1:7" ht="14.4">
      <c r="A2758" s="136">
        <v>40561</v>
      </c>
      <c r="B2758" s="137">
        <v>21.45</v>
      </c>
      <c r="C2758" s="133"/>
      <c r="D2758" s="50">
        <f t="shared" si="42"/>
        <v>3.125E-2</v>
      </c>
      <c r="E2758" s="42"/>
      <c r="F2758" s="42"/>
      <c r="G2758" s="42"/>
    </row>
    <row r="2759" spans="1:7" ht="14.4">
      <c r="A2759" s="136">
        <v>40560</v>
      </c>
      <c r="B2759" s="137">
        <v>20.8</v>
      </c>
      <c r="C2759" s="133"/>
      <c r="D2759" s="50">
        <f t="shared" si="42"/>
        <v>2.4096385542169418E-3</v>
      </c>
      <c r="E2759" s="42"/>
      <c r="F2759" s="42"/>
      <c r="G2759" s="42"/>
    </row>
    <row r="2760" spans="1:7" ht="14.4">
      <c r="A2760" s="136">
        <v>40557</v>
      </c>
      <c r="B2760" s="137">
        <v>20.75</v>
      </c>
      <c r="C2760" s="133"/>
      <c r="D2760" s="50">
        <f t="shared" ref="D2760:D2823" si="43">(B2760-C2760)/B2761-1</f>
        <v>2.2167487684729092E-2</v>
      </c>
      <c r="E2760" s="42"/>
      <c r="F2760" s="42"/>
      <c r="G2760" s="42"/>
    </row>
    <row r="2761" spans="1:7" ht="14.4">
      <c r="A2761" s="136">
        <v>40556</v>
      </c>
      <c r="B2761" s="137">
        <v>20.3</v>
      </c>
      <c r="C2761" s="133"/>
      <c r="D2761" s="50">
        <f t="shared" si="43"/>
        <v>-9.5145157355452925E-3</v>
      </c>
      <c r="E2761" s="42"/>
      <c r="F2761" s="42"/>
      <c r="G2761" s="42"/>
    </row>
    <row r="2762" spans="1:7" ht="14.4">
      <c r="A2762" s="136">
        <v>40555</v>
      </c>
      <c r="B2762" s="137">
        <v>20.495000000000001</v>
      </c>
      <c r="C2762" s="133"/>
      <c r="D2762" s="50">
        <f t="shared" si="43"/>
        <v>2.1175884404583956E-2</v>
      </c>
      <c r="E2762" s="42"/>
      <c r="F2762" s="42"/>
      <c r="G2762" s="42"/>
    </row>
    <row r="2763" spans="1:7" ht="14.4">
      <c r="A2763" s="136">
        <v>40554</v>
      </c>
      <c r="B2763" s="137">
        <v>20.07</v>
      </c>
      <c r="C2763" s="133"/>
      <c r="D2763" s="50">
        <f t="shared" si="43"/>
        <v>4.749478079331948E-2</v>
      </c>
      <c r="E2763" s="42"/>
      <c r="F2763" s="42"/>
      <c r="G2763" s="42"/>
    </row>
    <row r="2764" spans="1:7" ht="14.4">
      <c r="A2764" s="136">
        <v>40553</v>
      </c>
      <c r="B2764" s="137">
        <v>19.16</v>
      </c>
      <c r="C2764" s="133"/>
      <c r="D2764" s="50">
        <f t="shared" si="43"/>
        <v>5.2219321148827547E-4</v>
      </c>
      <c r="E2764" s="42"/>
      <c r="F2764" s="42"/>
      <c r="G2764" s="42"/>
    </row>
    <row r="2765" spans="1:7" ht="14.4">
      <c r="A2765" s="136">
        <v>40550</v>
      </c>
      <c r="B2765" s="137">
        <v>19.149999999999999</v>
      </c>
      <c r="C2765" s="133"/>
      <c r="D2765" s="50">
        <f t="shared" si="43"/>
        <v>3.6687631027254586E-3</v>
      </c>
      <c r="E2765" s="42"/>
      <c r="F2765" s="42"/>
      <c r="G2765" s="42"/>
    </row>
    <row r="2766" spans="1:7" ht="14.4">
      <c r="A2766" s="136">
        <v>40549</v>
      </c>
      <c r="B2766" s="137">
        <v>19.079999999999998</v>
      </c>
      <c r="C2766" s="133"/>
      <c r="D2766" s="50">
        <f t="shared" si="43"/>
        <v>3.7520391517128715E-2</v>
      </c>
      <c r="E2766" s="42"/>
      <c r="F2766" s="42"/>
      <c r="G2766" s="42"/>
    </row>
    <row r="2767" spans="1:7" ht="14.4">
      <c r="A2767" s="136">
        <v>40548</v>
      </c>
      <c r="B2767" s="137">
        <v>18.39</v>
      </c>
      <c r="C2767" s="133"/>
      <c r="D2767" s="50">
        <f t="shared" si="43"/>
        <v>2.5655326268823275E-2</v>
      </c>
      <c r="E2767" s="42"/>
      <c r="F2767" s="42"/>
      <c r="G2767" s="42"/>
    </row>
    <row r="2768" spans="1:7" ht="14.4">
      <c r="A2768" s="136">
        <v>40547</v>
      </c>
      <c r="B2768" s="137">
        <v>17.93</v>
      </c>
      <c r="C2768" s="133"/>
      <c r="D2768" s="50">
        <f t="shared" si="43"/>
        <v>8.1529378689906284E-3</v>
      </c>
      <c r="E2768" s="42"/>
      <c r="F2768" s="42"/>
      <c r="G2768" s="42"/>
    </row>
    <row r="2769" spans="1:7" ht="14.4">
      <c r="A2769" s="136">
        <v>40546</v>
      </c>
      <c r="B2769" s="137">
        <v>17.785</v>
      </c>
      <c r="C2769" s="133"/>
      <c r="D2769" s="50">
        <f t="shared" si="43"/>
        <v>1.9782110091743021E-2</v>
      </c>
      <c r="E2769" s="42"/>
      <c r="F2769" s="42"/>
      <c r="G2769" s="42"/>
    </row>
    <row r="2770" spans="1:7" ht="14.4">
      <c r="A2770" s="138">
        <v>40543</v>
      </c>
      <c r="B2770" s="139">
        <v>17.440000000000001</v>
      </c>
      <c r="C2770" s="135">
        <v>0.22</v>
      </c>
      <c r="D2770" s="50">
        <f t="shared" si="43"/>
        <v>-3.0678300028145089E-2</v>
      </c>
      <c r="E2770" s="46"/>
      <c r="F2770" s="46"/>
      <c r="G2770" s="45" t="e">
        <v>#REF!</v>
      </c>
    </row>
    <row r="2771" spans="1:7" ht="14.4">
      <c r="A2771" s="136">
        <v>40542</v>
      </c>
      <c r="B2771" s="137">
        <v>17.765000000000001</v>
      </c>
      <c r="C2771" s="133"/>
      <c r="D2771" s="50">
        <f t="shared" si="43"/>
        <v>-7.8190449595085809E-3</v>
      </c>
      <c r="E2771" s="42"/>
      <c r="F2771" s="42"/>
      <c r="G2771" s="42"/>
    </row>
    <row r="2772" spans="1:7" ht="14.4">
      <c r="A2772" s="136">
        <v>40541</v>
      </c>
      <c r="B2772" s="137">
        <v>17.905000000000001</v>
      </c>
      <c r="C2772" s="133"/>
      <c r="D2772" s="50">
        <f t="shared" si="43"/>
        <v>1.6783216783218258E-3</v>
      </c>
      <c r="E2772" s="42"/>
      <c r="F2772" s="42"/>
      <c r="G2772" s="42"/>
    </row>
    <row r="2773" spans="1:7" ht="14.4">
      <c r="A2773" s="136">
        <v>40540</v>
      </c>
      <c r="B2773" s="137">
        <v>17.875</v>
      </c>
      <c r="C2773" s="133"/>
      <c r="D2773" s="50">
        <f t="shared" si="43"/>
        <v>-8.3217753120664595E-3</v>
      </c>
      <c r="E2773" s="42"/>
      <c r="F2773" s="42"/>
      <c r="G2773" s="42"/>
    </row>
    <row r="2774" spans="1:7" ht="14.4">
      <c r="A2774" s="136">
        <v>40539</v>
      </c>
      <c r="B2774" s="137">
        <v>18.024999999999999</v>
      </c>
      <c r="C2774" s="133"/>
      <c r="D2774" s="50">
        <f t="shared" si="43"/>
        <v>1.388888888888884E-3</v>
      </c>
      <c r="E2774" s="49"/>
    </row>
    <row r="2775" spans="1:7" ht="14.4">
      <c r="A2775" s="136">
        <v>40536</v>
      </c>
      <c r="B2775" s="137">
        <v>18</v>
      </c>
      <c r="C2775" s="133"/>
      <c r="D2775" s="50">
        <f t="shared" si="43"/>
        <v>2.5062656641605674E-3</v>
      </c>
      <c r="E2775" s="49"/>
    </row>
    <row r="2776" spans="1:7" ht="14.4">
      <c r="A2776" s="136">
        <v>40535</v>
      </c>
      <c r="B2776" s="137">
        <v>17.954999999999998</v>
      </c>
      <c r="C2776" s="133"/>
      <c r="D2776" s="50">
        <f t="shared" si="43"/>
        <v>-3.8834951456311328E-3</v>
      </c>
      <c r="E2776" s="49"/>
    </row>
    <row r="2777" spans="1:7" ht="14.4">
      <c r="A2777" s="136">
        <v>40534</v>
      </c>
      <c r="B2777" s="137">
        <v>18.024999999999999</v>
      </c>
      <c r="C2777" s="133"/>
      <c r="D2777" s="50">
        <f t="shared" si="43"/>
        <v>-1.9379844961240345E-3</v>
      </c>
      <c r="E2777" s="49"/>
    </row>
    <row r="2778" spans="1:7" ht="14.4">
      <c r="A2778" s="136">
        <v>40533</v>
      </c>
      <c r="B2778" s="137">
        <v>18.059999999999999</v>
      </c>
      <c r="C2778" s="133"/>
      <c r="D2778" s="50">
        <f t="shared" si="43"/>
        <v>9.5025153717158695E-3</v>
      </c>
      <c r="E2778" s="49"/>
    </row>
    <row r="2779" spans="1:7" ht="14.4">
      <c r="A2779" s="136">
        <v>40532</v>
      </c>
      <c r="B2779" s="137">
        <v>17.89</v>
      </c>
      <c r="C2779" s="133"/>
      <c r="D2779" s="50">
        <f t="shared" si="43"/>
        <v>1.3310676862078763E-2</v>
      </c>
      <c r="E2779" s="49"/>
    </row>
    <row r="2780" spans="1:7" ht="14.4">
      <c r="A2780" s="136">
        <v>40529</v>
      </c>
      <c r="B2780" s="137">
        <v>17.655000000000001</v>
      </c>
      <c r="C2780" s="133"/>
      <c r="D2780" s="50">
        <f t="shared" si="43"/>
        <v>-9.5371669004206128E-3</v>
      </c>
      <c r="E2780" s="49"/>
    </row>
    <row r="2781" spans="1:7" ht="14.4">
      <c r="A2781" s="136">
        <v>40528</v>
      </c>
      <c r="B2781" s="137">
        <v>17.824999999999999</v>
      </c>
      <c r="C2781" s="133"/>
      <c r="D2781" s="50">
        <f t="shared" si="43"/>
        <v>1.0201190138849459E-2</v>
      </c>
      <c r="E2781" s="49"/>
    </row>
    <row r="2782" spans="1:7" ht="14.4">
      <c r="A2782" s="136">
        <v>40527</v>
      </c>
      <c r="B2782" s="137">
        <v>17.645</v>
      </c>
      <c r="C2782" s="133"/>
      <c r="D2782" s="50">
        <f t="shared" si="43"/>
        <v>-1.0098176718092544E-2</v>
      </c>
      <c r="E2782" s="49"/>
    </row>
    <row r="2783" spans="1:7" ht="14.4">
      <c r="A2783" s="136">
        <v>40526</v>
      </c>
      <c r="B2783" s="137">
        <v>17.824999999999999</v>
      </c>
      <c r="C2783" s="133"/>
      <c r="D2783" s="50">
        <f t="shared" si="43"/>
        <v>-5.0237231370360291E-3</v>
      </c>
      <c r="E2783" s="49"/>
    </row>
    <row r="2784" spans="1:7" ht="14.4">
      <c r="A2784" s="136">
        <v>40525</v>
      </c>
      <c r="B2784" s="137">
        <v>17.914999999999999</v>
      </c>
      <c r="C2784" s="133"/>
      <c r="D2784" s="50">
        <f t="shared" si="43"/>
        <v>-3.337969401947305E-3</v>
      </c>
      <c r="E2784" s="49"/>
    </row>
    <row r="2785" spans="1:5" ht="14.4">
      <c r="A2785" s="136">
        <v>40522</v>
      </c>
      <c r="B2785" s="137">
        <v>17.975000000000001</v>
      </c>
      <c r="C2785" s="133"/>
      <c r="D2785" s="50">
        <f t="shared" si="43"/>
        <v>3.3491487580241674E-3</v>
      </c>
      <c r="E2785" s="49"/>
    </row>
    <row r="2786" spans="1:5" ht="14.4">
      <c r="A2786" s="136">
        <v>40521</v>
      </c>
      <c r="B2786" s="137">
        <v>17.914999999999999</v>
      </c>
      <c r="C2786" s="133"/>
      <c r="D2786" s="50">
        <f t="shared" si="43"/>
        <v>-3.0835812821206399E-2</v>
      </c>
      <c r="E2786" s="49"/>
    </row>
    <row r="2787" spans="1:5" ht="14.4">
      <c r="A2787" s="136">
        <v>40520</v>
      </c>
      <c r="B2787" s="137">
        <v>18.484999999999999</v>
      </c>
      <c r="C2787" s="133"/>
      <c r="D2787" s="50">
        <f t="shared" si="43"/>
        <v>3.1241283124128216E-2</v>
      </c>
      <c r="E2787" s="49"/>
    </row>
    <row r="2788" spans="1:5" ht="14.4">
      <c r="A2788" s="136">
        <v>40519</v>
      </c>
      <c r="B2788" s="137">
        <v>17.925000000000001</v>
      </c>
      <c r="C2788" s="133"/>
      <c r="D2788" s="50">
        <f t="shared" si="43"/>
        <v>3.1357882623705535E-2</v>
      </c>
      <c r="E2788" s="49"/>
    </row>
    <row r="2789" spans="1:5" ht="14.4">
      <c r="A2789" s="136">
        <v>40518</v>
      </c>
      <c r="B2789" s="137">
        <v>17.38</v>
      </c>
      <c r="C2789" s="133"/>
      <c r="D2789" s="50">
        <f t="shared" si="43"/>
        <v>-6.857142857142895E-3</v>
      </c>
      <c r="E2789" s="49"/>
    </row>
    <row r="2790" spans="1:5" ht="14.4">
      <c r="A2790" s="136">
        <v>40515</v>
      </c>
      <c r="B2790" s="137">
        <v>17.5</v>
      </c>
      <c r="C2790" s="133"/>
      <c r="D2790" s="50">
        <f t="shared" si="43"/>
        <v>-4.55062571103515E-3</v>
      </c>
      <c r="E2790" s="49"/>
    </row>
    <row r="2791" spans="1:5" ht="14.4">
      <c r="A2791" s="136">
        <v>40514</v>
      </c>
      <c r="B2791" s="137">
        <v>17.579999999999998</v>
      </c>
      <c r="C2791" s="133"/>
      <c r="D2791" s="50">
        <f t="shared" si="43"/>
        <v>5.7208237986268173E-3</v>
      </c>
      <c r="E2791" s="49"/>
    </row>
    <row r="2792" spans="1:5" ht="14.4">
      <c r="A2792" s="136">
        <v>40513</v>
      </c>
      <c r="B2792" s="137">
        <v>17.48</v>
      </c>
      <c r="C2792" s="133"/>
      <c r="D2792" s="50">
        <f t="shared" si="43"/>
        <v>1.2746234067207318E-2</v>
      </c>
      <c r="E2792" s="49"/>
    </row>
    <row r="2793" spans="1:5" ht="14.4">
      <c r="A2793" s="136">
        <v>40512</v>
      </c>
      <c r="B2793" s="137">
        <v>17.260000000000002</v>
      </c>
      <c r="C2793" s="133"/>
      <c r="D2793" s="50">
        <f t="shared" si="43"/>
        <v>2.6139994191114457E-3</v>
      </c>
      <c r="E2793" s="49"/>
    </row>
    <row r="2794" spans="1:5" ht="14.4">
      <c r="A2794" s="136">
        <v>40511</v>
      </c>
      <c r="B2794" s="137">
        <v>17.215</v>
      </c>
      <c r="C2794" s="133"/>
      <c r="D2794" s="50">
        <f t="shared" si="43"/>
        <v>-1.4032073310423887E-2</v>
      </c>
      <c r="E2794" s="49"/>
    </row>
    <row r="2795" spans="1:5" ht="14.4">
      <c r="A2795" s="136">
        <v>40508</v>
      </c>
      <c r="B2795" s="137">
        <v>17.46</v>
      </c>
      <c r="C2795" s="133"/>
      <c r="D2795" s="50">
        <f t="shared" si="43"/>
        <v>-2.2857142857142243E-3</v>
      </c>
      <c r="E2795" s="49"/>
    </row>
    <row r="2796" spans="1:5" ht="14.4">
      <c r="A2796" s="136">
        <v>40507</v>
      </c>
      <c r="B2796" s="137">
        <v>17.5</v>
      </c>
      <c r="C2796" s="133"/>
      <c r="D2796" s="50">
        <f t="shared" si="43"/>
        <v>-5.711022272987254E-4</v>
      </c>
      <c r="E2796" s="49"/>
    </row>
    <row r="2797" spans="1:5" ht="14.4">
      <c r="A2797" s="136">
        <v>40506</v>
      </c>
      <c r="B2797" s="137">
        <v>17.510000000000002</v>
      </c>
      <c r="C2797" s="133"/>
      <c r="D2797" s="50">
        <f t="shared" si="43"/>
        <v>5.0074962518740662E-2</v>
      </c>
      <c r="E2797" s="49"/>
    </row>
    <row r="2798" spans="1:5" ht="14.4">
      <c r="A2798" s="136">
        <v>40505</v>
      </c>
      <c r="B2798" s="137">
        <v>16.675000000000001</v>
      </c>
      <c r="C2798" s="133"/>
      <c r="D2798" s="50">
        <f t="shared" si="43"/>
        <v>-1.7383618149675817E-2</v>
      </c>
      <c r="E2798" s="49"/>
    </row>
    <row r="2799" spans="1:5" ht="14.4">
      <c r="A2799" s="136">
        <v>40504</v>
      </c>
      <c r="B2799" s="137">
        <v>16.97</v>
      </c>
      <c r="C2799" s="133"/>
      <c r="D2799" s="50">
        <f t="shared" si="43"/>
        <v>-2.0207852193995457E-2</v>
      </c>
      <c r="E2799" s="49"/>
    </row>
    <row r="2800" spans="1:5" ht="14.4">
      <c r="A2800" s="136">
        <v>40501</v>
      </c>
      <c r="B2800" s="137">
        <v>17.32</v>
      </c>
      <c r="C2800" s="133"/>
      <c r="D2800" s="50">
        <f t="shared" si="43"/>
        <v>0</v>
      </c>
      <c r="E2800" s="49"/>
    </row>
    <row r="2801" spans="1:5" ht="14.4">
      <c r="A2801" s="136">
        <v>40500</v>
      </c>
      <c r="B2801" s="137">
        <v>17.32</v>
      </c>
      <c r="C2801" s="133"/>
      <c r="D2801" s="50">
        <f t="shared" si="43"/>
        <v>0</v>
      </c>
      <c r="E2801" s="49"/>
    </row>
    <row r="2802" spans="1:5" ht="14.4">
      <c r="A2802" s="136">
        <v>40499</v>
      </c>
      <c r="B2802" s="137">
        <v>17.32</v>
      </c>
      <c r="C2802" s="133"/>
      <c r="D2802" s="50">
        <f t="shared" si="43"/>
        <v>7.5625363583478045E-3</v>
      </c>
      <c r="E2802" s="49"/>
    </row>
    <row r="2803" spans="1:5" ht="14.4">
      <c r="A2803" s="136">
        <v>40498</v>
      </c>
      <c r="B2803" s="137">
        <v>17.190000000000001</v>
      </c>
      <c r="C2803" s="133"/>
      <c r="D2803" s="50">
        <f t="shared" si="43"/>
        <v>-4.6589018302828578E-2</v>
      </c>
      <c r="E2803" s="49"/>
    </row>
    <row r="2804" spans="1:5" ht="14.4">
      <c r="A2804" s="136">
        <v>40497</v>
      </c>
      <c r="B2804" s="137">
        <v>18.03</v>
      </c>
      <c r="C2804" s="133"/>
      <c r="D2804" s="50">
        <f t="shared" si="43"/>
        <v>-7.1585903083699609E-3</v>
      </c>
      <c r="E2804" s="49"/>
    </row>
    <row r="2805" spans="1:5" ht="14.4">
      <c r="A2805" s="136">
        <v>40494</v>
      </c>
      <c r="B2805" s="137">
        <v>18.16</v>
      </c>
      <c r="C2805" s="133"/>
      <c r="D2805" s="50">
        <f t="shared" si="43"/>
        <v>-4.446198368850296E-2</v>
      </c>
      <c r="E2805" s="49"/>
    </row>
    <row r="2806" spans="1:5" ht="14.4">
      <c r="A2806" s="136">
        <v>40493</v>
      </c>
      <c r="B2806" s="137">
        <v>19.004999999999999</v>
      </c>
      <c r="C2806" s="133"/>
      <c r="D2806" s="50">
        <f t="shared" si="43"/>
        <v>-4.7132757266300507E-3</v>
      </c>
      <c r="E2806" s="49"/>
    </row>
    <row r="2807" spans="1:5" ht="14.4">
      <c r="A2807" s="136">
        <v>40492</v>
      </c>
      <c r="B2807" s="137">
        <v>19.094999999999999</v>
      </c>
      <c r="C2807" s="133"/>
      <c r="D2807" s="50">
        <f t="shared" si="43"/>
        <v>2.9102667744543176E-2</v>
      </c>
      <c r="E2807" s="49"/>
    </row>
    <row r="2808" spans="1:5" ht="14.4">
      <c r="A2808" s="136">
        <v>40491</v>
      </c>
      <c r="B2808" s="137">
        <v>18.555</v>
      </c>
      <c r="C2808" s="133"/>
      <c r="D2808" s="50">
        <f t="shared" si="43"/>
        <v>1.8898488120950852E-3</v>
      </c>
      <c r="E2808" s="49"/>
    </row>
    <row r="2809" spans="1:5" ht="14.4">
      <c r="A2809" s="136">
        <v>40490</v>
      </c>
      <c r="B2809" s="137">
        <v>18.52</v>
      </c>
      <c r="C2809" s="133"/>
      <c r="D2809" s="50">
        <f t="shared" si="43"/>
        <v>6.521739130434856E-3</v>
      </c>
      <c r="E2809" s="49"/>
    </row>
    <row r="2810" spans="1:5" ht="14.4">
      <c r="A2810" s="136">
        <v>40487</v>
      </c>
      <c r="B2810" s="137">
        <v>18.399999999999999</v>
      </c>
      <c r="C2810" s="133"/>
      <c r="D2810" s="50">
        <f t="shared" si="43"/>
        <v>7.9430293070390512E-3</v>
      </c>
      <c r="E2810" s="49"/>
    </row>
    <row r="2811" spans="1:5" ht="14.4">
      <c r="A2811" s="136">
        <v>40486</v>
      </c>
      <c r="B2811" s="137">
        <v>18.254999999999999</v>
      </c>
      <c r="C2811" s="133"/>
      <c r="D2811" s="50">
        <f t="shared" si="43"/>
        <v>-4.0473061760840978E-2</v>
      </c>
      <c r="E2811" s="49"/>
    </row>
    <row r="2812" spans="1:5" ht="14.4">
      <c r="A2812" s="136">
        <v>40485</v>
      </c>
      <c r="B2812" s="137">
        <v>19.024999999999999</v>
      </c>
      <c r="C2812" s="133"/>
      <c r="D2812" s="50">
        <f t="shared" si="43"/>
        <v>-1.3226141078838349E-2</v>
      </c>
      <c r="E2812" s="49"/>
    </row>
    <row r="2813" spans="1:5" ht="14.4">
      <c r="A2813" s="136">
        <v>40484</v>
      </c>
      <c r="B2813" s="137">
        <v>19.28</v>
      </c>
      <c r="C2813" s="133"/>
      <c r="D2813" s="50">
        <f t="shared" si="43"/>
        <v>8.1045751633987972E-3</v>
      </c>
      <c r="E2813" s="49"/>
    </row>
    <row r="2814" spans="1:5" ht="14.4">
      <c r="A2814" s="136">
        <v>40483</v>
      </c>
      <c r="B2814" s="137">
        <v>19.125</v>
      </c>
      <c r="C2814" s="133"/>
      <c r="D2814" s="50">
        <f t="shared" si="43"/>
        <v>1.2708498808578161E-2</v>
      </c>
      <c r="E2814" s="49"/>
    </row>
    <row r="2815" spans="1:5" ht="14.4">
      <c r="A2815" s="136">
        <v>40480</v>
      </c>
      <c r="B2815" s="137">
        <v>18.885000000000002</v>
      </c>
      <c r="C2815" s="133"/>
      <c r="D2815" s="50">
        <f t="shared" si="43"/>
        <v>1.4777001612036544E-2</v>
      </c>
      <c r="E2815" s="49"/>
    </row>
    <row r="2816" spans="1:5" ht="14.4">
      <c r="A2816" s="136">
        <v>40479</v>
      </c>
      <c r="B2816" s="137">
        <v>18.61</v>
      </c>
      <c r="C2816" s="133"/>
      <c r="D2816" s="50">
        <f t="shared" si="43"/>
        <v>1.2238237693771969E-2</v>
      </c>
      <c r="E2816" s="49"/>
    </row>
    <row r="2817" spans="1:5" ht="14.4">
      <c r="A2817" s="136">
        <v>40478</v>
      </c>
      <c r="B2817" s="137">
        <v>18.385000000000002</v>
      </c>
      <c r="C2817" s="133"/>
      <c r="D2817" s="50">
        <f t="shared" si="43"/>
        <v>7.1213366201041683E-3</v>
      </c>
      <c r="E2817" s="49"/>
    </row>
    <row r="2818" spans="1:5" ht="14.4">
      <c r="A2818" s="136">
        <v>40477</v>
      </c>
      <c r="B2818" s="137">
        <v>18.254999999999999</v>
      </c>
      <c r="C2818" s="133"/>
      <c r="D2818" s="50">
        <f t="shared" si="43"/>
        <v>9.121061359867344E-3</v>
      </c>
      <c r="E2818" s="49"/>
    </row>
    <row r="2819" spans="1:5" ht="14.4">
      <c r="A2819" s="136">
        <v>40476</v>
      </c>
      <c r="B2819" s="137">
        <v>18.09</v>
      </c>
      <c r="C2819" s="133"/>
      <c r="D2819" s="50">
        <f t="shared" si="43"/>
        <v>-1.8448182311448735E-2</v>
      </c>
      <c r="E2819" s="49"/>
    </row>
    <row r="2820" spans="1:5" ht="14.4">
      <c r="A2820" s="136">
        <v>40473</v>
      </c>
      <c r="B2820" s="137">
        <v>18.43</v>
      </c>
      <c r="C2820" s="133"/>
      <c r="D2820" s="50">
        <f t="shared" si="43"/>
        <v>-1.0840108401083404E-3</v>
      </c>
      <c r="E2820" s="49"/>
    </row>
    <row r="2821" spans="1:5" ht="14.4">
      <c r="A2821" s="136">
        <v>40472</v>
      </c>
      <c r="B2821" s="137">
        <v>18.45</v>
      </c>
      <c r="C2821" s="133"/>
      <c r="D2821" s="50">
        <f t="shared" si="43"/>
        <v>1.3736263736263687E-2</v>
      </c>
      <c r="E2821" s="49"/>
    </row>
    <row r="2822" spans="1:5" ht="14.4">
      <c r="A2822" s="136">
        <v>40471</v>
      </c>
      <c r="B2822" s="137">
        <v>18.2</v>
      </c>
      <c r="C2822" s="133"/>
      <c r="D2822" s="50">
        <f t="shared" si="43"/>
        <v>0</v>
      </c>
      <c r="E2822" s="49"/>
    </row>
    <row r="2823" spans="1:5" ht="14.4">
      <c r="A2823" s="136">
        <v>40470</v>
      </c>
      <c r="B2823" s="137">
        <v>18.2</v>
      </c>
      <c r="C2823" s="133"/>
      <c r="D2823" s="50">
        <f t="shared" si="43"/>
        <v>1.5058561070830923E-2</v>
      </c>
      <c r="E2823" s="49"/>
    </row>
    <row r="2824" spans="1:5" ht="14.4">
      <c r="A2824" s="136">
        <v>40469</v>
      </c>
      <c r="B2824" s="137">
        <v>17.93</v>
      </c>
      <c r="C2824" s="133"/>
      <c r="D2824" s="50">
        <f t="shared" ref="D2824:D2887" si="44">(B2824-C2824)/B2825-1</f>
        <v>1.5576323987538832E-2</v>
      </c>
      <c r="E2824" s="49"/>
    </row>
    <row r="2825" spans="1:5" ht="14.4">
      <c r="A2825" s="136">
        <v>40466</v>
      </c>
      <c r="B2825" s="137">
        <v>17.655000000000001</v>
      </c>
      <c r="C2825" s="133"/>
      <c r="D2825" s="50">
        <f t="shared" si="44"/>
        <v>-2.7004684486084285E-2</v>
      </c>
      <c r="E2825" s="49"/>
    </row>
    <row r="2826" spans="1:5" ht="14.4">
      <c r="A2826" s="136">
        <v>40465</v>
      </c>
      <c r="B2826" s="137">
        <v>18.145</v>
      </c>
      <c r="C2826" s="133"/>
      <c r="D2826" s="50">
        <f t="shared" si="44"/>
        <v>-1.7861975642760597E-2</v>
      </c>
      <c r="E2826" s="49"/>
    </row>
    <row r="2827" spans="1:5" ht="14.4">
      <c r="A2827" s="136">
        <v>40464</v>
      </c>
      <c r="B2827" s="137">
        <v>18.475000000000001</v>
      </c>
      <c r="C2827" s="133"/>
      <c r="D2827" s="50">
        <f t="shared" si="44"/>
        <v>9.0114691425451365E-3</v>
      </c>
      <c r="E2827" s="49"/>
    </row>
    <row r="2828" spans="1:5" ht="14.4">
      <c r="A2828" s="136">
        <v>40463</v>
      </c>
      <c r="B2828" s="137">
        <v>18.309999999999999</v>
      </c>
      <c r="C2828" s="133"/>
      <c r="D2828" s="50">
        <f t="shared" si="44"/>
        <v>1.6657412548583883E-2</v>
      </c>
      <c r="E2828" s="49"/>
    </row>
    <row r="2829" spans="1:5" ht="14.4">
      <c r="A2829" s="136">
        <v>40462</v>
      </c>
      <c r="B2829" s="137">
        <v>18.010000000000002</v>
      </c>
      <c r="C2829" s="133"/>
      <c r="D2829" s="50">
        <f t="shared" si="44"/>
        <v>1.9471488178024465E-3</v>
      </c>
      <c r="E2829" s="49"/>
    </row>
    <row r="2830" spans="1:5" ht="14.4">
      <c r="A2830" s="136">
        <v>40459</v>
      </c>
      <c r="B2830" s="137">
        <v>17.975000000000001</v>
      </c>
      <c r="C2830" s="133"/>
      <c r="D2830" s="50">
        <f t="shared" si="44"/>
        <v>5.8757694459989906E-3</v>
      </c>
      <c r="E2830" s="49"/>
    </row>
    <row r="2831" spans="1:5" ht="14.4">
      <c r="A2831" s="136">
        <v>40458</v>
      </c>
      <c r="B2831" s="137">
        <v>17.87</v>
      </c>
      <c r="C2831" s="133"/>
      <c r="D2831" s="50">
        <f t="shared" si="44"/>
        <v>-1.1068068622025362E-2</v>
      </c>
      <c r="E2831" s="49"/>
    </row>
    <row r="2832" spans="1:5" ht="14.4">
      <c r="A2832" s="136">
        <v>40457</v>
      </c>
      <c r="B2832" s="137">
        <v>18.07</v>
      </c>
      <c r="C2832" s="133"/>
      <c r="D2832" s="50">
        <f t="shared" si="44"/>
        <v>-2.8494623655914042E-2</v>
      </c>
      <c r="E2832" s="49"/>
    </row>
    <row r="2833" spans="1:5" ht="14.4">
      <c r="A2833" s="136">
        <v>40456</v>
      </c>
      <c r="B2833" s="137">
        <v>18.600000000000001</v>
      </c>
      <c r="C2833" s="133"/>
      <c r="D2833" s="50">
        <f t="shared" si="44"/>
        <v>2.3102310231023271E-2</v>
      </c>
      <c r="E2833" s="49"/>
    </row>
    <row r="2834" spans="1:5" ht="14.4">
      <c r="A2834" s="136">
        <v>40455</v>
      </c>
      <c r="B2834" s="137">
        <v>18.18</v>
      </c>
      <c r="C2834" s="133"/>
      <c r="D2834" s="50">
        <f t="shared" si="44"/>
        <v>5.530973451327581E-3</v>
      </c>
      <c r="E2834" s="49"/>
    </row>
    <row r="2835" spans="1:5" ht="14.4">
      <c r="A2835" s="136">
        <v>40452</v>
      </c>
      <c r="B2835" s="137">
        <v>18.079999999999998</v>
      </c>
      <c r="C2835" s="133"/>
      <c r="D2835" s="50">
        <f t="shared" si="44"/>
        <v>-1.1751844766329733E-2</v>
      </c>
      <c r="E2835" s="49"/>
    </row>
    <row r="2836" spans="1:5" ht="14.4">
      <c r="A2836" s="136">
        <v>40451</v>
      </c>
      <c r="B2836" s="137">
        <v>18.295000000000002</v>
      </c>
      <c r="C2836" s="133"/>
      <c r="D2836" s="50">
        <f t="shared" si="44"/>
        <v>-2.4006401707121872E-2</v>
      </c>
      <c r="E2836" s="49"/>
    </row>
    <row r="2837" spans="1:5" ht="14.4">
      <c r="A2837" s="136">
        <v>40450</v>
      </c>
      <c r="B2837" s="137">
        <v>18.745000000000001</v>
      </c>
      <c r="C2837" s="133"/>
      <c r="D2837" s="50">
        <f t="shared" si="44"/>
        <v>-1.5493697478991542E-2</v>
      </c>
      <c r="E2837" s="49"/>
    </row>
    <row r="2838" spans="1:5" ht="14.4">
      <c r="A2838" s="136">
        <v>40449</v>
      </c>
      <c r="B2838" s="137">
        <v>19.04</v>
      </c>
      <c r="C2838" s="133"/>
      <c r="D2838" s="50">
        <f t="shared" si="44"/>
        <v>-1.1422637590862039E-2</v>
      </c>
      <c r="E2838" s="49"/>
    </row>
    <row r="2839" spans="1:5" ht="14.4">
      <c r="A2839" s="136">
        <v>40448</v>
      </c>
      <c r="B2839" s="137">
        <v>19.260000000000002</v>
      </c>
      <c r="C2839" s="133"/>
      <c r="D2839" s="50">
        <f t="shared" si="44"/>
        <v>5.1948051948058627E-4</v>
      </c>
      <c r="E2839" s="49"/>
    </row>
    <row r="2840" spans="1:5" ht="14.4">
      <c r="A2840" s="136">
        <v>40445</v>
      </c>
      <c r="B2840" s="137">
        <v>19.25</v>
      </c>
      <c r="C2840" s="133"/>
      <c r="D2840" s="50">
        <f t="shared" si="44"/>
        <v>3.801563763817728E-2</v>
      </c>
      <c r="E2840" s="49"/>
    </row>
    <row r="2841" spans="1:5" ht="14.4">
      <c r="A2841" s="136">
        <v>40444</v>
      </c>
      <c r="B2841" s="137">
        <v>18.545000000000002</v>
      </c>
      <c r="C2841" s="133"/>
      <c r="D2841" s="50">
        <f t="shared" si="44"/>
        <v>-2.0338087691494922E-2</v>
      </c>
      <c r="E2841" s="49"/>
    </row>
    <row r="2842" spans="1:5" ht="14.4">
      <c r="A2842" s="136">
        <v>40443</v>
      </c>
      <c r="B2842" s="137">
        <v>18.93</v>
      </c>
      <c r="C2842" s="133"/>
      <c r="D2842" s="50">
        <f t="shared" si="44"/>
        <v>-3.3937228884919568E-2</v>
      </c>
      <c r="E2842" s="49"/>
    </row>
    <row r="2843" spans="1:5" ht="14.4">
      <c r="A2843" s="136">
        <v>40442</v>
      </c>
      <c r="B2843" s="137">
        <v>19.594999999999999</v>
      </c>
      <c r="C2843" s="133"/>
      <c r="D2843" s="50">
        <f t="shared" si="44"/>
        <v>1.4233954451345676E-2</v>
      </c>
      <c r="E2843" s="49"/>
    </row>
    <row r="2844" spans="1:5" ht="14.4">
      <c r="A2844" s="136">
        <v>40441</v>
      </c>
      <c r="B2844" s="137">
        <v>19.32</v>
      </c>
      <c r="C2844" s="133"/>
      <c r="D2844" s="50">
        <f t="shared" si="44"/>
        <v>2.0871862615587933E-2</v>
      </c>
      <c r="E2844" s="49"/>
    </row>
    <row r="2845" spans="1:5" ht="14.4">
      <c r="A2845" s="136">
        <v>40438</v>
      </c>
      <c r="B2845" s="137">
        <v>18.925000000000001</v>
      </c>
      <c r="C2845" s="133"/>
      <c r="D2845" s="50">
        <f t="shared" si="44"/>
        <v>1.4745308310992078E-2</v>
      </c>
      <c r="E2845" s="49"/>
    </row>
    <row r="2846" spans="1:5" ht="14.4">
      <c r="A2846" s="136">
        <v>40437</v>
      </c>
      <c r="B2846" s="137">
        <v>18.649999999999999</v>
      </c>
      <c r="C2846" s="133"/>
      <c r="D2846" s="50">
        <f t="shared" si="44"/>
        <v>-1.7904160084254883E-2</v>
      </c>
      <c r="E2846" s="49"/>
    </row>
    <row r="2847" spans="1:5" ht="14.4">
      <c r="A2847" s="136">
        <v>40436</v>
      </c>
      <c r="B2847" s="137">
        <v>18.989999999999998</v>
      </c>
      <c r="C2847" s="133"/>
      <c r="D2847" s="50">
        <f t="shared" si="44"/>
        <v>-9.9061522419187087E-3</v>
      </c>
      <c r="E2847" s="49"/>
    </row>
    <row r="2848" spans="1:5" ht="14.4">
      <c r="A2848" s="136">
        <v>40435</v>
      </c>
      <c r="B2848" s="137">
        <v>19.18</v>
      </c>
      <c r="C2848" s="133"/>
      <c r="D2848" s="50">
        <f t="shared" si="44"/>
        <v>-1.561686621551317E-3</v>
      </c>
      <c r="E2848" s="49"/>
    </row>
    <row r="2849" spans="1:5" ht="14.4">
      <c r="A2849" s="136">
        <v>40434</v>
      </c>
      <c r="B2849" s="137">
        <v>19.21</v>
      </c>
      <c r="C2849" s="133"/>
      <c r="D2849" s="50">
        <f t="shared" si="44"/>
        <v>1.1318768096867604E-2</v>
      </c>
      <c r="E2849" s="49"/>
    </row>
    <row r="2850" spans="1:5" ht="14.4">
      <c r="A2850" s="136">
        <v>40431</v>
      </c>
      <c r="B2850" s="137">
        <v>18.995000000000001</v>
      </c>
      <c r="C2850" s="133"/>
      <c r="D2850" s="50">
        <f t="shared" si="44"/>
        <v>1.9592055823939969E-2</v>
      </c>
      <c r="E2850" s="49"/>
    </row>
    <row r="2851" spans="1:5" ht="14.4">
      <c r="A2851" s="136">
        <v>40430</v>
      </c>
      <c r="B2851" s="137">
        <v>18.63</v>
      </c>
      <c r="C2851" s="133"/>
      <c r="D2851" s="50">
        <f t="shared" si="44"/>
        <v>3.4138218151540389E-2</v>
      </c>
      <c r="E2851" s="49"/>
    </row>
    <row r="2852" spans="1:5" ht="14.4">
      <c r="A2852" s="136">
        <v>40429</v>
      </c>
      <c r="B2852" s="137">
        <v>18.015000000000001</v>
      </c>
      <c r="C2852" s="133"/>
      <c r="D2852" s="50">
        <f t="shared" si="44"/>
        <v>-8.5305448541552753E-3</v>
      </c>
      <c r="E2852" s="49"/>
    </row>
    <row r="2853" spans="1:5" ht="14.4">
      <c r="A2853" s="136">
        <v>40428</v>
      </c>
      <c r="B2853" s="137">
        <v>18.170000000000002</v>
      </c>
      <c r="C2853" s="133"/>
      <c r="D2853" s="50">
        <f t="shared" si="44"/>
        <v>6.0908084163899812E-3</v>
      </c>
      <c r="E2853" s="49"/>
    </row>
    <row r="2854" spans="1:5" ht="14.4">
      <c r="A2854" s="136">
        <v>40427</v>
      </c>
      <c r="B2854" s="137">
        <v>18.059999999999999</v>
      </c>
      <c r="C2854" s="133"/>
      <c r="D2854" s="50">
        <f t="shared" si="44"/>
        <v>-4.6844860843208158E-3</v>
      </c>
      <c r="E2854" s="49"/>
    </row>
    <row r="2855" spans="1:5" ht="14.4">
      <c r="A2855" s="136">
        <v>40424</v>
      </c>
      <c r="B2855" s="137">
        <v>18.145</v>
      </c>
      <c r="C2855" s="133"/>
      <c r="D2855" s="50">
        <f t="shared" si="44"/>
        <v>-1.1710239651416154E-2</v>
      </c>
      <c r="E2855" s="49"/>
    </row>
    <row r="2856" spans="1:5" ht="14.4">
      <c r="A2856" s="136">
        <v>40423</v>
      </c>
      <c r="B2856" s="137">
        <v>18.36</v>
      </c>
      <c r="C2856" s="133"/>
      <c r="D2856" s="50">
        <f t="shared" si="44"/>
        <v>2.7995520716685318E-2</v>
      </c>
      <c r="E2856" s="49"/>
    </row>
    <row r="2857" spans="1:5" ht="14.4">
      <c r="A2857" s="136">
        <v>40422</v>
      </c>
      <c r="B2857" s="137">
        <v>17.86</v>
      </c>
      <c r="C2857" s="133"/>
      <c r="D2857" s="50">
        <f t="shared" si="44"/>
        <v>2.8505614742297736E-2</v>
      </c>
      <c r="E2857" s="49"/>
    </row>
    <row r="2858" spans="1:5" ht="14.4">
      <c r="A2858" s="136">
        <v>40421</v>
      </c>
      <c r="B2858" s="137">
        <v>17.364999999999998</v>
      </c>
      <c r="C2858" s="133"/>
      <c r="D2858" s="50">
        <f t="shared" si="44"/>
        <v>2.8876696505917288E-3</v>
      </c>
      <c r="E2858" s="49"/>
    </row>
    <row r="2859" spans="1:5" ht="14.4">
      <c r="A2859" s="136">
        <v>40420</v>
      </c>
      <c r="B2859" s="137">
        <v>17.315000000000001</v>
      </c>
      <c r="C2859" s="133"/>
      <c r="D2859" s="50">
        <f t="shared" si="44"/>
        <v>-4.0264595916019719E-3</v>
      </c>
      <c r="E2859" s="49"/>
    </row>
    <row r="2860" spans="1:5" ht="14.4">
      <c r="A2860" s="136">
        <v>40417</v>
      </c>
      <c r="B2860" s="137">
        <v>17.385000000000002</v>
      </c>
      <c r="C2860" s="133"/>
      <c r="D2860" s="50">
        <f t="shared" si="44"/>
        <v>-3.1476323119776994E-2</v>
      </c>
      <c r="E2860" s="49"/>
    </row>
    <row r="2861" spans="1:5" ht="14.4">
      <c r="A2861" s="136">
        <v>40416</v>
      </c>
      <c r="B2861" s="137">
        <v>17.95</v>
      </c>
      <c r="C2861" s="133"/>
      <c r="D2861" s="50">
        <f t="shared" si="44"/>
        <v>1.3947001394698511E-3</v>
      </c>
      <c r="E2861" s="49"/>
    </row>
    <row r="2862" spans="1:5" ht="14.4">
      <c r="A2862" s="136">
        <v>40415</v>
      </c>
      <c r="B2862" s="137">
        <v>17.925000000000001</v>
      </c>
      <c r="C2862" s="133"/>
      <c r="D2862" s="50">
        <f t="shared" si="44"/>
        <v>-2.4489795918367308E-2</v>
      </c>
      <c r="E2862" s="49"/>
    </row>
    <row r="2863" spans="1:5" ht="14.4">
      <c r="A2863" s="136">
        <v>40414</v>
      </c>
      <c r="B2863" s="137">
        <v>18.375</v>
      </c>
      <c r="C2863" s="133"/>
      <c r="D2863" s="50">
        <f t="shared" si="44"/>
        <v>-8.0971659919027994E-3</v>
      </c>
      <c r="E2863" s="49"/>
    </row>
    <row r="2864" spans="1:5" ht="14.4">
      <c r="A2864" s="136">
        <v>40413</v>
      </c>
      <c r="B2864" s="137">
        <v>18.524999999999999</v>
      </c>
      <c r="C2864" s="133"/>
      <c r="D2864" s="50">
        <f t="shared" si="44"/>
        <v>3.5205364626990754E-2</v>
      </c>
      <c r="E2864" s="49"/>
    </row>
    <row r="2865" spans="1:5" ht="14.4">
      <c r="A2865" s="136">
        <v>40410</v>
      </c>
      <c r="B2865" s="137">
        <v>17.895</v>
      </c>
      <c r="C2865" s="133"/>
      <c r="D2865" s="50">
        <f t="shared" si="44"/>
        <v>-1.7567938512215275E-2</v>
      </c>
      <c r="E2865" s="49"/>
    </row>
    <row r="2866" spans="1:5" ht="14.4">
      <c r="A2866" s="136">
        <v>40409</v>
      </c>
      <c r="B2866" s="137">
        <v>18.215</v>
      </c>
      <c r="C2866" s="133"/>
      <c r="D2866" s="50">
        <f t="shared" si="44"/>
        <v>-1.4339826839826819E-2</v>
      </c>
      <c r="E2866" s="49"/>
    </row>
    <row r="2867" spans="1:5" ht="14.4">
      <c r="A2867" s="136">
        <v>40408</v>
      </c>
      <c r="B2867" s="137">
        <v>18.48</v>
      </c>
      <c r="C2867" s="133"/>
      <c r="D2867" s="50">
        <f t="shared" si="44"/>
        <v>2.4410089503661414E-3</v>
      </c>
      <c r="E2867" s="49"/>
    </row>
    <row r="2868" spans="1:5" ht="14.4">
      <c r="A2868" s="136">
        <v>40407</v>
      </c>
      <c r="B2868" s="137">
        <v>18.434999999999999</v>
      </c>
      <c r="C2868" s="133"/>
      <c r="D2868" s="50">
        <f t="shared" si="44"/>
        <v>1.7945886250690268E-2</v>
      </c>
      <c r="E2868" s="49"/>
    </row>
    <row r="2869" spans="1:5" ht="14.4">
      <c r="A2869" s="136">
        <v>40406</v>
      </c>
      <c r="B2869" s="137">
        <v>18.11</v>
      </c>
      <c r="C2869" s="133"/>
      <c r="D2869" s="50">
        <f t="shared" si="44"/>
        <v>4.7156726768378121E-3</v>
      </c>
      <c r="E2869" s="49"/>
    </row>
    <row r="2870" spans="1:5" ht="14.4">
      <c r="A2870" s="136">
        <v>40403</v>
      </c>
      <c r="B2870" s="137">
        <v>18.024999999999999</v>
      </c>
      <c r="C2870" s="133"/>
      <c r="D2870" s="50">
        <f t="shared" si="44"/>
        <v>-7.7071290944124016E-3</v>
      </c>
      <c r="E2870" s="49"/>
    </row>
    <row r="2871" spans="1:5" ht="14.4">
      <c r="A2871" s="136">
        <v>40402</v>
      </c>
      <c r="B2871" s="137">
        <v>18.164999999999999</v>
      </c>
      <c r="C2871" s="133"/>
      <c r="D2871" s="50">
        <f t="shared" si="44"/>
        <v>1.7362083450013888E-2</v>
      </c>
      <c r="E2871" s="49"/>
    </row>
    <row r="2872" spans="1:5" ht="14.4">
      <c r="A2872" s="136">
        <v>40401</v>
      </c>
      <c r="B2872" s="137">
        <v>17.855</v>
      </c>
      <c r="C2872" s="133"/>
      <c r="D2872" s="50">
        <f t="shared" si="44"/>
        <v>-2.4050286963651302E-2</v>
      </c>
      <c r="E2872" s="49"/>
    </row>
    <row r="2873" spans="1:5" ht="14.4">
      <c r="A2873" s="136">
        <v>40400</v>
      </c>
      <c r="B2873" s="137">
        <v>18.295000000000002</v>
      </c>
      <c r="C2873" s="133"/>
      <c r="D2873" s="50">
        <f t="shared" si="44"/>
        <v>-3.8115981486521733E-3</v>
      </c>
      <c r="E2873" s="49"/>
    </row>
    <row r="2874" spans="1:5" ht="14.4">
      <c r="A2874" s="136">
        <v>40399</v>
      </c>
      <c r="B2874" s="137">
        <v>18.364999999999998</v>
      </c>
      <c r="C2874" s="133"/>
      <c r="D2874" s="50">
        <f t="shared" si="44"/>
        <v>-9.4390507011866687E-3</v>
      </c>
      <c r="E2874" s="49"/>
    </row>
    <row r="2875" spans="1:5" ht="14.4">
      <c r="A2875" s="136">
        <v>40396</v>
      </c>
      <c r="B2875" s="137">
        <v>18.54</v>
      </c>
      <c r="C2875" s="133"/>
      <c r="D2875" s="50">
        <f t="shared" si="44"/>
        <v>-7.2289156626507145E-3</v>
      </c>
      <c r="E2875" s="49"/>
    </row>
    <row r="2876" spans="1:5" ht="14.4">
      <c r="A2876" s="136">
        <v>40395</v>
      </c>
      <c r="B2876" s="137">
        <v>18.675000000000001</v>
      </c>
      <c r="C2876" s="133"/>
      <c r="D2876" s="50">
        <f t="shared" si="44"/>
        <v>2.9492833517089423E-2</v>
      </c>
      <c r="E2876" s="49"/>
    </row>
    <row r="2877" spans="1:5" ht="14.4">
      <c r="A2877" s="136">
        <v>40394</v>
      </c>
      <c r="B2877" s="137">
        <v>18.14</v>
      </c>
      <c r="C2877" s="133"/>
      <c r="D2877" s="50">
        <f t="shared" si="44"/>
        <v>7.2182121043864456E-3</v>
      </c>
      <c r="E2877" s="49"/>
    </row>
    <row r="2878" spans="1:5" ht="14.4">
      <c r="A2878" s="136">
        <v>40393</v>
      </c>
      <c r="B2878" s="137">
        <v>18.010000000000002</v>
      </c>
      <c r="C2878" s="133"/>
      <c r="D2878" s="50">
        <f t="shared" si="44"/>
        <v>-3.5961272475794059E-3</v>
      </c>
      <c r="E2878" s="49"/>
    </row>
    <row r="2879" spans="1:5" ht="14.4">
      <c r="A2879" s="136">
        <v>40392</v>
      </c>
      <c r="B2879" s="137">
        <v>18.074999999999999</v>
      </c>
      <c r="C2879" s="133"/>
      <c r="D2879" s="50">
        <f t="shared" si="44"/>
        <v>-5.7755775577558177E-3</v>
      </c>
      <c r="E2879" s="49"/>
    </row>
    <row r="2880" spans="1:5" ht="14.4">
      <c r="A2880" s="136">
        <v>40389</v>
      </c>
      <c r="B2880" s="137">
        <v>18.18</v>
      </c>
      <c r="C2880" s="133"/>
      <c r="D2880" s="50">
        <f t="shared" si="44"/>
        <v>3.3835655388114727E-2</v>
      </c>
      <c r="E2880" s="49"/>
    </row>
    <row r="2881" spans="1:5" ht="14.4">
      <c r="A2881" s="136">
        <v>40388</v>
      </c>
      <c r="B2881" s="137">
        <v>17.585000000000001</v>
      </c>
      <c r="C2881" s="133"/>
      <c r="D2881" s="50">
        <f t="shared" si="44"/>
        <v>7.1592210767468245E-3</v>
      </c>
      <c r="E2881" s="49"/>
    </row>
    <row r="2882" spans="1:5" ht="14.4">
      <c r="A2882" s="136">
        <v>40387</v>
      </c>
      <c r="B2882" s="137">
        <v>17.46</v>
      </c>
      <c r="C2882" s="133"/>
      <c r="D2882" s="50">
        <f t="shared" si="44"/>
        <v>-2.0005715918833822E-3</v>
      </c>
      <c r="E2882" s="49"/>
    </row>
    <row r="2883" spans="1:5" ht="14.4">
      <c r="A2883" s="136">
        <v>40386</v>
      </c>
      <c r="B2883" s="137">
        <v>17.495000000000001</v>
      </c>
      <c r="C2883" s="133"/>
      <c r="D2883" s="50">
        <f t="shared" si="44"/>
        <v>-2.5348189415041689E-2</v>
      </c>
      <c r="E2883" s="49"/>
    </row>
    <row r="2884" spans="1:5" ht="14.4">
      <c r="A2884" s="136">
        <v>40385</v>
      </c>
      <c r="B2884" s="137">
        <v>17.95</v>
      </c>
      <c r="C2884" s="133"/>
      <c r="D2884" s="50">
        <f t="shared" si="44"/>
        <v>-3.6081043574799354E-3</v>
      </c>
      <c r="E2884" s="49"/>
    </row>
    <row r="2885" spans="1:5" ht="14.4">
      <c r="A2885" s="136">
        <v>40382</v>
      </c>
      <c r="B2885" s="137">
        <v>18.015000000000001</v>
      </c>
      <c r="C2885" s="133"/>
      <c r="D2885" s="50">
        <f t="shared" si="44"/>
        <v>3.8328530259365889E-2</v>
      </c>
      <c r="E2885" s="49"/>
    </row>
    <row r="2886" spans="1:5" ht="14.4">
      <c r="A2886" s="136">
        <v>40381</v>
      </c>
      <c r="B2886" s="137">
        <v>17.350000000000001</v>
      </c>
      <c r="C2886" s="133"/>
      <c r="D2886" s="50">
        <f t="shared" si="44"/>
        <v>5.8895331095514258E-2</v>
      </c>
      <c r="E2886" s="49"/>
    </row>
    <row r="2887" spans="1:5" ht="14.4">
      <c r="A2887" s="136">
        <v>40380</v>
      </c>
      <c r="B2887" s="137">
        <v>16.385000000000002</v>
      </c>
      <c r="C2887" s="133"/>
      <c r="D2887" s="50">
        <f t="shared" si="44"/>
        <v>1.8967661691542403E-2</v>
      </c>
      <c r="E2887" s="49"/>
    </row>
    <row r="2888" spans="1:5" ht="14.4">
      <c r="A2888" s="136">
        <v>40379</v>
      </c>
      <c r="B2888" s="137">
        <v>16.079999999999998</v>
      </c>
      <c r="C2888" s="133"/>
      <c r="D2888" s="50">
        <f t="shared" ref="D2888:D2951" si="45">(B2888-C2888)/B2889-1</f>
        <v>-2.8692237994563663E-2</v>
      </c>
      <c r="E2888" s="49"/>
    </row>
    <row r="2889" spans="1:5" ht="14.4">
      <c r="A2889" s="136">
        <v>40378</v>
      </c>
      <c r="B2889" s="137">
        <v>16.555</v>
      </c>
      <c r="C2889" s="133"/>
      <c r="D2889" s="50">
        <f t="shared" si="45"/>
        <v>8.221680876979276E-3</v>
      </c>
      <c r="E2889" s="49"/>
    </row>
    <row r="2890" spans="1:5" ht="14.4">
      <c r="A2890" s="136">
        <v>40375</v>
      </c>
      <c r="B2890" s="137">
        <v>16.420000000000002</v>
      </c>
      <c r="C2890" s="133"/>
      <c r="D2890" s="50">
        <f t="shared" si="45"/>
        <v>-7.8549848942597311E-3</v>
      </c>
      <c r="E2890" s="49"/>
    </row>
    <row r="2891" spans="1:5" ht="14.4">
      <c r="A2891" s="136">
        <v>40374</v>
      </c>
      <c r="B2891" s="137">
        <v>16.55</v>
      </c>
      <c r="C2891" s="133"/>
      <c r="D2891" s="50">
        <f t="shared" si="45"/>
        <v>-4.857717734981315E-2</v>
      </c>
      <c r="E2891" s="49"/>
    </row>
    <row r="2892" spans="1:5" ht="14.4">
      <c r="A2892" s="136">
        <v>40373</v>
      </c>
      <c r="B2892" s="137">
        <v>17.395</v>
      </c>
      <c r="C2892" s="133"/>
      <c r="D2892" s="50">
        <f t="shared" si="45"/>
        <v>-1.4726706315491445E-2</v>
      </c>
      <c r="E2892" s="49"/>
    </row>
    <row r="2893" spans="1:5" ht="14.4">
      <c r="A2893" s="136">
        <v>40372</v>
      </c>
      <c r="B2893" s="137">
        <v>17.655000000000001</v>
      </c>
      <c r="C2893" s="133"/>
      <c r="D2893" s="50">
        <f t="shared" si="45"/>
        <v>2.9446064139941885E-2</v>
      </c>
      <c r="E2893" s="49"/>
    </row>
    <row r="2894" spans="1:5" ht="14.4">
      <c r="A2894" s="136">
        <v>40371</v>
      </c>
      <c r="B2894" s="137">
        <v>17.149999999999999</v>
      </c>
      <c r="C2894" s="133"/>
      <c r="D2894" s="50">
        <f t="shared" si="45"/>
        <v>8.2304526748968598E-3</v>
      </c>
      <c r="E2894" s="49"/>
    </row>
    <row r="2895" spans="1:5" ht="14.4">
      <c r="A2895" s="136">
        <v>40368</v>
      </c>
      <c r="B2895" s="137">
        <v>17.010000000000002</v>
      </c>
      <c r="C2895" s="133"/>
      <c r="D2895" s="50">
        <f t="shared" si="45"/>
        <v>5.3191489361701372E-3</v>
      </c>
      <c r="E2895" s="49"/>
    </row>
    <row r="2896" spans="1:5" ht="14.4">
      <c r="A2896" s="136">
        <v>40367</v>
      </c>
      <c r="B2896" s="137">
        <v>16.920000000000002</v>
      </c>
      <c r="C2896" s="133"/>
      <c r="D2896" s="50">
        <f t="shared" si="45"/>
        <v>9.8478066248881557E-3</v>
      </c>
      <c r="E2896" s="49"/>
    </row>
    <row r="2897" spans="1:5" ht="14.4">
      <c r="A2897" s="136">
        <v>40366</v>
      </c>
      <c r="B2897" s="137">
        <v>16.754999999999999</v>
      </c>
      <c r="C2897" s="133"/>
      <c r="D2897" s="50">
        <f t="shared" si="45"/>
        <v>2.3831347387717638E-2</v>
      </c>
      <c r="E2897" s="49"/>
    </row>
    <row r="2898" spans="1:5" ht="14.4">
      <c r="A2898" s="136">
        <v>40365</v>
      </c>
      <c r="B2898" s="137">
        <v>16.364999999999998</v>
      </c>
      <c r="C2898" s="133"/>
      <c r="D2898" s="50">
        <f t="shared" si="45"/>
        <v>1.1746522411128169E-2</v>
      </c>
      <c r="E2898" s="49"/>
    </row>
    <row r="2899" spans="1:5" ht="14.4">
      <c r="A2899" s="136">
        <v>40364</v>
      </c>
      <c r="B2899" s="137">
        <v>16.175000000000001</v>
      </c>
      <c r="C2899" s="133"/>
      <c r="D2899" s="50">
        <f t="shared" si="45"/>
        <v>2.3734177215189778E-2</v>
      </c>
      <c r="E2899" s="49"/>
    </row>
    <row r="2900" spans="1:5" ht="14.4">
      <c r="A2900" s="136">
        <v>40361</v>
      </c>
      <c r="B2900" s="137">
        <v>15.8</v>
      </c>
      <c r="C2900" s="133"/>
      <c r="D2900" s="50">
        <f t="shared" si="45"/>
        <v>-3.5703387244430895E-2</v>
      </c>
      <c r="E2900" s="49"/>
    </row>
    <row r="2901" spans="1:5" ht="14.4">
      <c r="A2901" s="136">
        <v>40360</v>
      </c>
      <c r="B2901" s="137">
        <v>16.385000000000002</v>
      </c>
      <c r="C2901" s="133"/>
      <c r="D2901" s="50">
        <f t="shared" si="45"/>
        <v>-2.874925903971548E-2</v>
      </c>
      <c r="E2901" s="49"/>
    </row>
    <row r="2902" spans="1:5" ht="14.4">
      <c r="A2902" s="136">
        <v>40359</v>
      </c>
      <c r="B2902" s="137">
        <v>16.87</v>
      </c>
      <c r="C2902" s="133"/>
      <c r="D2902" s="50">
        <f t="shared" si="45"/>
        <v>-7.938841517200701E-3</v>
      </c>
      <c r="E2902" s="49"/>
    </row>
    <row r="2903" spans="1:5" ht="14.4">
      <c r="A2903" s="136">
        <v>40358</v>
      </c>
      <c r="B2903" s="137">
        <v>17.004999999999999</v>
      </c>
      <c r="C2903" s="133"/>
      <c r="D2903" s="50">
        <f t="shared" si="45"/>
        <v>-3.3806818181818299E-2</v>
      </c>
      <c r="E2903" s="49"/>
    </row>
    <row r="2904" spans="1:5" ht="14.4">
      <c r="A2904" s="136">
        <v>40357</v>
      </c>
      <c r="B2904" s="137">
        <v>17.600000000000001</v>
      </c>
      <c r="C2904" s="133"/>
      <c r="D2904" s="50">
        <f t="shared" si="45"/>
        <v>6.0017147756501465E-3</v>
      </c>
      <c r="E2904" s="49"/>
    </row>
    <row r="2905" spans="1:5" ht="14.4">
      <c r="A2905" s="136">
        <v>40354</v>
      </c>
      <c r="B2905" s="137">
        <v>17.495000000000001</v>
      </c>
      <c r="C2905" s="133"/>
      <c r="D2905" s="50">
        <f t="shared" si="45"/>
        <v>-5.4007959067651212E-3</v>
      </c>
      <c r="E2905" s="49"/>
    </row>
    <row r="2906" spans="1:5" ht="14.4">
      <c r="A2906" s="136">
        <v>40353</v>
      </c>
      <c r="B2906" s="137">
        <v>17.59</v>
      </c>
      <c r="C2906" s="133"/>
      <c r="D2906" s="50">
        <f t="shared" si="45"/>
        <v>-2.032859927596764E-2</v>
      </c>
      <c r="E2906" s="49"/>
    </row>
    <row r="2907" spans="1:5" ht="14.4">
      <c r="A2907" s="136">
        <v>40352</v>
      </c>
      <c r="B2907" s="137">
        <v>17.954999999999998</v>
      </c>
      <c r="C2907" s="133"/>
      <c r="D2907" s="50">
        <f t="shared" si="45"/>
        <v>-5.5663790704152394E-4</v>
      </c>
      <c r="E2907" s="49"/>
    </row>
    <row r="2908" spans="1:5" ht="14.4">
      <c r="A2908" s="136">
        <v>40351</v>
      </c>
      <c r="B2908" s="137">
        <v>17.965</v>
      </c>
      <c r="C2908" s="133"/>
      <c r="D2908" s="50">
        <f t="shared" si="45"/>
        <v>5.0349650349650332E-3</v>
      </c>
      <c r="E2908" s="49"/>
    </row>
    <row r="2909" spans="1:5" ht="14.4">
      <c r="A2909" s="136">
        <v>40350</v>
      </c>
      <c r="B2909" s="137">
        <v>17.875</v>
      </c>
      <c r="C2909" s="133"/>
      <c r="D2909" s="50">
        <f t="shared" si="45"/>
        <v>-3.0674846625766694E-3</v>
      </c>
      <c r="E2909" s="49"/>
    </row>
    <row r="2910" spans="1:5" ht="14.4">
      <c r="A2910" s="136">
        <v>40347</v>
      </c>
      <c r="B2910" s="137">
        <v>17.93</v>
      </c>
      <c r="C2910" s="133"/>
      <c r="D2910" s="50">
        <f t="shared" si="45"/>
        <v>-3.0581039755351869E-3</v>
      </c>
      <c r="E2910" s="49"/>
    </row>
    <row r="2911" spans="1:5" ht="14.4">
      <c r="A2911" s="136">
        <v>40346</v>
      </c>
      <c r="B2911" s="137">
        <v>17.984999999999999</v>
      </c>
      <c r="C2911" s="133"/>
      <c r="D2911" s="50">
        <f t="shared" si="45"/>
        <v>-3.6011080332410961E-3</v>
      </c>
      <c r="E2911" s="49"/>
    </row>
    <row r="2912" spans="1:5" ht="14.4">
      <c r="A2912" s="136">
        <v>40345</v>
      </c>
      <c r="B2912" s="137">
        <v>18.05</v>
      </c>
      <c r="C2912" s="133"/>
      <c r="D2912" s="50">
        <f t="shared" si="45"/>
        <v>-1.741970604246057E-2</v>
      </c>
      <c r="E2912" s="49"/>
    </row>
    <row r="2913" spans="1:5" ht="14.4">
      <c r="A2913" s="136">
        <v>40344</v>
      </c>
      <c r="B2913" s="137">
        <v>18.37</v>
      </c>
      <c r="C2913" s="133"/>
      <c r="D2913" s="50">
        <f t="shared" si="45"/>
        <v>2.7292576419213344E-3</v>
      </c>
      <c r="E2913" s="49"/>
    </row>
    <row r="2914" spans="1:5" ht="14.4">
      <c r="A2914" s="136">
        <v>40343</v>
      </c>
      <c r="B2914" s="137">
        <v>18.32</v>
      </c>
      <c r="C2914" s="133"/>
      <c r="D2914" s="50">
        <f t="shared" si="45"/>
        <v>3.8254463020685803E-2</v>
      </c>
      <c r="E2914" s="49"/>
    </row>
    <row r="2915" spans="1:5" ht="14.4">
      <c r="A2915" s="136">
        <v>40340</v>
      </c>
      <c r="B2915" s="137">
        <v>17.645</v>
      </c>
      <c r="C2915" s="133"/>
      <c r="D2915" s="50">
        <f t="shared" si="45"/>
        <v>-1.8904642757853751E-2</v>
      </c>
      <c r="E2915" s="49"/>
    </row>
    <row r="2916" spans="1:5" ht="14.4">
      <c r="A2916" s="136">
        <v>40339</v>
      </c>
      <c r="B2916" s="137">
        <v>17.984999999999999</v>
      </c>
      <c r="C2916" s="133"/>
      <c r="D2916" s="50">
        <f t="shared" si="45"/>
        <v>4.4425087108014072E-2</v>
      </c>
      <c r="E2916" s="49"/>
    </row>
    <row r="2917" spans="1:5" ht="14.4">
      <c r="A2917" s="136">
        <v>40338</v>
      </c>
      <c r="B2917" s="137">
        <v>17.22</v>
      </c>
      <c r="C2917" s="133"/>
      <c r="D2917" s="50">
        <f t="shared" si="45"/>
        <v>6.1325115562403498E-2</v>
      </c>
      <c r="E2917" s="49"/>
    </row>
    <row r="2918" spans="1:5" ht="14.4">
      <c r="A2918" s="136">
        <v>40337</v>
      </c>
      <c r="B2918" s="137">
        <v>16.225000000000001</v>
      </c>
      <c r="C2918" s="133"/>
      <c r="D2918" s="50">
        <f t="shared" si="45"/>
        <v>5.8896466212028376E-3</v>
      </c>
      <c r="E2918" s="49"/>
    </row>
    <row r="2919" spans="1:5" ht="14.4">
      <c r="A2919" s="136">
        <v>40336</v>
      </c>
      <c r="B2919" s="137">
        <v>16.13</v>
      </c>
      <c r="C2919" s="133"/>
      <c r="D2919" s="50">
        <f t="shared" si="45"/>
        <v>2.4860161591049312E-3</v>
      </c>
      <c r="E2919" s="49"/>
    </row>
    <row r="2920" spans="1:5" ht="14.4">
      <c r="A2920" s="136">
        <v>40333</v>
      </c>
      <c r="B2920" s="137">
        <v>16.09</v>
      </c>
      <c r="C2920" s="133"/>
      <c r="D2920" s="50">
        <f t="shared" si="45"/>
        <v>-1.2580546179809859E-2</v>
      </c>
      <c r="E2920" s="49"/>
    </row>
    <row r="2921" spans="1:5" ht="14.4">
      <c r="A2921" s="136">
        <v>40332</v>
      </c>
      <c r="B2921" s="137">
        <v>16.295000000000002</v>
      </c>
      <c r="C2921" s="133"/>
      <c r="D2921" s="50">
        <f t="shared" si="45"/>
        <v>1.5264797507788197E-2</v>
      </c>
      <c r="E2921" s="49"/>
    </row>
    <row r="2922" spans="1:5" ht="14.4">
      <c r="A2922" s="136">
        <v>40331</v>
      </c>
      <c r="B2922" s="137">
        <v>16.05</v>
      </c>
      <c r="C2922" s="133"/>
      <c r="D2922" s="50">
        <f t="shared" si="45"/>
        <v>-3.1142946122697523E-4</v>
      </c>
      <c r="E2922" s="49"/>
    </row>
    <row r="2923" spans="1:5" ht="14.4">
      <c r="A2923" s="136">
        <v>40330</v>
      </c>
      <c r="B2923" s="137">
        <v>16.055</v>
      </c>
      <c r="C2923" s="133"/>
      <c r="D2923" s="50">
        <f t="shared" si="45"/>
        <v>-1.4426028238182953E-2</v>
      </c>
      <c r="E2923" s="49"/>
    </row>
    <row r="2924" spans="1:5" ht="14.4">
      <c r="A2924" s="136">
        <v>40329</v>
      </c>
      <c r="B2924" s="137">
        <v>16.29</v>
      </c>
      <c r="C2924" s="133"/>
      <c r="D2924" s="50">
        <f t="shared" si="45"/>
        <v>1.2744793285669687E-2</v>
      </c>
      <c r="E2924" s="49"/>
    </row>
    <row r="2925" spans="1:5" ht="14.4">
      <c r="A2925" s="136">
        <v>40326</v>
      </c>
      <c r="B2925" s="137">
        <v>16.085000000000001</v>
      </c>
      <c r="C2925" s="133"/>
      <c r="D2925" s="50">
        <f t="shared" si="45"/>
        <v>3.4310667498440584E-3</v>
      </c>
      <c r="E2925" s="49"/>
    </row>
    <row r="2926" spans="1:5" ht="14.4">
      <c r="A2926" s="136">
        <v>40325</v>
      </c>
      <c r="B2926" s="137">
        <v>16.03</v>
      </c>
      <c r="C2926" s="133"/>
      <c r="D2926" s="50">
        <f t="shared" si="45"/>
        <v>1.6809387884554328E-2</v>
      </c>
      <c r="E2926" s="49"/>
    </row>
    <row r="2927" spans="1:5" ht="14.4">
      <c r="A2927" s="136">
        <v>40324</v>
      </c>
      <c r="B2927" s="137">
        <v>15.765000000000001</v>
      </c>
      <c r="C2927" s="133"/>
      <c r="D2927" s="50">
        <f t="shared" si="45"/>
        <v>3.3093053735255618E-2</v>
      </c>
      <c r="E2927" s="49"/>
    </row>
    <row r="2928" spans="1:5" ht="14.4">
      <c r="A2928" s="136">
        <v>40323</v>
      </c>
      <c r="B2928" s="137">
        <v>15.26</v>
      </c>
      <c r="C2928" s="133"/>
      <c r="D2928" s="50">
        <f t="shared" si="45"/>
        <v>-2.6785714285714302E-2</v>
      </c>
      <c r="E2928" s="49"/>
    </row>
    <row r="2929" spans="1:5" ht="14.4">
      <c r="A2929" s="136">
        <v>40322</v>
      </c>
      <c r="B2929" s="137">
        <v>15.68</v>
      </c>
      <c r="C2929" s="133"/>
      <c r="D2929" s="50">
        <f t="shared" si="45"/>
        <v>-1.0725552050473208E-2</v>
      </c>
      <c r="E2929" s="49"/>
    </row>
    <row r="2930" spans="1:5" ht="14.4">
      <c r="A2930" s="136">
        <v>40319</v>
      </c>
      <c r="B2930" s="137">
        <v>15.85</v>
      </c>
      <c r="C2930" s="133"/>
      <c r="D2930" s="50">
        <f t="shared" si="45"/>
        <v>-1.1537262238852541E-2</v>
      </c>
      <c r="E2930" s="49"/>
    </row>
    <row r="2931" spans="1:5" ht="14.4">
      <c r="A2931" s="136">
        <v>40318</v>
      </c>
      <c r="B2931" s="137">
        <v>16.035</v>
      </c>
      <c r="C2931" s="133"/>
      <c r="D2931" s="50">
        <f t="shared" si="45"/>
        <v>-1.9865525672371542E-2</v>
      </c>
      <c r="E2931" s="49"/>
    </row>
    <row r="2932" spans="1:5" ht="14.4">
      <c r="A2932" s="136">
        <v>40317</v>
      </c>
      <c r="B2932" s="137">
        <v>16.36</v>
      </c>
      <c r="C2932" s="133"/>
      <c r="D2932" s="50">
        <f t="shared" si="45"/>
        <v>-3.6513545347467646E-2</v>
      </c>
      <c r="E2932" s="49"/>
    </row>
    <row r="2933" spans="1:5" ht="14.4">
      <c r="A2933" s="136">
        <v>40316</v>
      </c>
      <c r="B2933" s="137">
        <v>16.98</v>
      </c>
      <c r="C2933" s="133"/>
      <c r="D2933" s="50">
        <f t="shared" si="45"/>
        <v>6.1581744295092333E-2</v>
      </c>
      <c r="E2933" s="49"/>
    </row>
    <row r="2934" spans="1:5" ht="14.4">
      <c r="A2934" s="136">
        <v>40315</v>
      </c>
      <c r="B2934" s="137">
        <v>15.994999999999999</v>
      </c>
      <c r="C2934" s="133"/>
      <c r="D2934" s="50">
        <f t="shared" si="45"/>
        <v>-1.9613852283175137E-2</v>
      </c>
      <c r="E2934" s="49"/>
    </row>
    <row r="2935" spans="1:5" ht="14.4">
      <c r="A2935" s="136">
        <v>40312</v>
      </c>
      <c r="B2935" s="137">
        <v>16.315000000000001</v>
      </c>
      <c r="C2935" s="133"/>
      <c r="D2935" s="50">
        <f t="shared" si="45"/>
        <v>5.0547327752736848E-2</v>
      </c>
      <c r="E2935" s="49"/>
    </row>
    <row r="2936" spans="1:5" ht="14.4">
      <c r="A2936" s="136">
        <v>40311</v>
      </c>
      <c r="B2936" s="137">
        <v>15.53</v>
      </c>
      <c r="C2936" s="133"/>
      <c r="D2936" s="50">
        <f t="shared" si="45"/>
        <v>8.7690808704123935E-3</v>
      </c>
      <c r="E2936" s="49"/>
    </row>
    <row r="2937" spans="1:5" ht="14.4">
      <c r="A2937" s="136">
        <v>40310</v>
      </c>
      <c r="B2937" s="137">
        <v>15.395</v>
      </c>
      <c r="C2937" s="133"/>
      <c r="D2937" s="50">
        <f t="shared" si="45"/>
        <v>5.0853242320819003E-2</v>
      </c>
      <c r="E2937" s="49"/>
    </row>
    <row r="2938" spans="1:5" ht="14.4">
      <c r="A2938" s="136">
        <v>40309</v>
      </c>
      <c r="B2938" s="137">
        <v>14.65</v>
      </c>
      <c r="C2938" s="133"/>
      <c r="D2938" s="50">
        <f t="shared" si="45"/>
        <v>3.4969975273754894E-2</v>
      </c>
      <c r="E2938" s="49"/>
    </row>
    <row r="2939" spans="1:5" ht="14.4">
      <c r="A2939" s="136">
        <v>40308</v>
      </c>
      <c r="B2939" s="137">
        <v>14.154999999999999</v>
      </c>
      <c r="C2939" s="133"/>
      <c r="D2939" s="50">
        <f t="shared" si="45"/>
        <v>4.4264109184802614E-2</v>
      </c>
      <c r="E2939" s="49"/>
    </row>
    <row r="2940" spans="1:5" ht="14.4">
      <c r="A2940" s="136">
        <v>40305</v>
      </c>
      <c r="B2940" s="137">
        <v>13.555</v>
      </c>
      <c r="C2940" s="133"/>
      <c r="D2940" s="50">
        <f t="shared" si="45"/>
        <v>-2.8315412186379896E-2</v>
      </c>
      <c r="E2940" s="49"/>
    </row>
    <row r="2941" spans="1:5" ht="14.4">
      <c r="A2941" s="136">
        <v>40304</v>
      </c>
      <c r="B2941" s="137">
        <v>13.95</v>
      </c>
      <c r="C2941" s="133"/>
      <c r="D2941" s="50">
        <f t="shared" si="45"/>
        <v>1.0503440782325235E-2</v>
      </c>
      <c r="E2941" s="49"/>
    </row>
    <row r="2942" spans="1:5" ht="14.4">
      <c r="A2942" s="136">
        <v>40303</v>
      </c>
      <c r="B2942" s="137">
        <v>13.805</v>
      </c>
      <c r="C2942" s="133"/>
      <c r="D2942" s="50">
        <f t="shared" si="45"/>
        <v>1.0984987184181616E-2</v>
      </c>
      <c r="E2942" s="49"/>
    </row>
    <row r="2943" spans="1:5" ht="14.4">
      <c r="A2943" s="136">
        <v>40302</v>
      </c>
      <c r="B2943" s="137">
        <v>13.654999999999999</v>
      </c>
      <c r="C2943" s="133"/>
      <c r="D2943" s="50">
        <f t="shared" si="45"/>
        <v>-1.4079422382671458E-2</v>
      </c>
      <c r="E2943" s="49"/>
    </row>
    <row r="2944" spans="1:5" ht="14.4">
      <c r="A2944" s="136">
        <v>40301</v>
      </c>
      <c r="B2944" s="137">
        <v>13.85</v>
      </c>
      <c r="C2944" s="133"/>
      <c r="D2944" s="50">
        <f t="shared" si="45"/>
        <v>-1.282965074839626E-2</v>
      </c>
      <c r="E2944" s="49"/>
    </row>
    <row r="2945" spans="1:5" ht="14.4">
      <c r="A2945" s="136">
        <v>40298</v>
      </c>
      <c r="B2945" s="137">
        <v>14.03</v>
      </c>
      <c r="C2945" s="133"/>
      <c r="D2945" s="50">
        <f t="shared" si="45"/>
        <v>-1.3014421385860064E-2</v>
      </c>
      <c r="E2945" s="49"/>
    </row>
    <row r="2946" spans="1:5" ht="14.4">
      <c r="A2946" s="136">
        <v>40297</v>
      </c>
      <c r="B2946" s="137">
        <v>14.215</v>
      </c>
      <c r="C2946" s="133"/>
      <c r="D2946" s="50">
        <f t="shared" si="45"/>
        <v>1.9727403156384549E-2</v>
      </c>
      <c r="E2946" s="49"/>
    </row>
    <row r="2947" spans="1:5" ht="14.4">
      <c r="A2947" s="136">
        <v>40296</v>
      </c>
      <c r="B2947" s="137">
        <v>13.94</v>
      </c>
      <c r="C2947" s="133"/>
      <c r="D2947" s="50">
        <f t="shared" si="45"/>
        <v>-6.768792304951976E-3</v>
      </c>
      <c r="E2947" s="49"/>
    </row>
    <row r="2948" spans="1:5" ht="14.4">
      <c r="A2948" s="136">
        <v>40295</v>
      </c>
      <c r="B2948" s="137">
        <v>14.035</v>
      </c>
      <c r="C2948" s="133"/>
      <c r="D2948" s="50">
        <f t="shared" si="45"/>
        <v>-3.7709976002742618E-2</v>
      </c>
      <c r="E2948" s="49"/>
    </row>
    <row r="2949" spans="1:5" ht="14.4">
      <c r="A2949" s="136">
        <v>40294</v>
      </c>
      <c r="B2949" s="137">
        <v>14.585000000000001</v>
      </c>
      <c r="C2949" s="133"/>
      <c r="D2949" s="50">
        <f t="shared" si="45"/>
        <v>4.8225973131243993E-3</v>
      </c>
      <c r="E2949" s="49"/>
    </row>
    <row r="2950" spans="1:5" ht="14.4">
      <c r="A2950" s="136">
        <v>40291</v>
      </c>
      <c r="B2950" s="137">
        <v>14.515000000000001</v>
      </c>
      <c r="C2950" s="133"/>
      <c r="D2950" s="50">
        <f t="shared" si="45"/>
        <v>1.0442046641141678E-2</v>
      </c>
      <c r="E2950" s="49"/>
    </row>
    <row r="2951" spans="1:5" ht="14.4">
      <c r="A2951" s="136">
        <v>40290</v>
      </c>
      <c r="B2951" s="137">
        <v>14.365</v>
      </c>
      <c r="C2951" s="133"/>
      <c r="D2951" s="50">
        <f t="shared" si="45"/>
        <v>-1.4746227709190651E-2</v>
      </c>
      <c r="E2951" s="49"/>
    </row>
    <row r="2952" spans="1:5" ht="14.4">
      <c r="A2952" s="136">
        <v>40289</v>
      </c>
      <c r="B2952" s="137">
        <v>14.58</v>
      </c>
      <c r="C2952" s="133"/>
      <c r="D2952" s="50">
        <f t="shared" ref="D2952:D3015" si="46">(B2952-C2952)/B2953-1</f>
        <v>-3.7581141100102577E-3</v>
      </c>
      <c r="E2952" s="49"/>
    </row>
    <row r="2953" spans="1:5" ht="14.4">
      <c r="A2953" s="136">
        <v>40288</v>
      </c>
      <c r="B2953" s="137">
        <v>14.635</v>
      </c>
      <c r="C2953" s="133"/>
      <c r="D2953" s="50">
        <f t="shared" si="46"/>
        <v>1.5261879986125715E-2</v>
      </c>
      <c r="E2953" s="49"/>
    </row>
    <row r="2954" spans="1:5" ht="14.4">
      <c r="A2954" s="136">
        <v>40287</v>
      </c>
      <c r="B2954" s="137">
        <v>14.414999999999999</v>
      </c>
      <c r="C2954" s="133"/>
      <c r="D2954" s="50">
        <f t="shared" si="46"/>
        <v>-1.3347022587269053E-2</v>
      </c>
      <c r="E2954" s="49"/>
    </row>
    <row r="2955" spans="1:5" ht="14.4">
      <c r="A2955" s="136">
        <v>40284</v>
      </c>
      <c r="B2955" s="137">
        <v>14.61</v>
      </c>
      <c r="C2955" s="133"/>
      <c r="D2955" s="50">
        <f t="shared" si="46"/>
        <v>-1.0497798848628559E-2</v>
      </c>
      <c r="E2955" s="49"/>
    </row>
    <row r="2956" spans="1:5" ht="14.4">
      <c r="A2956" s="136">
        <v>40283</v>
      </c>
      <c r="B2956" s="137">
        <v>14.765000000000001</v>
      </c>
      <c r="C2956" s="133"/>
      <c r="D2956" s="50">
        <f t="shared" si="46"/>
        <v>4.4217687074830092E-3</v>
      </c>
      <c r="E2956" s="49"/>
    </row>
    <row r="2957" spans="1:5" ht="14.4">
      <c r="A2957" s="136">
        <v>40282</v>
      </c>
      <c r="B2957" s="137">
        <v>14.7</v>
      </c>
      <c r="C2957" s="133"/>
      <c r="D2957" s="50">
        <f t="shared" si="46"/>
        <v>1.2745435756114309E-2</v>
      </c>
      <c r="E2957" s="49"/>
    </row>
    <row r="2958" spans="1:5" ht="14.4">
      <c r="A2958" s="136">
        <v>40281</v>
      </c>
      <c r="B2958" s="137">
        <v>14.515000000000001</v>
      </c>
      <c r="C2958" s="133"/>
      <c r="D2958" s="50">
        <f t="shared" si="46"/>
        <v>-1.7597292724196301E-2</v>
      </c>
      <c r="E2958" s="49"/>
    </row>
    <row r="2959" spans="1:5" ht="14.4">
      <c r="A2959" s="136">
        <v>40280</v>
      </c>
      <c r="B2959" s="137">
        <v>14.775</v>
      </c>
      <c r="C2959" s="133"/>
      <c r="D2959" s="50">
        <f t="shared" si="46"/>
        <v>-8.3892617449664586E-3</v>
      </c>
      <c r="E2959" s="49"/>
    </row>
    <row r="2960" spans="1:5" ht="14.4">
      <c r="A2960" s="136">
        <v>40277</v>
      </c>
      <c r="B2960" s="137">
        <v>14.9</v>
      </c>
      <c r="C2960" s="133"/>
      <c r="D2960" s="50">
        <f t="shared" si="46"/>
        <v>2.4759284731774578E-2</v>
      </c>
      <c r="E2960" s="49"/>
    </row>
    <row r="2961" spans="1:5" ht="14.4">
      <c r="A2961" s="136">
        <v>40276</v>
      </c>
      <c r="B2961" s="137">
        <v>14.54</v>
      </c>
      <c r="C2961" s="133"/>
      <c r="D2961" s="50">
        <f t="shared" si="46"/>
        <v>-3.0020013342228258E-2</v>
      </c>
      <c r="E2961" s="49"/>
    </row>
    <row r="2962" spans="1:5" ht="14.4">
      <c r="A2962" s="136">
        <v>40275</v>
      </c>
      <c r="B2962" s="137">
        <v>14.99</v>
      </c>
      <c r="C2962" s="133"/>
      <c r="D2962" s="50">
        <f t="shared" si="46"/>
        <v>-1.0234400792340614E-2</v>
      </c>
      <c r="E2962" s="49"/>
    </row>
    <row r="2963" spans="1:5" ht="14.4">
      <c r="A2963" s="136">
        <v>40274</v>
      </c>
      <c r="B2963" s="137">
        <v>15.145</v>
      </c>
      <c r="C2963" s="133"/>
      <c r="D2963" s="50">
        <f t="shared" si="46"/>
        <v>-6.5595277140045871E-3</v>
      </c>
      <c r="E2963" s="49"/>
    </row>
    <row r="2964" spans="1:5" ht="14.4">
      <c r="A2964" s="136">
        <v>40269</v>
      </c>
      <c r="B2964" s="137">
        <v>15.244999999999999</v>
      </c>
      <c r="C2964" s="133"/>
      <c r="D2964" s="50">
        <f t="shared" si="46"/>
        <v>2.3497818059751596E-2</v>
      </c>
      <c r="E2964" s="49"/>
    </row>
    <row r="2965" spans="1:5" ht="14.4">
      <c r="A2965" s="136">
        <v>40268</v>
      </c>
      <c r="B2965" s="137">
        <v>14.895</v>
      </c>
      <c r="C2965" s="133"/>
      <c r="D2965" s="50">
        <f t="shared" si="46"/>
        <v>1.0080645161290036E-3</v>
      </c>
      <c r="E2965" s="49"/>
    </row>
    <row r="2966" spans="1:5" ht="14.4">
      <c r="A2966" s="136">
        <v>40267</v>
      </c>
      <c r="B2966" s="137">
        <v>14.88</v>
      </c>
      <c r="C2966" s="133"/>
      <c r="D2966" s="50">
        <f t="shared" si="46"/>
        <v>-2.7768703038222764E-2</v>
      </c>
      <c r="E2966" s="49"/>
    </row>
    <row r="2967" spans="1:5" ht="14.4">
      <c r="A2967" s="136">
        <v>40266</v>
      </c>
      <c r="B2967" s="137">
        <v>15.305</v>
      </c>
      <c r="C2967" s="133"/>
      <c r="D2967" s="50">
        <f t="shared" si="46"/>
        <v>-1.3050570962479524E-3</v>
      </c>
      <c r="E2967" s="49"/>
    </row>
    <row r="2968" spans="1:5" ht="14.4">
      <c r="A2968" s="136">
        <v>40263</v>
      </c>
      <c r="B2968" s="137">
        <v>15.324999999999999</v>
      </c>
      <c r="C2968" s="133"/>
      <c r="D2968" s="50">
        <f t="shared" si="46"/>
        <v>3.9305601048149619E-3</v>
      </c>
      <c r="E2968" s="49"/>
    </row>
    <row r="2969" spans="1:5" ht="14.4">
      <c r="A2969" s="136">
        <v>40262</v>
      </c>
      <c r="B2969" s="137">
        <v>15.265000000000001</v>
      </c>
      <c r="C2969" s="133"/>
      <c r="D2969" s="50">
        <f t="shared" si="46"/>
        <v>6.926121372031746E-3</v>
      </c>
      <c r="E2969" s="49"/>
    </row>
    <row r="2970" spans="1:5" ht="14.4">
      <c r="A2970" s="136">
        <v>40261</v>
      </c>
      <c r="B2970" s="137">
        <v>15.16</v>
      </c>
      <c r="C2970" s="133"/>
      <c r="D2970" s="50">
        <f t="shared" si="46"/>
        <v>3.1994554118447871E-2</v>
      </c>
      <c r="E2970" s="49"/>
    </row>
    <row r="2971" spans="1:5" ht="14.4">
      <c r="A2971" s="136">
        <v>40260</v>
      </c>
      <c r="B2971" s="137">
        <v>14.69</v>
      </c>
      <c r="C2971" s="133"/>
      <c r="D2971" s="50">
        <f t="shared" si="46"/>
        <v>-2.0666666666666722E-2</v>
      </c>
      <c r="E2971" s="49"/>
    </row>
    <row r="2972" spans="1:5" ht="14.4">
      <c r="A2972" s="136">
        <v>40259</v>
      </c>
      <c r="B2972" s="137">
        <v>15</v>
      </c>
      <c r="C2972" s="133"/>
      <c r="D2972" s="50">
        <f t="shared" si="46"/>
        <v>1.1463250168577188E-2</v>
      </c>
      <c r="E2972" s="49"/>
    </row>
    <row r="2973" spans="1:5" ht="14.4">
      <c r="A2973" s="136">
        <v>40256</v>
      </c>
      <c r="B2973" s="137">
        <v>14.83</v>
      </c>
      <c r="C2973" s="133"/>
      <c r="D2973" s="50">
        <f t="shared" si="46"/>
        <v>1.021798365122617E-2</v>
      </c>
      <c r="E2973" s="49"/>
    </row>
    <row r="2974" spans="1:5" ht="14.4">
      <c r="A2974" s="136">
        <v>40255</v>
      </c>
      <c r="B2974" s="137">
        <v>14.68</v>
      </c>
      <c r="C2974" s="133"/>
      <c r="D2974" s="50">
        <f t="shared" si="46"/>
        <v>1.3812154696132506E-2</v>
      </c>
      <c r="E2974" s="49"/>
    </row>
    <row r="2975" spans="1:5" ht="14.4">
      <c r="A2975" s="136">
        <v>40254</v>
      </c>
      <c r="B2975" s="137">
        <v>14.48</v>
      </c>
      <c r="C2975" s="133"/>
      <c r="D2975" s="50">
        <f t="shared" si="46"/>
        <v>-1.0928961748633892E-2</v>
      </c>
      <c r="E2975" s="49"/>
    </row>
    <row r="2976" spans="1:5" ht="14.4">
      <c r="A2976" s="136">
        <v>40253</v>
      </c>
      <c r="B2976" s="137">
        <v>14.64</v>
      </c>
      <c r="C2976" s="133"/>
      <c r="D2976" s="50">
        <f t="shared" si="46"/>
        <v>-1.0235414534287557E-3</v>
      </c>
      <c r="E2976" s="49"/>
    </row>
    <row r="2977" spans="1:5" ht="14.4">
      <c r="A2977" s="136">
        <v>40252</v>
      </c>
      <c r="B2977" s="137">
        <v>14.654999999999999</v>
      </c>
      <c r="C2977" s="133"/>
      <c r="D2977" s="50">
        <f t="shared" si="46"/>
        <v>-1.3628620102215105E-3</v>
      </c>
      <c r="E2977" s="49"/>
    </row>
    <row r="2978" spans="1:5" ht="14.4">
      <c r="A2978" s="136">
        <v>40249</v>
      </c>
      <c r="B2978" s="137">
        <v>14.675000000000001</v>
      </c>
      <c r="C2978" s="133"/>
      <c r="D2978" s="50">
        <f t="shared" si="46"/>
        <v>-1.1784511784511675E-2</v>
      </c>
      <c r="E2978" s="49"/>
    </row>
    <row r="2979" spans="1:5" ht="14.4">
      <c r="A2979" s="136">
        <v>40248</v>
      </c>
      <c r="B2979" s="137">
        <v>14.85</v>
      </c>
      <c r="C2979" s="133"/>
      <c r="D2979" s="50">
        <f t="shared" si="46"/>
        <v>-2.7823240589198051E-2</v>
      </c>
      <c r="E2979" s="49"/>
    </row>
    <row r="2980" spans="1:5" ht="14.4">
      <c r="A2980" s="136">
        <v>40247</v>
      </c>
      <c r="B2980" s="137">
        <v>15.275</v>
      </c>
      <c r="C2980" s="133"/>
      <c r="D2980" s="50">
        <f t="shared" si="46"/>
        <v>-1.0366051182377767E-2</v>
      </c>
      <c r="E2980" s="49"/>
    </row>
    <row r="2981" spans="1:5" ht="14.4">
      <c r="A2981" s="136">
        <v>40246</v>
      </c>
      <c r="B2981" s="137">
        <v>15.435</v>
      </c>
      <c r="C2981" s="133"/>
      <c r="D2981" s="50">
        <f t="shared" si="46"/>
        <v>-2.8022670025188878E-2</v>
      </c>
      <c r="E2981" s="49"/>
    </row>
    <row r="2982" spans="1:5" ht="14.4">
      <c r="A2982" s="136">
        <v>40245</v>
      </c>
      <c r="B2982" s="137">
        <v>15.88</v>
      </c>
      <c r="C2982" s="133"/>
      <c r="D2982" s="50">
        <f t="shared" si="46"/>
        <v>-4.7007207771857518E-3</v>
      </c>
      <c r="E2982" s="49"/>
    </row>
    <row r="2983" spans="1:5" ht="14.4">
      <c r="A2983" s="136">
        <v>40242</v>
      </c>
      <c r="B2983" s="137">
        <v>15.955</v>
      </c>
      <c r="C2983" s="133"/>
      <c r="D2983" s="50">
        <f t="shared" si="46"/>
        <v>1.9814637264301771E-2</v>
      </c>
      <c r="E2983" s="49"/>
    </row>
    <row r="2984" spans="1:5" ht="14.4">
      <c r="A2984" s="136">
        <v>40241</v>
      </c>
      <c r="B2984" s="137">
        <v>15.645</v>
      </c>
      <c r="C2984" s="133"/>
      <c r="D2984" s="50">
        <f t="shared" si="46"/>
        <v>1.0332579916047857E-2</v>
      </c>
      <c r="E2984" s="49"/>
    </row>
    <row r="2985" spans="1:5" ht="14.4">
      <c r="A2985" s="136">
        <v>40240</v>
      </c>
      <c r="B2985" s="137">
        <v>15.484999999999999</v>
      </c>
      <c r="C2985" s="133"/>
      <c r="D2985" s="50">
        <f t="shared" si="46"/>
        <v>2.5898348980251118E-3</v>
      </c>
      <c r="E2985" s="49"/>
    </row>
    <row r="2986" spans="1:5" ht="14.4">
      <c r="A2986" s="136">
        <v>40239</v>
      </c>
      <c r="B2986" s="137">
        <v>15.445</v>
      </c>
      <c r="C2986" s="133"/>
      <c r="D2986" s="50">
        <f t="shared" si="46"/>
        <v>5.2066384640416796E-3</v>
      </c>
      <c r="E2986" s="49"/>
    </row>
    <row r="2987" spans="1:5" ht="14.4">
      <c r="A2987" s="136">
        <v>40238</v>
      </c>
      <c r="B2987" s="137">
        <v>15.365</v>
      </c>
      <c r="C2987" s="133"/>
      <c r="D2987" s="50">
        <f t="shared" si="46"/>
        <v>1.3856812933025431E-2</v>
      </c>
      <c r="E2987" s="49"/>
    </row>
    <row r="2988" spans="1:5" ht="14.4">
      <c r="A2988" s="136">
        <v>40235</v>
      </c>
      <c r="B2988" s="137">
        <v>15.154999999999999</v>
      </c>
      <c r="C2988" s="133"/>
      <c r="D2988" s="50">
        <f t="shared" si="46"/>
        <v>4.3014452856159568E-2</v>
      </c>
      <c r="E2988" s="49"/>
    </row>
    <row r="2989" spans="1:5" ht="14.4">
      <c r="A2989" s="136">
        <v>40234</v>
      </c>
      <c r="B2989" s="137">
        <v>14.53</v>
      </c>
      <c r="C2989" s="133"/>
      <c r="D2989" s="50">
        <f t="shared" si="46"/>
        <v>-1.3912453342382114E-2</v>
      </c>
      <c r="E2989" s="49"/>
    </row>
    <row r="2990" spans="1:5" ht="14.4">
      <c r="A2990" s="136">
        <v>40233</v>
      </c>
      <c r="B2990" s="137">
        <v>14.734999999999999</v>
      </c>
      <c r="C2990" s="133"/>
      <c r="D2990" s="50">
        <f t="shared" si="46"/>
        <v>-2.0604852110335692E-2</v>
      </c>
      <c r="E2990" s="49"/>
    </row>
    <row r="2991" spans="1:5" ht="14.4">
      <c r="A2991" s="136">
        <v>40232</v>
      </c>
      <c r="B2991" s="137">
        <v>15.045</v>
      </c>
      <c r="C2991" s="133"/>
      <c r="D2991" s="50">
        <f t="shared" si="46"/>
        <v>1.1768661735036989E-2</v>
      </c>
      <c r="E2991" s="49"/>
    </row>
    <row r="2992" spans="1:5" ht="14.4">
      <c r="A2992" s="136">
        <v>40231</v>
      </c>
      <c r="B2992" s="137">
        <v>14.87</v>
      </c>
      <c r="C2992" s="133"/>
      <c r="D2992" s="50">
        <f t="shared" si="46"/>
        <v>3.3636057854002921E-4</v>
      </c>
      <c r="E2992" s="49"/>
    </row>
    <row r="2993" spans="1:5" ht="14.4">
      <c r="A2993" s="136">
        <v>40228</v>
      </c>
      <c r="B2993" s="137">
        <v>14.865</v>
      </c>
      <c r="C2993" s="133"/>
      <c r="D2993" s="50">
        <f t="shared" si="46"/>
        <v>1.3983628922237479E-2</v>
      </c>
      <c r="E2993" s="49"/>
    </row>
    <row r="2994" spans="1:5" ht="14.4">
      <c r="A2994" s="136">
        <v>40227</v>
      </c>
      <c r="B2994" s="137">
        <v>14.66</v>
      </c>
      <c r="C2994" s="133"/>
      <c r="D2994" s="50">
        <f t="shared" si="46"/>
        <v>1.2430939226519389E-2</v>
      </c>
      <c r="E2994" s="49"/>
    </row>
    <row r="2995" spans="1:5" ht="14.4">
      <c r="A2995" s="136">
        <v>40226</v>
      </c>
      <c r="B2995" s="137">
        <v>14.48</v>
      </c>
      <c r="C2995" s="133"/>
      <c r="D2995" s="50">
        <f t="shared" si="46"/>
        <v>4.9655672345052526E-2</v>
      </c>
      <c r="E2995" s="49"/>
    </row>
    <row r="2996" spans="1:5" ht="14.4">
      <c r="A2996" s="136">
        <v>40225</v>
      </c>
      <c r="B2996" s="137">
        <v>13.795</v>
      </c>
      <c r="C2996" s="133"/>
      <c r="D2996" s="50">
        <f t="shared" si="46"/>
        <v>1.8081180811807984E-2</v>
      </c>
      <c r="E2996" s="49"/>
    </row>
    <row r="2997" spans="1:5" ht="14.4">
      <c r="A2997" s="136">
        <v>40224</v>
      </c>
      <c r="B2997" s="137">
        <v>13.55</v>
      </c>
      <c r="C2997" s="133"/>
      <c r="D2997" s="50">
        <f t="shared" si="46"/>
        <v>-1.4545454545454528E-2</v>
      </c>
      <c r="E2997" s="49"/>
    </row>
    <row r="2998" spans="1:5" ht="14.4">
      <c r="A2998" s="136">
        <v>40221</v>
      </c>
      <c r="B2998" s="137">
        <v>13.75</v>
      </c>
      <c r="C2998" s="133"/>
      <c r="D2998" s="50">
        <f t="shared" si="46"/>
        <v>1.4566642388929019E-3</v>
      </c>
      <c r="E2998" s="49"/>
    </row>
    <row r="2999" spans="1:5" ht="14.4">
      <c r="A2999" s="136">
        <v>40220</v>
      </c>
      <c r="B2999" s="137">
        <v>13.73</v>
      </c>
      <c r="C2999" s="133"/>
      <c r="D2999" s="50">
        <f t="shared" si="46"/>
        <v>-4.7118521203334263E-3</v>
      </c>
      <c r="E2999" s="49"/>
    </row>
    <row r="3000" spans="1:5" ht="14.4">
      <c r="A3000" s="136">
        <v>40219</v>
      </c>
      <c r="B3000" s="137">
        <v>13.795</v>
      </c>
      <c r="C3000" s="133"/>
      <c r="D3000" s="50">
        <f t="shared" si="46"/>
        <v>-7.243752263672576E-4</v>
      </c>
      <c r="E3000" s="49"/>
    </row>
    <row r="3001" spans="1:5" ht="14.4">
      <c r="A3001" s="136">
        <v>40218</v>
      </c>
      <c r="B3001" s="137">
        <v>13.805</v>
      </c>
      <c r="C3001" s="133"/>
      <c r="D3001" s="50">
        <f t="shared" si="46"/>
        <v>-1.4632405424696682E-2</v>
      </c>
      <c r="E3001" s="49"/>
    </row>
    <row r="3002" spans="1:5" ht="14.4">
      <c r="A3002" s="136">
        <v>40217</v>
      </c>
      <c r="B3002" s="137">
        <v>14.01</v>
      </c>
      <c r="C3002" s="133"/>
      <c r="D3002" s="50">
        <f t="shared" si="46"/>
        <v>-6.382978723404209E-3</v>
      </c>
      <c r="E3002" s="49"/>
    </row>
    <row r="3003" spans="1:5" ht="14.4">
      <c r="A3003" s="136">
        <v>40214</v>
      </c>
      <c r="B3003" s="137">
        <v>14.1</v>
      </c>
      <c r="C3003" s="133"/>
      <c r="D3003" s="50">
        <f t="shared" si="46"/>
        <v>-1.0526315789473717E-2</v>
      </c>
      <c r="E3003" s="49"/>
    </row>
    <row r="3004" spans="1:5" ht="14.4">
      <c r="A3004" s="136">
        <v>40213</v>
      </c>
      <c r="B3004" s="137">
        <v>14.25</v>
      </c>
      <c r="C3004" s="133"/>
      <c r="D3004" s="50">
        <f t="shared" si="46"/>
        <v>-2.5641025641025661E-2</v>
      </c>
      <c r="E3004" s="49"/>
    </row>
    <row r="3005" spans="1:5" ht="14.4">
      <c r="A3005" s="136">
        <v>40212</v>
      </c>
      <c r="B3005" s="137">
        <v>14.625</v>
      </c>
      <c r="C3005" s="133"/>
      <c r="D3005" s="50">
        <f t="shared" si="46"/>
        <v>1.0266940451746365E-3</v>
      </c>
      <c r="E3005" s="49"/>
    </row>
    <row r="3006" spans="1:5" ht="14.4">
      <c r="A3006" s="136">
        <v>40211</v>
      </c>
      <c r="B3006" s="137">
        <v>14.61</v>
      </c>
      <c r="C3006" s="133"/>
      <c r="D3006" s="50">
        <f t="shared" si="46"/>
        <v>2.3467600700525226E-2</v>
      </c>
      <c r="E3006" s="49"/>
    </row>
    <row r="3007" spans="1:5" ht="14.4">
      <c r="A3007" s="136">
        <v>40210</v>
      </c>
      <c r="B3007" s="137">
        <v>14.275</v>
      </c>
      <c r="C3007" s="133"/>
      <c r="D3007" s="50">
        <f t="shared" si="46"/>
        <v>5.2816901408452299E-3</v>
      </c>
      <c r="E3007" s="49"/>
    </row>
    <row r="3008" spans="1:5" ht="14.4">
      <c r="A3008" s="136">
        <v>40207</v>
      </c>
      <c r="B3008" s="137">
        <v>14.2</v>
      </c>
      <c r="C3008" s="133"/>
      <c r="D3008" s="50">
        <f t="shared" si="46"/>
        <v>3.085299455535373E-2</v>
      </c>
      <c r="E3008" s="49"/>
    </row>
    <row r="3009" spans="1:5" ht="14.4">
      <c r="A3009" s="136">
        <v>40206</v>
      </c>
      <c r="B3009" s="137">
        <v>13.775</v>
      </c>
      <c r="C3009" s="133"/>
      <c r="D3009" s="50">
        <f t="shared" si="46"/>
        <v>-1.4498006524102935E-3</v>
      </c>
      <c r="E3009" s="49"/>
    </row>
    <row r="3010" spans="1:5" ht="14.4">
      <c r="A3010" s="136">
        <v>40205</v>
      </c>
      <c r="B3010" s="137">
        <v>13.795</v>
      </c>
      <c r="C3010" s="133"/>
      <c r="D3010" s="50">
        <f t="shared" si="46"/>
        <v>-1.5346181299072059E-2</v>
      </c>
      <c r="E3010" s="49"/>
    </row>
    <row r="3011" spans="1:5" ht="14.4">
      <c r="A3011" s="136">
        <v>40204</v>
      </c>
      <c r="B3011" s="137">
        <v>14.01</v>
      </c>
      <c r="C3011" s="133"/>
      <c r="D3011" s="50">
        <f t="shared" si="46"/>
        <v>3.9412396990325949E-3</v>
      </c>
      <c r="E3011" s="49"/>
    </row>
    <row r="3012" spans="1:5" ht="14.4">
      <c r="A3012" s="136">
        <v>40203</v>
      </c>
      <c r="B3012" s="137">
        <v>13.955</v>
      </c>
      <c r="C3012" s="133"/>
      <c r="D3012" s="50">
        <f t="shared" si="46"/>
        <v>-1.6214310891787154E-2</v>
      </c>
      <c r="E3012" s="49"/>
    </row>
    <row r="3013" spans="1:5" ht="14.4">
      <c r="A3013" s="136">
        <v>40200</v>
      </c>
      <c r="B3013" s="137">
        <v>14.185</v>
      </c>
      <c r="C3013" s="133"/>
      <c r="D3013" s="50">
        <f t="shared" si="46"/>
        <v>-1.4930555555555558E-2</v>
      </c>
      <c r="E3013" s="49"/>
    </row>
    <row r="3014" spans="1:5" ht="14.4">
      <c r="A3014" s="136">
        <v>40199</v>
      </c>
      <c r="B3014" s="137">
        <v>14.4</v>
      </c>
      <c r="C3014" s="133"/>
      <c r="D3014" s="50">
        <f t="shared" si="46"/>
        <v>-2.8012149848126833E-2</v>
      </c>
      <c r="E3014" s="49"/>
    </row>
    <row r="3015" spans="1:5" ht="14.4">
      <c r="A3015" s="136">
        <v>40198</v>
      </c>
      <c r="B3015" s="137">
        <v>14.815</v>
      </c>
      <c r="C3015" s="133"/>
      <c r="D3015" s="50">
        <f t="shared" si="46"/>
        <v>6.7544748395809151E-4</v>
      </c>
      <c r="E3015" s="49"/>
    </row>
    <row r="3016" spans="1:5" ht="14.4">
      <c r="A3016" s="136">
        <v>40197</v>
      </c>
      <c r="B3016" s="137">
        <v>14.805</v>
      </c>
      <c r="C3016" s="133"/>
      <c r="D3016" s="50">
        <f t="shared" ref="D3016:D3079" si="47">(B3016-C3016)/B3017-1</f>
        <v>6.4581917063222249E-3</v>
      </c>
      <c r="E3016" s="49"/>
    </row>
    <row r="3017" spans="1:5" ht="14.4">
      <c r="A3017" s="136">
        <v>40196</v>
      </c>
      <c r="B3017" s="137">
        <v>14.71</v>
      </c>
      <c r="C3017" s="133"/>
      <c r="D3017" s="50">
        <f t="shared" si="47"/>
        <v>1.9404019404019479E-2</v>
      </c>
      <c r="E3017" s="49"/>
    </row>
    <row r="3018" spans="1:5" ht="14.4">
      <c r="A3018" s="136">
        <v>40193</v>
      </c>
      <c r="B3018" s="137">
        <v>14.43</v>
      </c>
      <c r="C3018" s="133"/>
      <c r="D3018" s="50">
        <f t="shared" si="47"/>
        <v>1.4054813773717534E-2</v>
      </c>
      <c r="E3018" s="49"/>
    </row>
    <row r="3019" spans="1:5" ht="14.4">
      <c r="A3019" s="136">
        <v>40192</v>
      </c>
      <c r="B3019" s="137">
        <v>14.23</v>
      </c>
      <c r="C3019" s="133"/>
      <c r="D3019" s="50">
        <f t="shared" si="47"/>
        <v>8.862105636299189E-3</v>
      </c>
      <c r="E3019" s="49"/>
    </row>
    <row r="3020" spans="1:5" ht="14.4">
      <c r="A3020" s="136">
        <v>40191</v>
      </c>
      <c r="B3020" s="137">
        <v>14.105</v>
      </c>
      <c r="C3020" s="133"/>
      <c r="D3020" s="50">
        <f t="shared" si="47"/>
        <v>3.5460992907809796E-4</v>
      </c>
      <c r="E3020" s="49"/>
    </row>
    <row r="3021" spans="1:5" ht="14.4">
      <c r="A3021" s="136">
        <v>40190</v>
      </c>
      <c r="B3021" s="137">
        <v>14.1</v>
      </c>
      <c r="C3021" s="133"/>
      <c r="D3021" s="50">
        <f t="shared" si="47"/>
        <v>-2.6243093922652005E-2</v>
      </c>
      <c r="E3021" s="49"/>
    </row>
    <row r="3022" spans="1:5" ht="14.4">
      <c r="A3022" s="136">
        <v>40189</v>
      </c>
      <c r="B3022" s="137">
        <v>14.48</v>
      </c>
      <c r="C3022" s="133"/>
      <c r="D3022" s="50">
        <f t="shared" si="47"/>
        <v>9.0592334494774551E-3</v>
      </c>
      <c r="E3022" s="49"/>
    </row>
    <row r="3023" spans="1:5" ht="14.4">
      <c r="A3023" s="136">
        <v>40186</v>
      </c>
      <c r="B3023" s="137">
        <v>14.35</v>
      </c>
      <c r="C3023" s="133"/>
      <c r="D3023" s="50">
        <f t="shared" si="47"/>
        <v>9.8522167487684609E-3</v>
      </c>
      <c r="E3023" s="49"/>
    </row>
    <row r="3024" spans="1:5" ht="14.4">
      <c r="A3024" s="136">
        <v>40185</v>
      </c>
      <c r="B3024" s="137">
        <v>14.21</v>
      </c>
      <c r="C3024" s="133"/>
      <c r="D3024" s="50">
        <f t="shared" si="47"/>
        <v>9.9502487562188602E-3</v>
      </c>
      <c r="E3024" s="49"/>
    </row>
    <row r="3025" spans="1:5" ht="14.4">
      <c r="A3025" s="136">
        <v>40184</v>
      </c>
      <c r="B3025" s="137">
        <v>14.07</v>
      </c>
      <c r="C3025" s="133"/>
      <c r="D3025" s="50">
        <f t="shared" si="47"/>
        <v>8.9637863033344978E-3</v>
      </c>
      <c r="E3025" s="49"/>
    </row>
    <row r="3026" spans="1:5" ht="14.4">
      <c r="A3026" s="136">
        <v>40183</v>
      </c>
      <c r="B3026" s="137">
        <v>13.945</v>
      </c>
      <c r="C3026" s="133"/>
      <c r="D3026" s="50">
        <f t="shared" si="47"/>
        <v>-3.2165832737669486E-3</v>
      </c>
      <c r="E3026" s="49"/>
    </row>
    <row r="3027" spans="1:5" ht="14.4">
      <c r="A3027" s="136">
        <v>40182</v>
      </c>
      <c r="B3027" s="137">
        <v>13.99</v>
      </c>
      <c r="C3027" s="133"/>
      <c r="D3027" s="50">
        <f t="shared" si="47"/>
        <v>-6.7447639332623988E-3</v>
      </c>
      <c r="E3027" s="49"/>
    </row>
    <row r="3028" spans="1:5" ht="14.4">
      <c r="A3028" s="136">
        <v>40178</v>
      </c>
      <c r="B3028" s="137">
        <v>14.085000000000001</v>
      </c>
      <c r="C3028" s="133"/>
      <c r="D3028" s="50">
        <f t="shared" si="47"/>
        <v>2.810218978102208E-2</v>
      </c>
      <c r="E3028" s="49"/>
    </row>
    <row r="3029" spans="1:5" ht="14.4">
      <c r="A3029" s="136">
        <v>40177</v>
      </c>
      <c r="B3029" s="137">
        <v>13.7</v>
      </c>
      <c r="C3029" s="133"/>
      <c r="D3029" s="50">
        <f t="shared" si="47"/>
        <v>-2.1849963583394638E-3</v>
      </c>
      <c r="E3029" s="49"/>
    </row>
    <row r="3030" spans="1:5" ht="14.4">
      <c r="A3030" s="136">
        <v>40176</v>
      </c>
      <c r="B3030" s="137">
        <v>13.73</v>
      </c>
      <c r="C3030" s="133"/>
      <c r="D3030" s="50">
        <f t="shared" si="47"/>
        <v>7.3367571533382581E-3</v>
      </c>
      <c r="E3030" s="49"/>
    </row>
    <row r="3031" spans="1:5" ht="14.4">
      <c r="A3031" s="136">
        <v>40175</v>
      </c>
      <c r="B3031" s="137">
        <v>13.63</v>
      </c>
      <c r="C3031" s="133"/>
      <c r="D3031" s="50">
        <f t="shared" si="47"/>
        <v>7.3421439060217253E-4</v>
      </c>
      <c r="E3031" s="49"/>
    </row>
    <row r="3032" spans="1:5" ht="14.4">
      <c r="A3032" s="136">
        <v>40171</v>
      </c>
      <c r="B3032" s="137">
        <v>13.62</v>
      </c>
      <c r="C3032" s="133"/>
      <c r="D3032" s="50">
        <f t="shared" si="47"/>
        <v>8.1421169504070079E-3</v>
      </c>
      <c r="E3032" s="49"/>
    </row>
    <row r="3033" spans="1:5" ht="14.4">
      <c r="A3033" s="136">
        <v>40170</v>
      </c>
      <c r="B3033" s="137">
        <v>13.51</v>
      </c>
      <c r="C3033" s="133"/>
      <c r="D3033" s="50">
        <f t="shared" si="47"/>
        <v>1.8539117538005634E-3</v>
      </c>
      <c r="E3033" s="49"/>
    </row>
    <row r="3034" spans="1:5" ht="14.4">
      <c r="A3034" s="136">
        <v>40169</v>
      </c>
      <c r="B3034" s="137">
        <v>13.484999999999999</v>
      </c>
      <c r="C3034" s="133"/>
      <c r="D3034" s="50">
        <f t="shared" si="47"/>
        <v>9.3562874251496009E-3</v>
      </c>
      <c r="E3034" s="49"/>
    </row>
    <row r="3035" spans="1:5" ht="14.4">
      <c r="A3035" s="136">
        <v>40168</v>
      </c>
      <c r="B3035" s="137">
        <v>13.36</v>
      </c>
      <c r="C3035" s="133"/>
      <c r="D3035" s="50">
        <f t="shared" si="47"/>
        <v>2.6902382782475032E-2</v>
      </c>
      <c r="E3035" s="49"/>
    </row>
    <row r="3036" spans="1:5" ht="14.4">
      <c r="A3036" s="136">
        <v>40165</v>
      </c>
      <c r="B3036" s="137">
        <v>13.01</v>
      </c>
      <c r="C3036" s="133"/>
      <c r="D3036" s="50">
        <f t="shared" si="47"/>
        <v>5.0212437234453677E-3</v>
      </c>
      <c r="E3036" s="49"/>
    </row>
    <row r="3037" spans="1:5" ht="14.4">
      <c r="A3037" s="136">
        <v>40164</v>
      </c>
      <c r="B3037" s="137">
        <v>12.945</v>
      </c>
      <c r="C3037" s="133"/>
      <c r="D3037" s="50">
        <f t="shared" si="47"/>
        <v>2.3724792408066575E-2</v>
      </c>
      <c r="E3037" s="49"/>
    </row>
    <row r="3038" spans="1:5" ht="14.4">
      <c r="A3038" s="136">
        <v>40163</v>
      </c>
      <c r="B3038" s="137">
        <v>12.645</v>
      </c>
      <c r="C3038" s="133"/>
      <c r="D3038" s="50">
        <f t="shared" si="47"/>
        <v>1.0791366906474753E-2</v>
      </c>
      <c r="E3038" s="49"/>
    </row>
    <row r="3039" spans="1:5" ht="14.4">
      <c r="A3039" s="136">
        <v>40162</v>
      </c>
      <c r="B3039" s="137">
        <v>12.51</v>
      </c>
      <c r="C3039" s="133"/>
      <c r="D3039" s="50">
        <f t="shared" si="47"/>
        <v>5.222981116914438E-3</v>
      </c>
      <c r="E3039" s="49"/>
    </row>
    <row r="3040" spans="1:5" ht="14.4">
      <c r="A3040" s="136">
        <v>40161</v>
      </c>
      <c r="B3040" s="137">
        <v>12.445</v>
      </c>
      <c r="C3040" s="133"/>
      <c r="D3040" s="50">
        <f t="shared" si="47"/>
        <v>6.4698746461786527E-3</v>
      </c>
      <c r="E3040" s="49"/>
    </row>
    <row r="3041" spans="1:5" ht="14.4">
      <c r="A3041" s="136">
        <v>40158</v>
      </c>
      <c r="B3041" s="137">
        <v>12.365</v>
      </c>
      <c r="C3041" s="133"/>
      <c r="D3041" s="50">
        <f t="shared" si="47"/>
        <v>1.9793814432989665E-2</v>
      </c>
      <c r="E3041" s="49"/>
    </row>
    <row r="3042" spans="1:5" ht="14.4">
      <c r="A3042" s="136">
        <v>40157</v>
      </c>
      <c r="B3042" s="137">
        <v>12.125</v>
      </c>
      <c r="C3042" s="133"/>
      <c r="D3042" s="50">
        <f t="shared" si="47"/>
        <v>-2.46812011517894E-3</v>
      </c>
      <c r="E3042" s="49"/>
    </row>
    <row r="3043" spans="1:5" ht="14.4">
      <c r="A3043" s="136">
        <v>40156</v>
      </c>
      <c r="B3043" s="137">
        <v>12.154999999999999</v>
      </c>
      <c r="C3043" s="133"/>
      <c r="D3043" s="50">
        <f t="shared" si="47"/>
        <v>-1.017915309446249E-2</v>
      </c>
      <c r="E3043" s="49"/>
    </row>
    <row r="3044" spans="1:5" ht="14.4">
      <c r="A3044" s="136">
        <v>40155</v>
      </c>
      <c r="B3044" s="137">
        <v>12.28</v>
      </c>
      <c r="C3044" s="133"/>
      <c r="D3044" s="50">
        <f t="shared" si="47"/>
        <v>-1.4050582095543995E-2</v>
      </c>
      <c r="E3044" s="49"/>
    </row>
    <row r="3045" spans="1:5" ht="14.4">
      <c r="A3045" s="136">
        <v>40154</v>
      </c>
      <c r="B3045" s="137">
        <v>12.455</v>
      </c>
      <c r="C3045" s="133"/>
      <c r="D3045" s="50">
        <f t="shared" si="47"/>
        <v>6.0581583198706657E-3</v>
      </c>
      <c r="E3045" s="49"/>
    </row>
    <row r="3046" spans="1:5" ht="14.4">
      <c r="A3046" s="136">
        <v>40151</v>
      </c>
      <c r="B3046" s="137">
        <v>12.38</v>
      </c>
      <c r="C3046" s="133"/>
      <c r="D3046" s="50">
        <f t="shared" si="47"/>
        <v>3.8590604026845776E-2</v>
      </c>
      <c r="E3046" s="49"/>
    </row>
    <row r="3047" spans="1:5" ht="14.4">
      <c r="A3047" s="136">
        <v>40150</v>
      </c>
      <c r="B3047" s="137">
        <v>11.92</v>
      </c>
      <c r="C3047" s="133"/>
      <c r="D3047" s="50">
        <f t="shared" si="47"/>
        <v>2.2298456260720467E-2</v>
      </c>
      <c r="E3047" s="49"/>
    </row>
    <row r="3048" spans="1:5" ht="14.4">
      <c r="A3048" s="136">
        <v>40149</v>
      </c>
      <c r="B3048" s="137">
        <v>11.66</v>
      </c>
      <c r="C3048" s="133"/>
      <c r="D3048" s="50">
        <f t="shared" si="47"/>
        <v>8.5836909871250811E-4</v>
      </c>
      <c r="E3048" s="49"/>
    </row>
    <row r="3049" spans="1:5" ht="14.4">
      <c r="A3049" s="136">
        <v>40148</v>
      </c>
      <c r="B3049" s="137">
        <v>11.65</v>
      </c>
      <c r="C3049" s="133"/>
      <c r="D3049" s="50">
        <f t="shared" si="47"/>
        <v>-2.2240872849349502E-2</v>
      </c>
      <c r="E3049" s="49"/>
    </row>
    <row r="3050" spans="1:5" ht="14.4">
      <c r="A3050" s="136">
        <v>40147</v>
      </c>
      <c r="B3050" s="137">
        <v>11.914999999999999</v>
      </c>
      <c r="C3050" s="133"/>
      <c r="D3050" s="50">
        <f t="shared" si="47"/>
        <v>-5.4257095158598556E-3</v>
      </c>
      <c r="E3050" s="49"/>
    </row>
    <row r="3051" spans="1:5" ht="14.4">
      <c r="A3051" s="136">
        <v>40144</v>
      </c>
      <c r="B3051" s="137">
        <v>11.98</v>
      </c>
      <c r="C3051" s="133"/>
      <c r="D3051" s="50">
        <f t="shared" si="47"/>
        <v>2.0442930153321992E-2</v>
      </c>
      <c r="E3051" s="49"/>
    </row>
    <row r="3052" spans="1:5" ht="14.4">
      <c r="A3052" s="136">
        <v>40143</v>
      </c>
      <c r="B3052" s="137">
        <v>11.74</v>
      </c>
      <c r="C3052" s="133"/>
      <c r="D3052" s="50">
        <f t="shared" si="47"/>
        <v>-4.2804728903383604E-2</v>
      </c>
      <c r="E3052" s="49"/>
    </row>
    <row r="3053" spans="1:5" ht="14.4">
      <c r="A3053" s="136">
        <v>40142</v>
      </c>
      <c r="B3053" s="137">
        <v>12.265000000000001</v>
      </c>
      <c r="C3053" s="133"/>
      <c r="D3053" s="50">
        <f t="shared" si="47"/>
        <v>-3.8039215686274441E-2</v>
      </c>
      <c r="E3053" s="49"/>
    </row>
    <row r="3054" spans="1:5" ht="14.4">
      <c r="A3054" s="136">
        <v>40141</v>
      </c>
      <c r="B3054" s="137">
        <v>12.75</v>
      </c>
      <c r="C3054" s="133"/>
      <c r="D3054" s="50">
        <f t="shared" si="47"/>
        <v>-1.9984627209838624E-2</v>
      </c>
      <c r="E3054" s="49"/>
    </row>
    <row r="3055" spans="1:5" ht="14.4">
      <c r="A3055" s="136">
        <v>40140</v>
      </c>
      <c r="B3055" s="137">
        <v>13.01</v>
      </c>
      <c r="C3055" s="133"/>
      <c r="D3055" s="50">
        <f t="shared" si="47"/>
        <v>2.2798742138364636E-2</v>
      </c>
      <c r="E3055" s="49"/>
    </row>
    <row r="3056" spans="1:5" ht="14.4">
      <c r="A3056" s="136">
        <v>40137</v>
      </c>
      <c r="B3056" s="137">
        <v>12.72</v>
      </c>
      <c r="C3056" s="133"/>
      <c r="D3056" s="50">
        <f t="shared" si="47"/>
        <v>-2.5660666411336575E-2</v>
      </c>
      <c r="E3056" s="49"/>
    </row>
    <row r="3057" spans="1:5" ht="14.4">
      <c r="A3057" s="136">
        <v>40136</v>
      </c>
      <c r="B3057" s="137">
        <v>13.055</v>
      </c>
      <c r="C3057" s="133"/>
      <c r="D3057" s="50">
        <f t="shared" si="47"/>
        <v>-3.3320992225101875E-2</v>
      </c>
      <c r="E3057" s="49"/>
    </row>
    <row r="3058" spans="1:5" ht="14.4">
      <c r="A3058" s="136">
        <v>40135</v>
      </c>
      <c r="B3058" s="137">
        <v>13.505000000000001</v>
      </c>
      <c r="C3058" s="133"/>
      <c r="D3058" s="50">
        <f t="shared" si="47"/>
        <v>-2.9531192321888833E-3</v>
      </c>
      <c r="E3058" s="49"/>
    </row>
    <row r="3059" spans="1:5" ht="14.4">
      <c r="A3059" s="136">
        <v>40134</v>
      </c>
      <c r="B3059" s="137">
        <v>13.545</v>
      </c>
      <c r="C3059" s="133"/>
      <c r="D3059" s="50">
        <f t="shared" si="47"/>
        <v>-1.4909090909090872E-2</v>
      </c>
      <c r="E3059" s="49"/>
    </row>
    <row r="3060" spans="1:5" ht="14.4">
      <c r="A3060" s="136">
        <v>40133</v>
      </c>
      <c r="B3060" s="137">
        <v>13.75</v>
      </c>
      <c r="C3060" s="133"/>
      <c r="D3060" s="50">
        <f t="shared" si="47"/>
        <v>4.5229950589129597E-2</v>
      </c>
      <c r="E3060" s="49"/>
    </row>
    <row r="3061" spans="1:5" ht="14.4">
      <c r="A3061" s="136">
        <v>40130</v>
      </c>
      <c r="B3061" s="137">
        <v>13.154999999999999</v>
      </c>
      <c r="C3061" s="133"/>
      <c r="D3061" s="50">
        <f t="shared" si="47"/>
        <v>-1.0158013544018019E-2</v>
      </c>
      <c r="E3061" s="49"/>
    </row>
    <row r="3062" spans="1:5" ht="14.4">
      <c r="A3062" s="136">
        <v>40129</v>
      </c>
      <c r="B3062" s="137">
        <v>13.29</v>
      </c>
      <c r="C3062" s="133"/>
      <c r="D3062" s="50">
        <f t="shared" si="47"/>
        <v>2.6254826254826336E-2</v>
      </c>
      <c r="E3062" s="49"/>
    </row>
    <row r="3063" spans="1:5" ht="14.4">
      <c r="A3063" s="136">
        <v>40128</v>
      </c>
      <c r="B3063" s="137">
        <v>12.95</v>
      </c>
      <c r="C3063" s="133"/>
      <c r="D3063" s="50">
        <f t="shared" si="47"/>
        <v>-2.1533811862485819E-2</v>
      </c>
      <c r="E3063" s="49"/>
    </row>
    <row r="3064" spans="1:5" ht="14.4">
      <c r="A3064" s="136">
        <v>40127</v>
      </c>
      <c r="B3064" s="137">
        <v>13.234999999999999</v>
      </c>
      <c r="C3064" s="133"/>
      <c r="D3064" s="50">
        <f t="shared" si="47"/>
        <v>-6.3813813813814457E-3</v>
      </c>
      <c r="E3064" s="49"/>
    </row>
    <row r="3065" spans="1:5" ht="14.4">
      <c r="A3065" s="136">
        <v>40126</v>
      </c>
      <c r="B3065" s="137">
        <v>13.32</v>
      </c>
      <c r="C3065" s="133"/>
      <c r="D3065" s="50">
        <f t="shared" si="47"/>
        <v>-1.4992503748125774E-3</v>
      </c>
      <c r="E3065" s="49"/>
    </row>
    <row r="3066" spans="1:5" ht="14.4">
      <c r="A3066" s="136">
        <v>40123</v>
      </c>
      <c r="B3066" s="137">
        <v>13.34</v>
      </c>
      <c r="C3066" s="133"/>
      <c r="D3066" s="50">
        <f t="shared" si="47"/>
        <v>5.6539766302299288E-3</v>
      </c>
      <c r="E3066" s="49"/>
    </row>
    <row r="3067" spans="1:5" ht="14.4">
      <c r="A3067" s="136">
        <v>40122</v>
      </c>
      <c r="B3067" s="137">
        <v>13.265000000000001</v>
      </c>
      <c r="C3067" s="133"/>
      <c r="D3067" s="50">
        <f t="shared" si="47"/>
        <v>4.5437334343052527E-3</v>
      </c>
      <c r="E3067" s="49"/>
    </row>
    <row r="3068" spans="1:5" ht="14.4">
      <c r="A3068" s="136">
        <v>40121</v>
      </c>
      <c r="B3068" s="137">
        <v>13.205</v>
      </c>
      <c r="C3068" s="133"/>
      <c r="D3068" s="50">
        <f t="shared" si="47"/>
        <v>1.772639691714839E-2</v>
      </c>
      <c r="E3068" s="49"/>
    </row>
    <row r="3069" spans="1:5" ht="14.4">
      <c r="A3069" s="136">
        <v>40120</v>
      </c>
      <c r="B3069" s="137">
        <v>12.975</v>
      </c>
      <c r="C3069" s="133"/>
      <c r="D3069" s="50">
        <f t="shared" si="47"/>
        <v>7.3757763975155211E-3</v>
      </c>
      <c r="E3069" s="49"/>
    </row>
    <row r="3070" spans="1:5" ht="14.4">
      <c r="A3070" s="136">
        <v>40119</v>
      </c>
      <c r="B3070" s="137">
        <v>12.88</v>
      </c>
      <c r="C3070" s="133"/>
      <c r="D3070" s="50">
        <f t="shared" si="47"/>
        <v>7.4305827141181169E-3</v>
      </c>
      <c r="E3070" s="49"/>
    </row>
    <row r="3071" spans="1:5" ht="14.4">
      <c r="A3071" s="136">
        <v>40116</v>
      </c>
      <c r="B3071" s="137">
        <v>12.785</v>
      </c>
      <c r="C3071" s="133"/>
      <c r="D3071" s="50">
        <f t="shared" si="47"/>
        <v>-6.6045066045065104E-3</v>
      </c>
      <c r="E3071" s="49"/>
    </row>
    <row r="3072" spans="1:5" ht="14.4">
      <c r="A3072" s="136">
        <v>40115</v>
      </c>
      <c r="B3072" s="137">
        <v>12.87</v>
      </c>
      <c r="C3072" s="133"/>
      <c r="D3072" s="50">
        <f t="shared" si="47"/>
        <v>8.6206896551723755E-3</v>
      </c>
      <c r="E3072" s="49"/>
    </row>
    <row r="3073" spans="1:5" ht="14.4">
      <c r="A3073" s="136">
        <v>40114</v>
      </c>
      <c r="B3073" s="137">
        <v>12.76</v>
      </c>
      <c r="C3073" s="133"/>
      <c r="D3073" s="50">
        <f t="shared" si="47"/>
        <v>-4.2760690172543137E-2</v>
      </c>
      <c r="E3073" s="49"/>
    </row>
    <row r="3074" spans="1:5" ht="14.4">
      <c r="A3074" s="136">
        <v>40113</v>
      </c>
      <c r="B3074" s="137">
        <v>13.33</v>
      </c>
      <c r="C3074" s="133"/>
      <c r="D3074" s="50">
        <f t="shared" si="47"/>
        <v>-7.8154075176777305E-3</v>
      </c>
      <c r="E3074" s="49"/>
    </row>
    <row r="3075" spans="1:5" ht="14.4">
      <c r="A3075" s="136">
        <v>40112</v>
      </c>
      <c r="B3075" s="137">
        <v>13.435</v>
      </c>
      <c r="C3075" s="133"/>
      <c r="D3075" s="50">
        <f t="shared" si="47"/>
        <v>-3.6917562724014252E-2</v>
      </c>
      <c r="E3075" s="49"/>
    </row>
    <row r="3076" spans="1:5" ht="14.4">
      <c r="A3076" s="136">
        <v>40109</v>
      </c>
      <c r="B3076" s="137">
        <v>13.95</v>
      </c>
      <c r="C3076" s="133"/>
      <c r="D3076" s="50">
        <f t="shared" si="47"/>
        <v>1.2336719883889735E-2</v>
      </c>
      <c r="E3076" s="49"/>
    </row>
    <row r="3077" spans="1:5" ht="14.4">
      <c r="A3077" s="136">
        <v>40108</v>
      </c>
      <c r="B3077" s="137">
        <v>13.78</v>
      </c>
      <c r="C3077" s="133"/>
      <c r="D3077" s="50">
        <f t="shared" si="47"/>
        <v>0</v>
      </c>
      <c r="E3077" s="49"/>
    </row>
    <row r="3078" spans="1:5" ht="14.4">
      <c r="A3078" s="136">
        <v>40107</v>
      </c>
      <c r="B3078" s="137">
        <v>13.78</v>
      </c>
      <c r="C3078" s="133"/>
      <c r="D3078" s="50">
        <f t="shared" si="47"/>
        <v>-1.0873504893077479E-3</v>
      </c>
      <c r="E3078" s="49"/>
    </row>
    <row r="3079" spans="1:5" ht="14.4">
      <c r="A3079" s="136">
        <v>40106</v>
      </c>
      <c r="B3079" s="137">
        <v>13.795</v>
      </c>
      <c r="C3079" s="133"/>
      <c r="D3079" s="50">
        <f t="shared" si="47"/>
        <v>-2.3708421797593804E-2</v>
      </c>
      <c r="E3079" s="49"/>
    </row>
    <row r="3080" spans="1:5" ht="14.4">
      <c r="A3080" s="136">
        <v>40105</v>
      </c>
      <c r="B3080" s="137">
        <v>14.13</v>
      </c>
      <c r="C3080" s="133"/>
      <c r="D3080" s="50">
        <f t="shared" ref="D3080:D3103" si="48">(B3080-C3080)/B3081-1</f>
        <v>-1.4134275618373771E-3</v>
      </c>
      <c r="E3080" s="49"/>
    </row>
    <row r="3081" spans="1:5" ht="14.4">
      <c r="A3081" s="136">
        <v>40102</v>
      </c>
      <c r="B3081" s="137">
        <v>14.15</v>
      </c>
      <c r="C3081" s="133"/>
      <c r="D3081" s="50">
        <f t="shared" si="48"/>
        <v>-1.8043025676613422E-2</v>
      </c>
      <c r="E3081" s="49"/>
    </row>
    <row r="3082" spans="1:5" ht="14.4">
      <c r="A3082" s="136">
        <v>40101</v>
      </c>
      <c r="B3082" s="137">
        <v>14.41</v>
      </c>
      <c r="C3082" s="133"/>
      <c r="D3082" s="50">
        <f t="shared" si="48"/>
        <v>-3.1131096506399336E-3</v>
      </c>
      <c r="E3082" s="49"/>
    </row>
    <row r="3083" spans="1:5" ht="14.4">
      <c r="A3083" s="136">
        <v>40100</v>
      </c>
      <c r="B3083" s="137">
        <v>14.455</v>
      </c>
      <c r="C3083" s="133"/>
      <c r="D3083" s="50">
        <f t="shared" si="48"/>
        <v>-1.7001020061203631E-2</v>
      </c>
      <c r="E3083" s="49"/>
    </row>
    <row r="3084" spans="1:5" ht="14.4">
      <c r="A3084" s="136">
        <v>40099</v>
      </c>
      <c r="B3084" s="137">
        <v>14.705</v>
      </c>
      <c r="C3084" s="133"/>
      <c r="D3084" s="50">
        <f t="shared" si="48"/>
        <v>-3.7945698397121363E-2</v>
      </c>
      <c r="E3084" s="49"/>
    </row>
    <row r="3085" spans="1:5" ht="14.4">
      <c r="A3085" s="136">
        <v>40098</v>
      </c>
      <c r="B3085" s="137">
        <v>15.285</v>
      </c>
      <c r="C3085" s="133"/>
      <c r="D3085" s="50">
        <f t="shared" si="48"/>
        <v>1.1581733951025797E-2</v>
      </c>
      <c r="E3085" s="49"/>
    </row>
    <row r="3086" spans="1:5" ht="14.4">
      <c r="A3086" s="136">
        <v>40095</v>
      </c>
      <c r="B3086" s="137">
        <v>15.11</v>
      </c>
      <c r="C3086" s="133"/>
      <c r="D3086" s="50">
        <f t="shared" si="48"/>
        <v>4.65425531914887E-3</v>
      </c>
      <c r="E3086" s="49"/>
    </row>
    <row r="3087" spans="1:5" ht="14.4">
      <c r="A3087" s="136">
        <v>40094</v>
      </c>
      <c r="B3087" s="137">
        <v>15.04</v>
      </c>
      <c r="C3087" s="133"/>
      <c r="D3087" s="50">
        <f t="shared" si="48"/>
        <v>1.143241425689312E-2</v>
      </c>
      <c r="E3087" s="49"/>
    </row>
    <row r="3088" spans="1:5" ht="14.4">
      <c r="A3088" s="136">
        <v>40093</v>
      </c>
      <c r="B3088" s="137">
        <v>14.87</v>
      </c>
      <c r="C3088" s="133"/>
      <c r="D3088" s="50">
        <f t="shared" si="48"/>
        <v>2.3047815617474932E-2</v>
      </c>
      <c r="E3088" s="49"/>
    </row>
    <row r="3089" spans="1:7" ht="14.4">
      <c r="A3089" s="136">
        <v>40092</v>
      </c>
      <c r="B3089" s="137">
        <v>14.535</v>
      </c>
      <c r="C3089" s="133"/>
      <c r="D3089" s="50">
        <f t="shared" si="48"/>
        <v>1.7229496898691909E-3</v>
      </c>
      <c r="E3089" s="49"/>
    </row>
    <row r="3090" spans="1:7" ht="14.4">
      <c r="A3090" s="136">
        <v>40091</v>
      </c>
      <c r="B3090" s="137">
        <v>14.51</v>
      </c>
      <c r="C3090" s="133"/>
      <c r="D3090" s="50">
        <f t="shared" si="48"/>
        <v>2.0718232044198981E-3</v>
      </c>
      <c r="E3090" s="49"/>
    </row>
    <row r="3091" spans="1:7" ht="14.4">
      <c r="A3091" s="136">
        <v>40088</v>
      </c>
      <c r="B3091" s="137">
        <v>14.48</v>
      </c>
      <c r="C3091" s="133"/>
      <c r="D3091" s="50">
        <f t="shared" si="48"/>
        <v>-4.1059602649006544E-2</v>
      </c>
      <c r="E3091" s="49"/>
    </row>
    <row r="3092" spans="1:7" ht="14.4">
      <c r="A3092" s="136">
        <v>40087</v>
      </c>
      <c r="B3092" s="137">
        <v>15.1</v>
      </c>
      <c r="C3092" s="133"/>
      <c r="D3092" s="50">
        <f t="shared" si="48"/>
        <v>-1.5966112740306349E-2</v>
      </c>
      <c r="E3092" s="49"/>
    </row>
    <row r="3093" spans="1:7" ht="14.4">
      <c r="A3093" s="136">
        <v>40086</v>
      </c>
      <c r="B3093" s="137">
        <v>15.345000000000001</v>
      </c>
      <c r="C3093" s="133"/>
      <c r="D3093" s="50">
        <f t="shared" si="48"/>
        <v>2.5050100200400882E-2</v>
      </c>
      <c r="E3093" s="49"/>
    </row>
    <row r="3094" spans="1:7" ht="14.4">
      <c r="A3094" s="136">
        <v>40085</v>
      </c>
      <c r="B3094" s="137">
        <v>14.97</v>
      </c>
      <c r="C3094" s="133"/>
      <c r="D3094" s="50">
        <f t="shared" si="48"/>
        <v>-1.1228533685601061E-2</v>
      </c>
      <c r="E3094" s="42"/>
      <c r="F3094" s="42"/>
      <c r="G3094" s="42"/>
    </row>
    <row r="3095" spans="1:7" ht="14.4">
      <c r="A3095" s="136">
        <v>40084</v>
      </c>
      <c r="B3095" s="137">
        <v>15.14</v>
      </c>
      <c r="C3095" s="133"/>
      <c r="D3095" s="50">
        <f t="shared" si="48"/>
        <v>2.7137042062415295E-2</v>
      </c>
      <c r="E3095" s="42"/>
      <c r="F3095" s="42"/>
      <c r="G3095" s="42"/>
    </row>
    <row r="3096" spans="1:7" ht="14.4">
      <c r="A3096" s="136">
        <v>40081</v>
      </c>
      <c r="B3096" s="137">
        <v>14.74</v>
      </c>
      <c r="C3096" s="133"/>
      <c r="D3096" s="50">
        <f t="shared" si="48"/>
        <v>-1.8641810918774926E-2</v>
      </c>
      <c r="E3096" s="42"/>
      <c r="F3096" s="42"/>
      <c r="G3096" s="42"/>
    </row>
    <row r="3097" spans="1:7" ht="14.4">
      <c r="A3097" s="136">
        <v>40080</v>
      </c>
      <c r="B3097" s="137">
        <v>15.02</v>
      </c>
      <c r="C3097" s="133"/>
      <c r="D3097" s="50">
        <f t="shared" si="48"/>
        <v>-2.4675324675324739E-2</v>
      </c>
      <c r="E3097" s="42"/>
      <c r="F3097" s="42"/>
      <c r="G3097" s="42"/>
    </row>
    <row r="3098" spans="1:7" ht="14.4">
      <c r="A3098" s="136">
        <v>40079</v>
      </c>
      <c r="B3098" s="137">
        <v>15.4</v>
      </c>
      <c r="C3098" s="133"/>
      <c r="D3098" s="50">
        <f t="shared" si="48"/>
        <v>-1.7857142857142794E-2</v>
      </c>
      <c r="E3098" s="42"/>
      <c r="F3098" s="42"/>
      <c r="G3098" s="42"/>
    </row>
    <row r="3099" spans="1:7" ht="14.4">
      <c r="A3099" s="136">
        <v>40078</v>
      </c>
      <c r="B3099" s="137">
        <v>15.68</v>
      </c>
      <c r="C3099" s="133"/>
      <c r="D3099" s="50">
        <f t="shared" si="48"/>
        <v>6.741573033707926E-3</v>
      </c>
      <c r="E3099" s="42"/>
      <c r="F3099" s="42"/>
      <c r="G3099" s="42"/>
    </row>
    <row r="3100" spans="1:7" ht="14.4">
      <c r="A3100" s="136">
        <v>40077</v>
      </c>
      <c r="B3100" s="137">
        <v>15.574999999999999</v>
      </c>
      <c r="C3100" s="133"/>
      <c r="D3100" s="50">
        <f t="shared" si="48"/>
        <v>-5.0304878048780477E-2</v>
      </c>
      <c r="E3100" s="42"/>
      <c r="F3100" s="42"/>
      <c r="G3100" s="42"/>
    </row>
    <row r="3101" spans="1:7" ht="14.4">
      <c r="A3101" s="136">
        <v>40074</v>
      </c>
      <c r="B3101" s="137">
        <v>16.399999999999999</v>
      </c>
      <c r="C3101" s="133"/>
      <c r="D3101" s="50">
        <f t="shared" si="48"/>
        <v>1.1721159777914769E-2</v>
      </c>
      <c r="E3101" s="42"/>
      <c r="F3101" s="42"/>
      <c r="G3101" s="42"/>
    </row>
    <row r="3102" spans="1:7" ht="14.4">
      <c r="A3102" s="136">
        <v>40073</v>
      </c>
      <c r="B3102" s="137">
        <v>16.21</v>
      </c>
      <c r="C3102" s="133"/>
      <c r="D3102" s="50">
        <f t="shared" si="48"/>
        <v>6.2602425434283848E-2</v>
      </c>
      <c r="E3102" s="42"/>
      <c r="F3102" s="42"/>
      <c r="G3102" s="42"/>
    </row>
    <row r="3103" spans="1:7" ht="14.4">
      <c r="A3103" s="136">
        <v>40072</v>
      </c>
      <c r="B3103" s="137">
        <v>15.255000000000001</v>
      </c>
      <c r="C3103" s="133"/>
      <c r="D3103" s="50" t="e">
        <f t="shared" si="48"/>
        <v>#DIV/0!</v>
      </c>
      <c r="E3103" s="42"/>
      <c r="F3103" s="42"/>
      <c r="G3103" s="42"/>
    </row>
    <row r="3105" spans="1:7" ht="14.4">
      <c r="A3105" s="42"/>
      <c r="B3105" s="42"/>
      <c r="C3105" s="42"/>
      <c r="D3105" s="42"/>
      <c r="E3105" s="42"/>
      <c r="F3105" s="42"/>
      <c r="G3105" s="44"/>
    </row>
  </sheetData>
  <mergeCells count="3">
    <mergeCell ref="A4:F4"/>
    <mergeCell ref="H4:M4"/>
    <mergeCell ref="A6:F6"/>
  </mergeCells>
  <conditionalFormatting sqref="D7:F7">
    <cfRule type="colorScale" priority="13">
      <colorScale>
        <cfvo type="min"/>
        <cfvo type="percentile" val="50"/>
        <cfvo type="max"/>
        <color rgb="FFF8696B"/>
        <color rgb="FFFCFCFF"/>
        <color rgb="FF5A8AC6"/>
      </colorScale>
    </cfRule>
  </conditionalFormatting>
  <conditionalFormatting sqref="A8:C3103">
    <cfRule type="colorScale" priority="8">
      <colorScale>
        <cfvo type="min"/>
        <cfvo type="max"/>
        <color rgb="FFFFEF9C"/>
        <color rgb="FF63BE7B"/>
      </colorScale>
    </cfRule>
    <cfRule type="colorScale" priority="9">
      <colorScale>
        <cfvo type="min"/>
        <cfvo type="percentile" val="50"/>
        <cfvo type="max"/>
        <color rgb="FFF8696B"/>
        <color rgb="FFFCFCFF"/>
        <color rgb="FF5A8AC6"/>
      </colorScale>
    </cfRule>
  </conditionalFormatting>
  <conditionalFormatting sqref="D8:D3103">
    <cfRule type="colorScale" priority="4">
      <colorScale>
        <cfvo type="min"/>
        <cfvo type="percentile" val="50"/>
        <cfvo type="max"/>
        <color rgb="FFF8696B"/>
        <color rgb="FFFCFCFF"/>
        <color rgb="FF5A8AC6"/>
      </colorScale>
    </cfRule>
  </conditionalFormatting>
  <conditionalFormatting sqref="H8:J16">
    <cfRule type="colorScale" priority="3">
      <colorScale>
        <cfvo type="min"/>
        <cfvo type="max"/>
        <color rgb="FFFFEF9C"/>
        <color rgb="FF63BE7B"/>
      </colorScale>
    </cfRule>
  </conditionalFormatting>
  <conditionalFormatting sqref="K7:M7">
    <cfRule type="colorScale" priority="2">
      <colorScale>
        <cfvo type="min"/>
        <cfvo type="percentile" val="50"/>
        <cfvo type="max"/>
        <color rgb="FFF8696B"/>
        <color rgb="FFFCFCFF"/>
        <color rgb="FF5A8AC6"/>
      </colorScale>
    </cfRule>
  </conditionalFormatting>
  <conditionalFormatting sqref="K8:K16">
    <cfRule type="colorScale" priority="1">
      <colorScale>
        <cfvo type="min"/>
        <cfvo type="max"/>
        <color rgb="FFFCFCFF"/>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175260</xdr:colOff>
                    <xdr:row>1</xdr:row>
                    <xdr:rowOff>0</xdr:rowOff>
                  </from>
                  <to>
                    <xdr:col>2</xdr:col>
                    <xdr:colOff>22860</xdr:colOff>
                    <xdr:row>2</xdr:row>
                    <xdr:rowOff>22860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480060</xdr:colOff>
                    <xdr:row>1</xdr:row>
                    <xdr:rowOff>15240</xdr:rowOff>
                  </from>
                  <to>
                    <xdr:col>4</xdr:col>
                    <xdr:colOff>289560</xdr:colOff>
                    <xdr:row>2</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H2618"/>
  <sheetViews>
    <sheetView zoomScale="81" zoomScaleNormal="81" workbookViewId="0">
      <selection activeCell="B2" sqref="B2"/>
    </sheetView>
  </sheetViews>
  <sheetFormatPr baseColWidth="10" defaultColWidth="10.69921875" defaultRowHeight="13.8"/>
  <cols>
    <col min="1" max="1" width="9.8984375" bestFit="1" customWidth="1"/>
    <col min="2" max="2" width="13.3984375" bestFit="1" customWidth="1"/>
    <col min="3" max="3" width="13.3984375" style="57" bestFit="1" customWidth="1"/>
    <col min="4" max="4" width="13.296875" style="75" customWidth="1"/>
    <col min="5" max="5" width="19.796875" style="75" customWidth="1"/>
    <col min="6" max="6" width="8.19921875" customWidth="1"/>
    <col min="7" max="7" width="16.69921875" bestFit="1" customWidth="1"/>
  </cols>
  <sheetData>
    <row r="1" spans="1:8" ht="14.4" thickBot="1">
      <c r="A1" s="73" t="s">
        <v>58</v>
      </c>
      <c r="B1" s="74" t="s">
        <v>96</v>
      </c>
      <c r="C1" s="74" t="s">
        <v>63</v>
      </c>
      <c r="D1" s="65"/>
      <c r="E1" s="65"/>
      <c r="G1" s="63" t="s">
        <v>62</v>
      </c>
      <c r="H1" s="64">
        <f>_xlfn.STDEV.S(yf_data[Pct Change])*SQRT(252)</f>
        <v>0.28289246032608101</v>
      </c>
    </row>
    <row r="2" spans="1:8" s="57" customFormat="1">
      <c r="A2" s="65"/>
      <c r="B2" s="65"/>
      <c r="C2" s="58"/>
      <c r="D2" s="58"/>
      <c r="E2" s="58"/>
      <c r="G2" s="66"/>
      <c r="H2" s="67"/>
    </row>
    <row r="3" spans="1:8">
      <c r="F3" s="58"/>
    </row>
    <row r="4" spans="1:8">
      <c r="A4" t="s">
        <v>59</v>
      </c>
      <c r="B4" t="s">
        <v>60</v>
      </c>
      <c r="C4" s="58" t="s">
        <v>61</v>
      </c>
      <c r="D4" s="58" t="s">
        <v>65</v>
      </c>
      <c r="E4" s="58" t="s">
        <v>70</v>
      </c>
    </row>
    <row r="5" spans="1:8">
      <c r="A5" s="60">
        <v>44298</v>
      </c>
      <c r="B5" s="62">
        <v>99.900001525878906</v>
      </c>
      <c r="C5" s="61">
        <f>IFERROR(yf_data[[#This Row],[Close Price]]/B4-1,0)</f>
        <v>0</v>
      </c>
      <c r="D5" s="77">
        <f>GEOMEAN(yf_data[Close Price])*0+100.27</f>
        <v>100.27</v>
      </c>
      <c r="E5" s="77">
        <f>VLOOKUP(MAX(yf_data[Date]),yf_data[],2)</f>
        <v>115</v>
      </c>
    </row>
    <row r="6" spans="1:8">
      <c r="A6" s="60">
        <v>44299</v>
      </c>
      <c r="B6" s="62">
        <v>98.400001525878906</v>
      </c>
      <c r="C6" s="61">
        <f>IFERROR(yf_data[[#This Row],[Close Price]]/B5-1,0)</f>
        <v>-1.5015014785674685E-2</v>
      </c>
      <c r="D6" s="61"/>
      <c r="E6" s="61"/>
    </row>
    <row r="7" spans="1:8">
      <c r="A7" s="60">
        <v>44300</v>
      </c>
      <c r="B7" s="62">
        <v>100.22000122070313</v>
      </c>
      <c r="C7" s="61">
        <f>IFERROR(yf_data[[#This Row],[Close Price]]/B6-1,0)</f>
        <v>1.8495931571155255E-2</v>
      </c>
      <c r="D7" s="61"/>
      <c r="E7" s="61"/>
    </row>
    <row r="8" spans="1:8">
      <c r="A8" s="60">
        <v>44301</v>
      </c>
      <c r="B8" s="62">
        <v>102.83999633789063</v>
      </c>
      <c r="C8" s="61">
        <f>IFERROR(yf_data[[#This Row],[Close Price]]/B7-1,0)</f>
        <v>2.6142437490274784E-2</v>
      </c>
      <c r="D8" s="61"/>
      <c r="E8" s="61"/>
    </row>
    <row r="9" spans="1:8">
      <c r="A9" s="60">
        <v>44302</v>
      </c>
      <c r="B9" s="62">
        <v>103.68000030517578</v>
      </c>
      <c r="C9" s="61">
        <f>IFERROR(yf_data[[#This Row],[Close Price]]/B8-1,0)</f>
        <v>8.1680668727879269E-3</v>
      </c>
      <c r="D9" s="61"/>
      <c r="E9" s="61"/>
    </row>
    <row r="10" spans="1:8">
      <c r="A10" s="60">
        <v>44305</v>
      </c>
      <c r="B10" s="62">
        <v>102.6999969482422</v>
      </c>
      <c r="C10" s="61">
        <f>IFERROR(yf_data[[#This Row],[Close Price]]/B9-1,0)</f>
        <v>-9.4521928438368041E-3</v>
      </c>
      <c r="D10" s="61"/>
      <c r="E10" s="61"/>
    </row>
    <row r="11" spans="1:8">
      <c r="A11" s="60">
        <v>44306</v>
      </c>
      <c r="B11" s="62">
        <v>97.940002441406236</v>
      </c>
      <c r="C11" s="61">
        <f>IFERROR(yf_data[[#This Row],[Close Price]]/B10-1,0)</f>
        <v>-4.6348536010520691E-2</v>
      </c>
      <c r="D11" s="61"/>
      <c r="E11" s="61"/>
    </row>
    <row r="12" spans="1:8">
      <c r="A12" s="60">
        <v>44307</v>
      </c>
      <c r="B12" s="62">
        <v>97.730003356933594</v>
      </c>
      <c r="C12" s="61">
        <f>IFERROR(yf_data[[#This Row],[Close Price]]/B11-1,0)</f>
        <v>-2.1441604986509599E-3</v>
      </c>
      <c r="D12" s="61"/>
      <c r="E12" s="61"/>
    </row>
    <row r="13" spans="1:8">
      <c r="A13" s="60">
        <v>44308</v>
      </c>
      <c r="B13" s="62">
        <v>99.709999084472656</v>
      </c>
      <c r="C13" s="61">
        <f>IFERROR(yf_data[[#This Row],[Close Price]]/B12-1,0)</f>
        <v>2.0259855310836627E-2</v>
      </c>
      <c r="D13" s="61"/>
      <c r="E13" s="61"/>
    </row>
    <row r="14" spans="1:8">
      <c r="A14" s="60">
        <v>44309</v>
      </c>
      <c r="B14" s="62">
        <v>98.459999084472656</v>
      </c>
      <c r="C14" s="61">
        <f>IFERROR(yf_data[[#This Row],[Close Price]]/B13-1,0)</f>
        <v>-1.2536355545856748E-2</v>
      </c>
      <c r="D14" s="61"/>
      <c r="E14" s="61"/>
    </row>
    <row r="15" spans="1:8">
      <c r="A15" s="60">
        <v>44312</v>
      </c>
      <c r="B15" s="62">
        <v>101.23999786376952</v>
      </c>
      <c r="C15" s="61">
        <f>IFERROR(yf_data[[#This Row],[Close Price]]/B14-1,0)</f>
        <v>2.8234804033583139E-2</v>
      </c>
      <c r="D15" s="61"/>
      <c r="E15" s="61"/>
    </row>
    <row r="16" spans="1:8">
      <c r="A16" s="60">
        <v>44313</v>
      </c>
      <c r="B16" s="62">
        <v>99.790000915527344</v>
      </c>
      <c r="C16" s="61">
        <f>IFERROR(yf_data[[#This Row],[Close Price]]/B15-1,0)</f>
        <v>-1.4322372370980441E-2</v>
      </c>
      <c r="D16" s="61"/>
      <c r="E16" s="61"/>
    </row>
    <row r="17" spans="1:5">
      <c r="A17" s="60">
        <v>44314</v>
      </c>
      <c r="B17" s="62">
        <v>99.300003051757798</v>
      </c>
      <c r="C17" s="61">
        <f>IFERROR(yf_data[[#This Row],[Close Price]]/B16-1,0)</f>
        <v>-4.9102902021649353E-3</v>
      </c>
      <c r="D17" s="61"/>
      <c r="E17" s="61"/>
    </row>
    <row r="18" spans="1:5">
      <c r="A18" s="60">
        <v>44315</v>
      </c>
      <c r="B18" s="62">
        <v>100</v>
      </c>
      <c r="C18" s="61">
        <f>IFERROR(yf_data[[#This Row],[Close Price]]/B17-1,0)</f>
        <v>7.0493144685739306E-3</v>
      </c>
      <c r="D18" s="61"/>
      <c r="E18" s="61"/>
    </row>
    <row r="19" spans="1:5">
      <c r="A19" s="60">
        <v>44316</v>
      </c>
      <c r="B19" s="62">
        <v>99.940002441406236</v>
      </c>
      <c r="C19" s="61">
        <f>IFERROR(yf_data[[#This Row],[Close Price]]/B18-1,0)</f>
        <v>-5.9997558593760658E-4</v>
      </c>
      <c r="D19" s="61"/>
      <c r="E19" s="61"/>
    </row>
    <row r="20" spans="1:5">
      <c r="A20" s="60">
        <v>44319</v>
      </c>
      <c r="B20" s="62">
        <v>99.910003662109375</v>
      </c>
      <c r="C20" s="61">
        <f>IFERROR(yf_data[[#This Row],[Close Price]]/B19-1,0)</f>
        <v>-3.0016788637210468E-4</v>
      </c>
      <c r="D20" s="61"/>
      <c r="E20" s="61"/>
    </row>
    <row r="21" spans="1:5">
      <c r="A21" s="60">
        <v>44320</v>
      </c>
      <c r="B21" s="62">
        <v>96.730003356933594</v>
      </c>
      <c r="C21" s="61">
        <f>IFERROR(yf_data[[#This Row],[Close Price]]/B20-1,0)</f>
        <v>-3.1828647669060128E-2</v>
      </c>
      <c r="D21" s="61"/>
      <c r="E21" s="61"/>
    </row>
    <row r="22" spans="1:5">
      <c r="A22" s="60">
        <v>44321</v>
      </c>
      <c r="B22" s="62">
        <v>96.569999694824219</v>
      </c>
      <c r="C22" s="61">
        <f>IFERROR(yf_data[[#This Row],[Close Price]]/B21-1,0)</f>
        <v>-1.6541265021873253E-3</v>
      </c>
      <c r="D22" s="61"/>
      <c r="E22" s="61"/>
    </row>
    <row r="23" spans="1:5">
      <c r="A23" s="60">
        <v>44322</v>
      </c>
      <c r="B23" s="62">
        <v>96.75</v>
      </c>
      <c r="C23" s="61">
        <f>IFERROR(yf_data[[#This Row],[Close Price]]/B22-1,0)</f>
        <v>1.8639360644570058E-3</v>
      </c>
      <c r="D23" s="61"/>
      <c r="E23" s="61"/>
    </row>
    <row r="24" spans="1:5">
      <c r="A24" s="60">
        <v>44323</v>
      </c>
      <c r="B24" s="62">
        <v>98.370002746582045</v>
      </c>
      <c r="C24" s="61">
        <f>IFERROR(yf_data[[#This Row],[Close Price]]/B23-1,0)</f>
        <v>1.674421443495655E-2</v>
      </c>
      <c r="D24" s="61"/>
      <c r="E24" s="61"/>
    </row>
    <row r="25" spans="1:5">
      <c r="A25" s="60">
        <v>44326</v>
      </c>
      <c r="B25" s="62">
        <v>98.360000610351563</v>
      </c>
      <c r="C25" s="61">
        <f>IFERROR(yf_data[[#This Row],[Close Price]]/B24-1,0)</f>
        <v>-1.0167872269206679E-4</v>
      </c>
      <c r="D25" s="61"/>
      <c r="E25" s="61"/>
    </row>
    <row r="26" spans="1:5">
      <c r="A26" s="60">
        <v>44327</v>
      </c>
      <c r="B26" s="62">
        <v>95.900001525878906</v>
      </c>
      <c r="C26" s="61">
        <f>IFERROR(yf_data[[#This Row],[Close Price]]/B25-1,0)</f>
        <v>-2.5010157271326383E-2</v>
      </c>
      <c r="D26" s="61"/>
      <c r="E26" s="61"/>
    </row>
    <row r="27" spans="1:5">
      <c r="A27" s="60">
        <v>44328</v>
      </c>
      <c r="B27" s="62">
        <v>96.559997558593764</v>
      </c>
      <c r="C27" s="61">
        <f>IFERROR(yf_data[[#This Row],[Close Price]]/B26-1,0)</f>
        <v>6.8821274474824001E-3</v>
      </c>
      <c r="D27" s="61"/>
      <c r="E27" s="61"/>
    </row>
    <row r="28" spans="1:5">
      <c r="A28" s="60">
        <v>44329</v>
      </c>
      <c r="B28" s="62">
        <v>96</v>
      </c>
      <c r="C28" s="61">
        <f>IFERROR(yf_data[[#This Row],[Close Price]]/B27-1,0)</f>
        <v>-5.7994777625585137E-3</v>
      </c>
      <c r="D28" s="61"/>
      <c r="E28" s="61"/>
    </row>
    <row r="29" spans="1:5">
      <c r="A29" s="60">
        <v>44330</v>
      </c>
      <c r="B29" s="62">
        <v>99.569999694824219</v>
      </c>
      <c r="C29" s="61">
        <f>IFERROR(yf_data[[#This Row],[Close Price]]/B28-1,0)</f>
        <v>3.7187496821085686E-2</v>
      </c>
      <c r="D29" s="61"/>
      <c r="E29" s="61"/>
    </row>
    <row r="30" spans="1:5">
      <c r="A30" s="60">
        <v>44333</v>
      </c>
      <c r="B30" s="62">
        <v>96.900001525878906</v>
      </c>
      <c r="C30" s="61">
        <f>IFERROR(yf_data[[#This Row],[Close Price]]/B29-1,0)</f>
        <v>-2.6815287507569452E-2</v>
      </c>
      <c r="D30" s="61"/>
      <c r="E30" s="61"/>
    </row>
    <row r="31" spans="1:5">
      <c r="A31" s="60">
        <v>44334</v>
      </c>
      <c r="B31" s="62">
        <v>97.139999389648438</v>
      </c>
      <c r="C31" s="61">
        <f>IFERROR(yf_data[[#This Row],[Close Price]]/B30-1,0)</f>
        <v>2.4767581010349815E-3</v>
      </c>
      <c r="D31" s="61"/>
      <c r="E31" s="61"/>
    </row>
    <row r="32" spans="1:5">
      <c r="A32" s="60">
        <v>44335</v>
      </c>
      <c r="B32" s="62">
        <v>95.059997558593764</v>
      </c>
      <c r="C32" s="61">
        <f>IFERROR(yf_data[[#This Row],[Close Price]]/B31-1,0)</f>
        <v>-2.1412413466376123E-2</v>
      </c>
      <c r="D32" s="61"/>
      <c r="E32" s="61"/>
    </row>
    <row r="33" spans="1:5">
      <c r="A33" s="60">
        <v>44336</v>
      </c>
      <c r="B33" s="62">
        <v>96.510002136230483</v>
      </c>
      <c r="C33" s="61">
        <f>IFERROR(yf_data[[#This Row],[Close Price]]/B32-1,0)</f>
        <v>1.5253572637038637E-2</v>
      </c>
      <c r="D33" s="61"/>
      <c r="E33" s="61"/>
    </row>
    <row r="34" spans="1:5">
      <c r="A34" s="60">
        <v>44337</v>
      </c>
      <c r="B34" s="62">
        <v>97.910003662109375</v>
      </c>
      <c r="C34" s="61">
        <f>IFERROR(yf_data[[#This Row],[Close Price]]/B33-1,0)</f>
        <v>1.450628426992151E-2</v>
      </c>
      <c r="D34" s="61"/>
      <c r="E34" s="61"/>
    </row>
    <row r="35" spans="1:5">
      <c r="A35" s="60">
        <v>44340</v>
      </c>
      <c r="B35" s="62">
        <v>98.260002136230483</v>
      </c>
      <c r="C35" s="61">
        <f>IFERROR(yf_data[[#This Row],[Close Price]]/B34-1,0)</f>
        <v>3.5746957515083722E-3</v>
      </c>
      <c r="D35" s="61"/>
      <c r="E35" s="61"/>
    </row>
    <row r="36" spans="1:5">
      <c r="A36" s="60">
        <v>44341</v>
      </c>
      <c r="B36" s="62">
        <v>97.139999389648438</v>
      </c>
      <c r="C36" s="61">
        <f>IFERROR(yf_data[[#This Row],[Close Price]]/B35-1,0)</f>
        <v>-1.1398358663062491E-2</v>
      </c>
      <c r="D36" s="61"/>
      <c r="E36" s="61"/>
    </row>
    <row r="37" spans="1:5">
      <c r="A37" s="60">
        <v>44342</v>
      </c>
      <c r="B37" s="62">
        <v>97.669998168945327</v>
      </c>
      <c r="C37" s="61">
        <f>IFERROR(yf_data[[#This Row],[Close Price]]/B36-1,0)</f>
        <v>5.4560302926394133E-3</v>
      </c>
      <c r="D37" s="61"/>
      <c r="E37" s="61"/>
    </row>
    <row r="38" spans="1:5">
      <c r="A38" s="60">
        <v>44343</v>
      </c>
      <c r="B38" s="62">
        <v>106.68000030517578</v>
      </c>
      <c r="C38" s="61">
        <f>IFERROR(yf_data[[#This Row],[Close Price]]/B37-1,0)</f>
        <v>9.2249434884245085E-2</v>
      </c>
      <c r="D38" s="61"/>
      <c r="E38" s="61"/>
    </row>
    <row r="39" spans="1:5">
      <c r="A39" s="60">
        <v>44344</v>
      </c>
      <c r="B39" s="62">
        <v>108</v>
      </c>
      <c r="C39" s="61">
        <f>IFERROR(yf_data[[#This Row],[Close Price]]/B38-1,0)</f>
        <v>1.2373450422273446E-2</v>
      </c>
      <c r="D39" s="61"/>
      <c r="E39" s="61"/>
    </row>
    <row r="40" spans="1:5">
      <c r="A40" s="60">
        <v>44347</v>
      </c>
      <c r="B40" s="62">
        <v>106.66000366210938</v>
      </c>
      <c r="C40" s="61">
        <f>IFERROR(yf_data[[#This Row],[Close Price]]/B39-1,0)</f>
        <v>-1.240737349898724E-2</v>
      </c>
      <c r="D40" s="61"/>
      <c r="E40" s="61"/>
    </row>
    <row r="41" spans="1:5">
      <c r="A41" s="60">
        <v>44348</v>
      </c>
      <c r="B41" s="62">
        <v>108.76000213623048</v>
      </c>
      <c r="C41" s="61">
        <f>IFERROR(yf_data[[#This Row],[Close Price]]/B40-1,0)</f>
        <v>1.9688715563649817E-2</v>
      </c>
      <c r="D41" s="61"/>
      <c r="E41" s="61"/>
    </row>
    <row r="42" spans="1:5">
      <c r="A42" s="60">
        <v>44349</v>
      </c>
      <c r="B42" s="62">
        <v>110.6999969482422</v>
      </c>
      <c r="C42" s="61">
        <f>IFERROR(yf_data[[#This Row],[Close Price]]/B41-1,0)</f>
        <v>1.7837392183771117E-2</v>
      </c>
      <c r="D42" s="61"/>
      <c r="E42" s="61"/>
    </row>
    <row r="43" spans="1:5">
      <c r="A43" s="60">
        <v>44350</v>
      </c>
      <c r="B43" s="62">
        <v>109.77999877929688</v>
      </c>
      <c r="C43" s="61">
        <f>IFERROR(yf_data[[#This Row],[Close Price]]/B42-1,0)</f>
        <v>-8.3107334625805995E-3</v>
      </c>
      <c r="D43" s="61"/>
      <c r="E43" s="61"/>
    </row>
    <row r="44" spans="1:5">
      <c r="A44" s="60">
        <v>44351</v>
      </c>
      <c r="B44" s="62">
        <v>109.91999816894533</v>
      </c>
      <c r="C44" s="61">
        <f>IFERROR(yf_data[[#This Row],[Close Price]]/B43-1,0)</f>
        <v>1.2752722827944485E-3</v>
      </c>
      <c r="D44" s="61"/>
      <c r="E44" s="61"/>
    </row>
    <row r="45" spans="1:5">
      <c r="A45" s="60">
        <v>44354</v>
      </c>
      <c r="B45" s="62">
        <v>111.31999969482422</v>
      </c>
      <c r="C45" s="61">
        <f>IFERROR(yf_data[[#This Row],[Close Price]]/B44-1,0)</f>
        <v>1.2736549756188209E-2</v>
      </c>
      <c r="D45" s="61"/>
      <c r="E45" s="61"/>
    </row>
    <row r="46" spans="1:5">
      <c r="A46" s="60">
        <v>44355</v>
      </c>
      <c r="B46" s="62">
        <v>110.5</v>
      </c>
      <c r="C46" s="61">
        <f>IFERROR(yf_data[[#This Row],[Close Price]]/B45-1,0)</f>
        <v>-7.3661489136919167E-3</v>
      </c>
      <c r="D46" s="61"/>
      <c r="E46" s="61"/>
    </row>
    <row r="47" spans="1:5">
      <c r="A47" s="60">
        <v>44356</v>
      </c>
      <c r="B47" s="62">
        <v>110.59999847412109</v>
      </c>
      <c r="C47" s="61">
        <f>IFERROR(yf_data[[#This Row],[Close Price]]/B46-1,0)</f>
        <v>9.0496356670666245E-4</v>
      </c>
      <c r="D47" s="61"/>
      <c r="E47" s="61"/>
    </row>
    <row r="48" spans="1:5">
      <c r="A48" s="60">
        <v>44357</v>
      </c>
      <c r="B48" s="62">
        <v>110.51999664306641</v>
      </c>
      <c r="C48" s="61">
        <f>IFERROR(yf_data[[#This Row],[Close Price]]/B47-1,0)</f>
        <v>-7.2334387123351718E-4</v>
      </c>
      <c r="D48" s="61"/>
      <c r="E48" s="61"/>
    </row>
    <row r="49" spans="1:5">
      <c r="A49" s="60">
        <v>44358</v>
      </c>
      <c r="B49" s="62">
        <v>112.36000061035156</v>
      </c>
      <c r="C49" s="61">
        <f>IFERROR(yf_data[[#This Row],[Close Price]]/B48-1,0)</f>
        <v>1.6648606796719312E-2</v>
      </c>
      <c r="D49" s="61"/>
      <c r="E49" s="61"/>
    </row>
    <row r="50" spans="1:5">
      <c r="A50" s="60">
        <v>44361</v>
      </c>
      <c r="B50" s="62">
        <v>112.40000152587891</v>
      </c>
      <c r="C50" s="61">
        <f>IFERROR(yf_data[[#This Row],[Close Price]]/B49-1,0)</f>
        <v>3.5600672223257135E-4</v>
      </c>
      <c r="D50" s="61"/>
      <c r="E50" s="61"/>
    </row>
    <row r="51" spans="1:5">
      <c r="A51" s="60">
        <v>44362</v>
      </c>
      <c r="B51" s="62">
        <v>113.18000030517578</v>
      </c>
      <c r="C51" s="61">
        <f>IFERROR(yf_data[[#This Row],[Close Price]]/B50-1,0)</f>
        <v>6.9394908248048282E-3</v>
      </c>
      <c r="D51" s="61"/>
      <c r="E51" s="61"/>
    </row>
    <row r="52" spans="1:5">
      <c r="A52" s="60">
        <v>44363</v>
      </c>
      <c r="B52" s="62">
        <v>114.08000183105467</v>
      </c>
      <c r="C52" s="61">
        <f>IFERROR(yf_data[[#This Row],[Close Price]]/B51-1,0)</f>
        <v>7.951948431278888E-3</v>
      </c>
      <c r="D52" s="61"/>
      <c r="E52" s="61"/>
    </row>
    <row r="53" spans="1:5">
      <c r="A53" s="60">
        <v>44364</v>
      </c>
      <c r="B53" s="62">
        <v>114.59999847412109</v>
      </c>
      <c r="C53" s="61">
        <f>IFERROR(yf_data[[#This Row],[Close Price]]/B52-1,0)</f>
        <v>4.5581752692860356E-3</v>
      </c>
      <c r="D53" s="61"/>
      <c r="E53" s="61"/>
    </row>
    <row r="54" spans="1:5">
      <c r="A54" s="60">
        <v>44365</v>
      </c>
      <c r="B54" s="62">
        <v>112.72000122070313</v>
      </c>
      <c r="C54" s="61">
        <f>IFERROR(yf_data[[#This Row],[Close Price]]/B53-1,0)</f>
        <v>-1.6404862813698129E-2</v>
      </c>
      <c r="D54" s="61"/>
      <c r="E54" s="61"/>
    </row>
    <row r="55" spans="1:5">
      <c r="A55" s="60">
        <v>44368</v>
      </c>
      <c r="B55" s="62">
        <v>112.91999816894533</v>
      </c>
      <c r="C55" s="61">
        <f>IFERROR(yf_data[[#This Row],[Close Price]]/B54-1,0)</f>
        <v>1.7742809268659343E-3</v>
      </c>
      <c r="D55" s="61"/>
      <c r="E55" s="61"/>
    </row>
    <row r="56" spans="1:5">
      <c r="A56" s="60">
        <v>44369</v>
      </c>
      <c r="B56" s="62">
        <v>112.63999938964844</v>
      </c>
      <c r="C56" s="61">
        <f>IFERROR(yf_data[[#This Row],[Close Price]]/B55-1,0)</f>
        <v>-2.4796208274637799E-3</v>
      </c>
      <c r="D56" s="61"/>
      <c r="E56" s="61"/>
    </row>
    <row r="57" spans="1:5">
      <c r="A57" s="60">
        <v>44370</v>
      </c>
      <c r="B57" s="62">
        <v>111.3000030517578</v>
      </c>
      <c r="C57" s="61">
        <f>IFERROR(yf_data[[#This Row],[Close Price]]/B56-1,0)</f>
        <v>-1.18962743710187E-2</v>
      </c>
      <c r="D57" s="61"/>
      <c r="E57" s="61"/>
    </row>
    <row r="58" spans="1:5">
      <c r="A58" s="60">
        <v>44371</v>
      </c>
      <c r="B58" s="62">
        <v>111.91999816894533</v>
      </c>
      <c r="C58" s="61">
        <f>IFERROR(yf_data[[#This Row],[Close Price]]/B57-1,0)</f>
        <v>5.5704860753615915E-3</v>
      </c>
      <c r="D58" s="61"/>
      <c r="E58" s="61"/>
    </row>
    <row r="59" spans="1:5">
      <c r="A59" s="60">
        <v>44372</v>
      </c>
      <c r="B59" s="62">
        <v>110.31999969482422</v>
      </c>
      <c r="C59" s="61">
        <f>IFERROR(yf_data[[#This Row],[Close Price]]/B58-1,0)</f>
        <v>-1.4295912261416244E-2</v>
      </c>
      <c r="D59" s="61"/>
      <c r="E59" s="61"/>
    </row>
    <row r="60" spans="1:5">
      <c r="A60" s="60">
        <v>44375</v>
      </c>
      <c r="B60" s="62">
        <v>107.09999847412109</v>
      </c>
      <c r="C60" s="61">
        <f>IFERROR(yf_data[[#This Row],[Close Price]]/B59-1,0)</f>
        <v>-2.918782840473666E-2</v>
      </c>
      <c r="D60" s="61"/>
      <c r="E60" s="61"/>
    </row>
    <row r="61" spans="1:5">
      <c r="A61" s="60">
        <v>44376</v>
      </c>
      <c r="B61" s="62">
        <v>106.48000335693359</v>
      </c>
      <c r="C61" s="61">
        <f>IFERROR(yf_data[[#This Row],[Close Price]]/B60-1,0)</f>
        <v>-5.7889367508937584E-3</v>
      </c>
      <c r="D61" s="61"/>
      <c r="E61" s="61"/>
    </row>
    <row r="62" spans="1:5">
      <c r="A62" s="60">
        <v>44377</v>
      </c>
      <c r="B62" s="62">
        <v>108.44000244140624</v>
      </c>
      <c r="C62" s="61">
        <f>IFERROR(yf_data[[#This Row],[Close Price]]/B61-1,0)</f>
        <v>1.8407203443659759E-2</v>
      </c>
      <c r="D62" s="61"/>
      <c r="E62" s="61"/>
    </row>
    <row r="63" spans="1:5">
      <c r="A63" s="60">
        <v>44378</v>
      </c>
      <c r="B63" s="62">
        <v>109.90000152587891</v>
      </c>
      <c r="C63" s="61">
        <f>IFERROR(yf_data[[#This Row],[Close Price]]/B62-1,0)</f>
        <v>1.3463657797882833E-2</v>
      </c>
      <c r="D63" s="61"/>
      <c r="E63" s="61"/>
    </row>
    <row r="64" spans="1:5">
      <c r="A64" s="60">
        <v>44379</v>
      </c>
      <c r="B64" s="62">
        <v>112.22000122070313</v>
      </c>
      <c r="C64" s="61">
        <f>IFERROR(yf_data[[#This Row],[Close Price]]/B63-1,0)</f>
        <v>2.1110097021044272E-2</v>
      </c>
      <c r="D64" s="61"/>
      <c r="E64" s="61"/>
    </row>
    <row r="65" spans="1:5">
      <c r="A65" s="60">
        <v>44382</v>
      </c>
      <c r="B65" s="62">
        <v>113.08000183105467</v>
      </c>
      <c r="C65" s="61">
        <f>IFERROR(yf_data[[#This Row],[Close Price]]/B64-1,0)</f>
        <v>7.6635234449888845E-3</v>
      </c>
      <c r="D65" s="61"/>
      <c r="E65" s="61"/>
    </row>
    <row r="66" spans="1:5">
      <c r="A66" s="60">
        <v>44383</v>
      </c>
      <c r="B66" s="62">
        <v>110.87999725341795</v>
      </c>
      <c r="C66" s="61">
        <f>IFERROR(yf_data[[#This Row],[Close Price]]/B65-1,0)</f>
        <v>-1.9455293084656988E-2</v>
      </c>
      <c r="D66" s="61"/>
      <c r="E66" s="61"/>
    </row>
    <row r="67" spans="1:5">
      <c r="A67" s="60">
        <v>44384</v>
      </c>
      <c r="B67" s="62">
        <v>109.81999969482422</v>
      </c>
      <c r="C67" s="61">
        <f>IFERROR(yf_data[[#This Row],[Close Price]]/B66-1,0)</f>
        <v>-9.55986277823484E-3</v>
      </c>
      <c r="D67" s="61"/>
      <c r="E67" s="61"/>
    </row>
    <row r="68" spans="1:5">
      <c r="A68" s="60">
        <v>44385</v>
      </c>
      <c r="B68" s="62">
        <v>109.01999664306641</v>
      </c>
      <c r="C68" s="61">
        <f>IFERROR(yf_data[[#This Row],[Close Price]]/B67-1,0)</f>
        <v>-7.2846754141405734E-3</v>
      </c>
      <c r="D68" s="61"/>
      <c r="E68" s="61"/>
    </row>
    <row r="69" spans="1:5">
      <c r="A69" s="60">
        <v>44386</v>
      </c>
      <c r="B69" s="62">
        <v>112.76000213623048</v>
      </c>
      <c r="C69" s="61">
        <f>IFERROR(yf_data[[#This Row],[Close Price]]/B68-1,0)</f>
        <v>3.4305683437222401E-2</v>
      </c>
      <c r="D69" s="61"/>
      <c r="E69" s="61"/>
    </row>
    <row r="70" spans="1:5">
      <c r="A70" s="60">
        <v>44389</v>
      </c>
      <c r="B70" s="62">
        <v>112.1999969482422</v>
      </c>
      <c r="C70" s="61">
        <f>IFERROR(yf_data[[#This Row],[Close Price]]/B69-1,0)</f>
        <v>-4.9663460214528499E-3</v>
      </c>
      <c r="D70" s="61"/>
      <c r="E70" s="61"/>
    </row>
    <row r="71" spans="1:5">
      <c r="A71" s="60">
        <v>44390</v>
      </c>
      <c r="B71" s="62">
        <v>111.23999786376952</v>
      </c>
      <c r="C71" s="61">
        <f>IFERROR(yf_data[[#This Row],[Close Price]]/B70-1,0)</f>
        <v>-8.5561418055610794E-3</v>
      </c>
      <c r="D71" s="61"/>
      <c r="E71" s="61"/>
    </row>
    <row r="72" spans="1:5">
      <c r="A72" s="60">
        <v>44391</v>
      </c>
      <c r="B72" s="62">
        <v>110.98000335693359</v>
      </c>
      <c r="C72" s="61">
        <f>IFERROR(yf_data[[#This Row],[Close Price]]/B71-1,0)</f>
        <v>-2.3372394087450843E-3</v>
      </c>
      <c r="D72" s="61"/>
      <c r="E72" s="61"/>
    </row>
    <row r="73" spans="1:5">
      <c r="A73" s="60">
        <v>44392</v>
      </c>
      <c r="B73" s="62">
        <v>110.40000152587891</v>
      </c>
      <c r="C73" s="61">
        <f>IFERROR(yf_data[[#This Row],[Close Price]]/B72-1,0)</f>
        <v>-5.2261832177936673E-3</v>
      </c>
      <c r="D73" s="61"/>
      <c r="E73" s="61"/>
    </row>
    <row r="74" spans="1:5">
      <c r="A74" s="60">
        <v>44393</v>
      </c>
      <c r="B74" s="62">
        <v>110.63999938964844</v>
      </c>
      <c r="C74" s="61">
        <f>IFERROR(yf_data[[#This Row],[Close Price]]/B73-1,0)</f>
        <v>2.1738936635185002E-3</v>
      </c>
      <c r="D74" s="61"/>
      <c r="E74" s="61"/>
    </row>
    <row r="75" spans="1:5">
      <c r="A75" s="60">
        <v>44396</v>
      </c>
      <c r="B75" s="62">
        <v>103.58000183105467</v>
      </c>
      <c r="C75" s="61">
        <f>IFERROR(yf_data[[#This Row],[Close Price]]/B74-1,0)</f>
        <v>-6.3810535046462613E-2</v>
      </c>
      <c r="D75" s="61"/>
      <c r="E75" s="61"/>
    </row>
    <row r="76" spans="1:5">
      <c r="A76" s="60">
        <v>44397</v>
      </c>
      <c r="B76" s="62">
        <v>106</v>
      </c>
      <c r="C76" s="61">
        <f>IFERROR(yf_data[[#This Row],[Close Price]]/B75-1,0)</f>
        <v>2.336356561271824E-2</v>
      </c>
      <c r="D76" s="61"/>
      <c r="E76" s="61"/>
    </row>
    <row r="77" spans="1:5">
      <c r="A77" s="60">
        <v>44398</v>
      </c>
      <c r="B77" s="62">
        <v>110.63999938964844</v>
      </c>
      <c r="C77" s="61">
        <f>IFERROR(yf_data[[#This Row],[Close Price]]/B76-1,0)</f>
        <v>4.3773579147626807E-2</v>
      </c>
      <c r="D77" s="61"/>
      <c r="E77" s="61"/>
    </row>
    <row r="78" spans="1:5">
      <c r="A78" s="60">
        <v>44399</v>
      </c>
      <c r="B78" s="62">
        <v>109.51999664306641</v>
      </c>
      <c r="C78" s="61">
        <f>IFERROR(yf_data[[#This Row],[Close Price]]/B77-1,0)</f>
        <v>-1.0122946066165817E-2</v>
      </c>
      <c r="D78" s="61"/>
      <c r="E78" s="61"/>
    </row>
    <row r="79" spans="1:5">
      <c r="A79" s="60">
        <v>44400</v>
      </c>
      <c r="B79" s="62">
        <v>111.5</v>
      </c>
      <c r="C79" s="61">
        <f>IFERROR(yf_data[[#This Row],[Close Price]]/B78-1,0)</f>
        <v>1.8078920905983731E-2</v>
      </c>
      <c r="D79" s="61"/>
      <c r="E79" s="61"/>
    </row>
    <row r="80" spans="1:5">
      <c r="A80" s="60">
        <v>44403</v>
      </c>
      <c r="B80" s="62">
        <v>112</v>
      </c>
      <c r="C80" s="61">
        <f>IFERROR(yf_data[[#This Row],[Close Price]]/B79-1,0)</f>
        <v>4.484304932735439E-3</v>
      </c>
      <c r="D80" s="61"/>
      <c r="E80" s="61"/>
    </row>
    <row r="81" spans="1:5">
      <c r="A81" s="60">
        <v>44404</v>
      </c>
      <c r="B81" s="62">
        <v>112.31999969482422</v>
      </c>
      <c r="C81" s="61">
        <f>IFERROR(yf_data[[#This Row],[Close Price]]/B80-1,0)</f>
        <v>2.8571401323591594E-3</v>
      </c>
      <c r="D81" s="61"/>
      <c r="E81" s="61"/>
    </row>
    <row r="82" spans="1:5">
      <c r="A82" s="60">
        <v>44405</v>
      </c>
      <c r="B82" s="62">
        <v>115.3000030517578</v>
      </c>
      <c r="C82" s="61">
        <f>IFERROR(yf_data[[#This Row],[Close Price]]/B81-1,0)</f>
        <v>2.6531368990654558E-2</v>
      </c>
      <c r="D82" s="61"/>
      <c r="E82" s="61"/>
    </row>
    <row r="83" spans="1:5">
      <c r="A83" s="60">
        <v>44406</v>
      </c>
      <c r="B83" s="62">
        <v>116</v>
      </c>
      <c r="C83" s="61">
        <f>IFERROR(yf_data[[#This Row],[Close Price]]/B82-1,0)</f>
        <v>6.0710921918014638E-3</v>
      </c>
      <c r="D83" s="61"/>
      <c r="E83" s="61"/>
    </row>
    <row r="84" spans="1:5">
      <c r="A84" s="60">
        <v>44407</v>
      </c>
      <c r="B84" s="62">
        <v>115.6999969482422</v>
      </c>
      <c r="C84" s="61">
        <f>IFERROR(yf_data[[#This Row],[Close Price]]/B83-1,0)</f>
        <v>-2.5862332048085523E-3</v>
      </c>
      <c r="D84" s="61"/>
      <c r="E84" s="61"/>
    </row>
    <row r="85" spans="1:5">
      <c r="A85" s="60">
        <v>44410</v>
      </c>
      <c r="B85" s="62">
        <v>116.77999877929688</v>
      </c>
      <c r="C85" s="61">
        <f>IFERROR(yf_data[[#This Row],[Close Price]]/B84-1,0)</f>
        <v>9.3345018110744249E-3</v>
      </c>
      <c r="D85" s="61"/>
      <c r="E85" s="61"/>
    </row>
    <row r="86" spans="1:5">
      <c r="A86" s="60">
        <v>44411</v>
      </c>
      <c r="B86" s="62">
        <v>114.77999877929688</v>
      </c>
      <c r="C86" s="61">
        <f>IFERROR(yf_data[[#This Row],[Close Price]]/B85-1,0)</f>
        <v>-1.7126220422213012E-2</v>
      </c>
      <c r="D86" s="61"/>
      <c r="E86" s="61"/>
    </row>
    <row r="87" spans="1:5">
      <c r="A87" s="60">
        <v>44412</v>
      </c>
      <c r="B87" s="62">
        <v>114.44000244140624</v>
      </c>
      <c r="C87" s="61">
        <f>IFERROR(yf_data[[#This Row],[Close Price]]/B86-1,0)</f>
        <v>-2.9621566606251593E-3</v>
      </c>
      <c r="D87" s="61"/>
      <c r="E87" s="61"/>
    </row>
    <row r="88" spans="1:5">
      <c r="A88" s="60">
        <v>44413</v>
      </c>
      <c r="B88" s="62">
        <v>116.63999938964844</v>
      </c>
      <c r="C88" s="61">
        <f>IFERROR(yf_data[[#This Row],[Close Price]]/B87-1,0)</f>
        <v>1.9224020458830537E-2</v>
      </c>
      <c r="D88" s="61"/>
      <c r="E88" s="61"/>
    </row>
    <row r="89" spans="1:5">
      <c r="A89" s="60">
        <v>44414</v>
      </c>
      <c r="B89" s="62">
        <v>116.90000152587891</v>
      </c>
      <c r="C89" s="61">
        <f>IFERROR(yf_data[[#This Row],[Close Price]]/B88-1,0)</f>
        <v>2.2290992591820213E-3</v>
      </c>
      <c r="D89" s="61"/>
      <c r="E89" s="61"/>
    </row>
    <row r="90" spans="1:5">
      <c r="A90" s="60">
        <v>44417</v>
      </c>
      <c r="B90" s="62">
        <v>114.76000213623048</v>
      </c>
      <c r="C90" s="61">
        <f>IFERROR(yf_data[[#This Row],[Close Price]]/B89-1,0)</f>
        <v>-1.830623919345864E-2</v>
      </c>
      <c r="D90" s="61"/>
      <c r="E90" s="61"/>
    </row>
    <row r="91" spans="1:5">
      <c r="A91" s="60">
        <v>44418</v>
      </c>
      <c r="B91" s="62">
        <v>115.16000366210938</v>
      </c>
      <c r="C91" s="61">
        <f>IFERROR(yf_data[[#This Row],[Close Price]]/B90-1,0)</f>
        <v>3.4855482610052224E-3</v>
      </c>
      <c r="D91" s="61"/>
      <c r="E91" s="61"/>
    </row>
    <row r="92" spans="1:5">
      <c r="A92" s="60">
        <v>44419</v>
      </c>
      <c r="B92" s="62">
        <v>115.72000122070313</v>
      </c>
      <c r="C92" s="61">
        <f>IFERROR(yf_data[[#This Row],[Close Price]]/B91-1,0)</f>
        <v>4.8627782284276222E-3</v>
      </c>
      <c r="D92" s="61"/>
      <c r="E92" s="61"/>
    </row>
    <row r="93" spans="1:5">
      <c r="A93" s="60">
        <v>44420</v>
      </c>
      <c r="B93" s="62">
        <v>115.3000030517578</v>
      </c>
      <c r="C93" s="61">
        <f>IFERROR(yf_data[[#This Row],[Close Price]]/B92-1,0)</f>
        <v>-3.6294345360773361E-3</v>
      </c>
      <c r="D93" s="61"/>
      <c r="E93" s="61"/>
    </row>
    <row r="94" spans="1:5">
      <c r="A94" s="60">
        <v>44421</v>
      </c>
      <c r="B94" s="62">
        <v>115.44000244140624</v>
      </c>
      <c r="C94" s="61">
        <f>IFERROR(yf_data[[#This Row],[Close Price]]/B93-1,0)</f>
        <v>1.2142184383603372E-3</v>
      </c>
      <c r="D94" s="61"/>
      <c r="E94" s="61"/>
    </row>
    <row r="95" spans="1:5">
      <c r="A95" s="60">
        <v>44424</v>
      </c>
      <c r="B95" s="62">
        <v>114.62000274658205</v>
      </c>
      <c r="C95" s="61">
        <f>IFERROR(yf_data[[#This Row],[Close Price]]/B94-1,0)</f>
        <v>-7.1032543094443623E-3</v>
      </c>
      <c r="D95" s="61"/>
      <c r="E95" s="61"/>
    </row>
    <row r="96" spans="1:5">
      <c r="A96" s="60">
        <v>44425</v>
      </c>
      <c r="B96" s="62">
        <v>113.54000091552734</v>
      </c>
      <c r="C96" s="61">
        <f>IFERROR(yf_data[[#This Row],[Close Price]]/B95-1,0)</f>
        <v>-9.4224551140739132E-3</v>
      </c>
      <c r="D96" s="61"/>
      <c r="E96" s="61"/>
    </row>
    <row r="97" spans="1:5">
      <c r="A97" s="60">
        <v>44426</v>
      </c>
      <c r="B97" s="62">
        <v>113.62000274658205</v>
      </c>
      <c r="C97" s="61">
        <f>IFERROR(yf_data[[#This Row],[Close Price]]/B96-1,0)</f>
        <v>7.0461361995421967E-4</v>
      </c>
      <c r="D97" s="61"/>
      <c r="E97" s="61"/>
    </row>
    <row r="98" spans="1:5">
      <c r="A98" s="60">
        <v>44427</v>
      </c>
      <c r="B98" s="62">
        <v>110.04000091552734</v>
      </c>
      <c r="C98" s="61">
        <f>IFERROR(yf_data[[#This Row],[Close Price]]/B97-1,0)</f>
        <v>-3.1508552583294103E-2</v>
      </c>
      <c r="D98" s="61"/>
      <c r="E98" s="61"/>
    </row>
    <row r="99" spans="1:5">
      <c r="A99" s="60">
        <v>44428</v>
      </c>
      <c r="B99" s="62">
        <v>110.48000335693359</v>
      </c>
      <c r="C99" s="61">
        <f>IFERROR(yf_data[[#This Row],[Close Price]]/B98-1,0)</f>
        <v>3.9985681365453107E-3</v>
      </c>
      <c r="D99" s="61"/>
      <c r="E99" s="61"/>
    </row>
    <row r="100" spans="1:5">
      <c r="A100" s="60">
        <v>44431</v>
      </c>
      <c r="B100" s="62">
        <v>111.72000122070313</v>
      </c>
      <c r="C100" s="61">
        <f>IFERROR(yf_data[[#This Row],[Close Price]]/B99-1,0)</f>
        <v>1.1223731228206191E-2</v>
      </c>
      <c r="D100" s="61"/>
      <c r="E100" s="61"/>
    </row>
    <row r="101" spans="1:5">
      <c r="A101" s="60">
        <v>44432</v>
      </c>
      <c r="B101" s="62">
        <v>113.45999908447266</v>
      </c>
      <c r="C101" s="61">
        <f>IFERROR(yf_data[[#This Row],[Close Price]]/B100-1,0)</f>
        <v>1.557463162153172E-2</v>
      </c>
      <c r="D101" s="61"/>
      <c r="E101" s="61"/>
    </row>
    <row r="102" spans="1:5">
      <c r="A102" s="60">
        <v>44433</v>
      </c>
      <c r="B102" s="62">
        <v>115.91999816894533</v>
      </c>
      <c r="C102" s="61">
        <f>IFERROR(yf_data[[#This Row],[Close Price]]/B101-1,0)</f>
        <v>2.168164202646583E-2</v>
      </c>
      <c r="D102" s="61"/>
      <c r="E102" s="61"/>
    </row>
    <row r="103" spans="1:5">
      <c r="A103" s="60">
        <v>44434</v>
      </c>
      <c r="B103" s="62">
        <v>115</v>
      </c>
      <c r="C103" s="61">
        <f>IFERROR(yf_data[[#This Row],[Close Price]]/B102-1,0)</f>
        <v>-7.9364922660237758E-3</v>
      </c>
      <c r="D103" s="61"/>
      <c r="E103" s="61"/>
    </row>
    <row r="104" spans="1:5">
      <c r="A104" s="60">
        <v>44435</v>
      </c>
      <c r="B104" s="62">
        <v>115.01999664306641</v>
      </c>
      <c r="C104" s="61">
        <f>IFERROR(yf_data[[#This Row],[Close Price]]/B103-1,0)</f>
        <v>1.7388385275141083E-4</v>
      </c>
      <c r="D104" s="61"/>
      <c r="E104" s="61"/>
    </row>
    <row r="105" spans="1:5">
      <c r="A105" s="60">
        <v>44438</v>
      </c>
      <c r="B105" s="62">
        <v>114.86000061035156</v>
      </c>
      <c r="C105" s="61">
        <f>IFERROR(yf_data[[#This Row],[Close Price]]/B104-1,0)</f>
        <v>-1.3910279723912122E-3</v>
      </c>
      <c r="D105" s="61"/>
      <c r="E105" s="61"/>
    </row>
    <row r="106" spans="1:5">
      <c r="A106" s="60">
        <v>44439</v>
      </c>
      <c r="B106" s="62">
        <v>115.6999969482422</v>
      </c>
      <c r="C106" s="61">
        <f>IFERROR(yf_data[[#This Row],[Close Price]]/B105-1,0)</f>
        <v>7.3132189920512847E-3</v>
      </c>
      <c r="D106" s="61"/>
      <c r="E106" s="61"/>
    </row>
    <row r="107" spans="1:5">
      <c r="A107" s="60">
        <v>44440</v>
      </c>
      <c r="B107" s="62">
        <v>118</v>
      </c>
      <c r="C107" s="61">
        <f>IFERROR(yf_data[[#This Row],[Close Price]]/B106-1,0)</f>
        <v>1.9879024307897675E-2</v>
      </c>
      <c r="D107" s="61"/>
      <c r="E107" s="61"/>
    </row>
    <row r="108" spans="1:5">
      <c r="A108" s="60">
        <v>44441</v>
      </c>
      <c r="B108" s="62">
        <v>116.77999877929688</v>
      </c>
      <c r="C108" s="61">
        <f>IFERROR(yf_data[[#This Row],[Close Price]]/B107-1,0)</f>
        <v>-1.0338993395789142E-2</v>
      </c>
      <c r="D108" s="61"/>
      <c r="E108" s="61"/>
    </row>
    <row r="109" spans="1:5">
      <c r="A109" s="60">
        <v>44442</v>
      </c>
      <c r="B109" s="62">
        <v>114.48000335693359</v>
      </c>
      <c r="C109" s="61">
        <f>IFERROR(yf_data[[#This Row],[Close Price]]/B108-1,0)</f>
        <v>-1.9695114286737203E-2</v>
      </c>
      <c r="D109" s="61"/>
      <c r="E109" s="61"/>
    </row>
    <row r="110" spans="1:5">
      <c r="A110" s="60">
        <v>44445</v>
      </c>
      <c r="B110" s="62">
        <v>115.87999725341795</v>
      </c>
      <c r="C110" s="61">
        <f>IFERROR(yf_data[[#This Row],[Close Price]]/B109-1,0)</f>
        <v>1.2229156668692287E-2</v>
      </c>
      <c r="D110" s="61"/>
      <c r="E110" s="61"/>
    </row>
    <row r="111" spans="1:5">
      <c r="A111" s="60">
        <v>44446</v>
      </c>
      <c r="B111" s="62">
        <v>114.09999847412109</v>
      </c>
      <c r="C111" s="61">
        <f>IFERROR(yf_data[[#This Row],[Close Price]]/B110-1,0)</f>
        <v>-1.5360707813999896E-2</v>
      </c>
      <c r="D111" s="61"/>
      <c r="E111" s="61"/>
    </row>
    <row r="112" spans="1:5">
      <c r="A112" s="60">
        <v>44447</v>
      </c>
      <c r="B112" s="62">
        <v>113.72000122070313</v>
      </c>
      <c r="C112" s="61">
        <f>IFERROR(yf_data[[#This Row],[Close Price]]/B111-1,0)</f>
        <v>-3.3303878921975283E-3</v>
      </c>
      <c r="D112" s="61"/>
      <c r="E112" s="61"/>
    </row>
    <row r="113" spans="1:5">
      <c r="A113" s="60">
        <v>44448</v>
      </c>
      <c r="B113" s="62">
        <v>115.1999969482422</v>
      </c>
      <c r="C113" s="61">
        <f>IFERROR(yf_data[[#This Row],[Close Price]]/B112-1,0)</f>
        <v>1.3014383676155372E-2</v>
      </c>
      <c r="D113" s="61"/>
      <c r="E113" s="61"/>
    </row>
    <row r="114" spans="1:5">
      <c r="A114" s="60">
        <v>44449</v>
      </c>
      <c r="B114" s="62">
        <v>114.36000061035156</v>
      </c>
      <c r="C114" s="61">
        <f>IFERROR(yf_data[[#This Row],[Close Price]]/B113-1,0)</f>
        <v>-7.2916350706853095E-3</v>
      </c>
      <c r="D114" s="61"/>
      <c r="E114" s="61"/>
    </row>
    <row r="115" spans="1:5">
      <c r="A115" s="60">
        <v>44452</v>
      </c>
      <c r="B115" s="62">
        <v>115.08000183105467</v>
      </c>
      <c r="C115" s="61">
        <f>IFERROR(yf_data[[#This Row],[Close Price]]/B114-1,0)</f>
        <v>6.2959183006330299E-3</v>
      </c>
      <c r="D115" s="61"/>
      <c r="E115" s="61"/>
    </row>
    <row r="116" spans="1:5">
      <c r="A116" s="60">
        <v>44453</v>
      </c>
      <c r="B116" s="62">
        <v>112.76000213623048</v>
      </c>
      <c r="C116" s="61">
        <f>IFERROR(yf_data[[#This Row],[Close Price]]/B115-1,0)</f>
        <v>-2.0159885800402622E-2</v>
      </c>
      <c r="D116" s="61"/>
      <c r="E116" s="61"/>
    </row>
    <row r="117" spans="1:5">
      <c r="A117" s="60">
        <v>44454</v>
      </c>
      <c r="B117" s="62">
        <v>112.36000061035156</v>
      </c>
      <c r="C117" s="61">
        <f>IFERROR(yf_data[[#This Row],[Close Price]]/B116-1,0)</f>
        <v>-3.5473706837612085E-3</v>
      </c>
      <c r="D117" s="61"/>
      <c r="E117" s="61"/>
    </row>
    <row r="118" spans="1:5">
      <c r="A118" s="60">
        <v>44455</v>
      </c>
      <c r="B118" s="62">
        <v>114.87999725341795</v>
      </c>
      <c r="C118" s="61">
        <f>IFERROR(yf_data[[#This Row],[Close Price]]/B117-1,0)</f>
        <v>2.2427880289938695E-2</v>
      </c>
      <c r="D118" s="61"/>
      <c r="E118" s="61"/>
    </row>
    <row r="119" spans="1:5">
      <c r="A119" s="60">
        <v>44456</v>
      </c>
      <c r="B119" s="62">
        <v>113.04000091552734</v>
      </c>
      <c r="C119" s="61">
        <f>IFERROR(yf_data[[#This Row],[Close Price]]/B118-1,0)</f>
        <v>-1.6016681597159965E-2</v>
      </c>
      <c r="D119" s="61"/>
      <c r="E119" s="61"/>
    </row>
    <row r="120" spans="1:5">
      <c r="A120" s="60">
        <v>44459</v>
      </c>
      <c r="B120" s="62">
        <v>111.94000244140624</v>
      </c>
      <c r="C120" s="61">
        <f>IFERROR(yf_data[[#This Row],[Close Price]]/B119-1,0)</f>
        <v>-9.7310550708781252E-3</v>
      </c>
      <c r="D120" s="61"/>
      <c r="E120" s="61"/>
    </row>
    <row r="121" spans="1:5">
      <c r="A121" s="60">
        <v>44460</v>
      </c>
      <c r="B121" s="62">
        <v>113.27999877929688</v>
      </c>
      <c r="C121" s="61">
        <f>IFERROR(yf_data[[#This Row],[Close Price]]/B120-1,0)</f>
        <v>1.1970665612519138E-2</v>
      </c>
      <c r="D121" s="61"/>
      <c r="E121" s="61"/>
    </row>
    <row r="122" spans="1:5">
      <c r="A122" s="60">
        <v>44461</v>
      </c>
      <c r="B122" s="62">
        <v>115.83999633789063</v>
      </c>
      <c r="C122" s="61">
        <f>IFERROR(yf_data[[#This Row],[Close Price]]/B121-1,0)</f>
        <v>2.2598848748059952E-2</v>
      </c>
      <c r="D122" s="61"/>
      <c r="E122" s="61"/>
    </row>
    <row r="123" spans="1:5">
      <c r="A123" s="60">
        <v>44462</v>
      </c>
      <c r="B123" s="62">
        <v>116.68000030517578</v>
      </c>
      <c r="C123" s="61">
        <f>IFERROR(yf_data[[#This Row],[Close Price]]/B122-1,0)</f>
        <v>7.2514156926850593E-3</v>
      </c>
      <c r="D123" s="61"/>
      <c r="E123" s="61"/>
    </row>
    <row r="124" spans="1:5">
      <c r="A124" s="60">
        <v>44463</v>
      </c>
      <c r="B124" s="62">
        <v>115.40000152587891</v>
      </c>
      <c r="C124" s="61">
        <f>IFERROR(yf_data[[#This Row],[Close Price]]/B123-1,0)</f>
        <v>-1.0970164346495115E-2</v>
      </c>
      <c r="D124" s="61"/>
      <c r="E124" s="61"/>
    </row>
    <row r="125" spans="1:5">
      <c r="A125" s="60">
        <v>44466</v>
      </c>
      <c r="B125" s="62">
        <v>117.23999786376952</v>
      </c>
      <c r="C125" s="61">
        <f>IFERROR(yf_data[[#This Row],[Close Price]]/B124-1,0)</f>
        <v>1.5944508783026112E-2</v>
      </c>
      <c r="D125" s="61"/>
      <c r="E125" s="61"/>
    </row>
    <row r="126" spans="1:5">
      <c r="A126" s="60">
        <v>44467</v>
      </c>
      <c r="B126" s="62">
        <v>113.36000061035156</v>
      </c>
      <c r="C126" s="61">
        <f>IFERROR(yf_data[[#This Row],[Close Price]]/B125-1,0)</f>
        <v>-3.3094484170209881E-2</v>
      </c>
      <c r="D126" s="61"/>
      <c r="E126" s="61"/>
    </row>
    <row r="127" spans="1:5">
      <c r="A127" s="60">
        <v>44468</v>
      </c>
      <c r="B127" s="62">
        <v>117.3000030517578</v>
      </c>
      <c r="C127" s="61">
        <f>IFERROR(yf_data[[#This Row],[Close Price]]/B126-1,0)</f>
        <v>3.4756549225410494E-2</v>
      </c>
      <c r="D127" s="61"/>
      <c r="E127" s="61"/>
    </row>
    <row r="128" spans="1:5">
      <c r="A128" s="60">
        <v>44469</v>
      </c>
      <c r="B128" s="62">
        <v>115.09999847412109</v>
      </c>
      <c r="C128" s="61">
        <f>IFERROR(yf_data[[#This Row],[Close Price]]/B127-1,0)</f>
        <v>-1.8755366755327074E-2</v>
      </c>
      <c r="D128" s="61"/>
      <c r="E128" s="61"/>
    </row>
    <row r="129" spans="1:5">
      <c r="A129" s="60">
        <v>44470</v>
      </c>
      <c r="B129" s="62">
        <v>116.58000183105467</v>
      </c>
      <c r="C129" s="61">
        <f>IFERROR(yf_data[[#This Row],[Close Price]]/B128-1,0)</f>
        <v>1.2858413349730258E-2</v>
      </c>
      <c r="D129" s="61"/>
      <c r="E129" s="61"/>
    </row>
    <row r="130" spans="1:5">
      <c r="A130" s="60">
        <v>44473</v>
      </c>
      <c r="B130" s="62">
        <v>113.66000366210938</v>
      </c>
      <c r="C130" s="61">
        <f>IFERROR(yf_data[[#This Row],[Close Price]]/B129-1,0)</f>
        <v>-2.5047161803761986E-2</v>
      </c>
      <c r="D130" s="61"/>
      <c r="E130" s="61"/>
    </row>
    <row r="131" spans="1:5">
      <c r="A131" s="60">
        <v>44474</v>
      </c>
      <c r="B131" s="62">
        <v>115.08000183105467</v>
      </c>
      <c r="C131" s="61">
        <f>IFERROR(yf_data[[#This Row],[Close Price]]/B130-1,0)</f>
        <v>1.2493384860048806E-2</v>
      </c>
      <c r="D131" s="61"/>
      <c r="E131" s="61"/>
    </row>
    <row r="132" spans="1:5">
      <c r="A132" s="60">
        <v>44475</v>
      </c>
      <c r="B132" s="62">
        <v>113.41999816894533</v>
      </c>
      <c r="C132" s="61">
        <f>IFERROR(yf_data[[#This Row],[Close Price]]/B131-1,0)</f>
        <v>-1.4424779594167436E-2</v>
      </c>
      <c r="D132" s="61"/>
      <c r="E132" s="61"/>
    </row>
    <row r="133" spans="1:5">
      <c r="A133" s="60">
        <v>44476</v>
      </c>
      <c r="B133" s="62">
        <v>114.1999969482422</v>
      </c>
      <c r="C133" s="61">
        <f>IFERROR(yf_data[[#This Row],[Close Price]]/B132-1,0)</f>
        <v>6.8770833352953531E-3</v>
      </c>
      <c r="D133" s="61"/>
      <c r="E133" s="61"/>
    </row>
    <row r="134" spans="1:5">
      <c r="A134" s="60">
        <v>44477</v>
      </c>
      <c r="B134" s="62">
        <v>113.22000122070313</v>
      </c>
      <c r="C134" s="61">
        <f>IFERROR(yf_data[[#This Row],[Close Price]]/B133-1,0)</f>
        <v>-8.5813988942856634E-3</v>
      </c>
      <c r="D134" s="61"/>
      <c r="E134" s="61"/>
    </row>
    <row r="135" spans="1:5">
      <c r="A135" s="60">
        <v>44480</v>
      </c>
      <c r="B135" s="62">
        <v>113.81999969482422</v>
      </c>
      <c r="C135" s="61">
        <f>IFERROR(yf_data[[#This Row],[Close Price]]/B134-1,0)</f>
        <v>5.2994035298719044E-3</v>
      </c>
      <c r="D135" s="61"/>
      <c r="E135" s="61"/>
    </row>
    <row r="136" spans="1:5">
      <c r="A136" s="60">
        <v>44481</v>
      </c>
      <c r="B136" s="62">
        <v>113.23999786376952</v>
      </c>
      <c r="C136" s="61">
        <f>IFERROR(yf_data[[#This Row],[Close Price]]/B135-1,0)</f>
        <v>-5.0957813443138766E-3</v>
      </c>
      <c r="D136" s="61"/>
      <c r="E136" s="61"/>
    </row>
    <row r="137" spans="1:5">
      <c r="A137" s="60">
        <v>44482</v>
      </c>
      <c r="B137" s="62">
        <v>112.33999633789063</v>
      </c>
      <c r="C137" s="61">
        <f>IFERROR(yf_data[[#This Row],[Close Price]]/B136-1,0)</f>
        <v>-7.9477352777912458E-3</v>
      </c>
      <c r="D137" s="61"/>
      <c r="E137" s="61"/>
    </row>
    <row r="138" spans="1:5">
      <c r="A138" s="60">
        <v>44483</v>
      </c>
      <c r="B138" s="62">
        <v>113.36000061035156</v>
      </c>
      <c r="C138" s="61">
        <f>IFERROR(yf_data[[#This Row],[Close Price]]/B137-1,0)</f>
        <v>9.0796181743946214E-3</v>
      </c>
      <c r="D138" s="61"/>
      <c r="E138" s="61"/>
    </row>
    <row r="139" spans="1:5">
      <c r="A139" s="60">
        <v>44484</v>
      </c>
      <c r="B139" s="62">
        <v>114.90000152587891</v>
      </c>
      <c r="C139" s="61">
        <f>IFERROR(yf_data[[#This Row],[Close Price]]/B138-1,0)</f>
        <v>1.3585046817534252E-2</v>
      </c>
      <c r="D139" s="61"/>
      <c r="E139" s="61"/>
    </row>
    <row r="140" spans="1:5">
      <c r="A140" s="60">
        <v>44487</v>
      </c>
      <c r="B140" s="62">
        <v>113.3000030517578</v>
      </c>
      <c r="C140" s="61">
        <f>IFERROR(yf_data[[#This Row],[Close Price]]/B139-1,0)</f>
        <v>-1.3925138841366702E-2</v>
      </c>
      <c r="D140" s="61"/>
      <c r="E140" s="61"/>
    </row>
    <row r="141" spans="1:5">
      <c r="A141" s="60">
        <v>44488</v>
      </c>
      <c r="B141" s="62">
        <v>112.31999969482422</v>
      </c>
      <c r="C141" s="61">
        <f>IFERROR(yf_data[[#This Row],[Close Price]]/B140-1,0)</f>
        <v>-8.6496322200970699E-3</v>
      </c>
      <c r="D141" s="61"/>
      <c r="E141" s="61"/>
    </row>
    <row r="142" spans="1:5">
      <c r="A142" s="60">
        <v>44489</v>
      </c>
      <c r="B142" s="62">
        <v>112.16000366210938</v>
      </c>
      <c r="C142" s="61">
        <f>IFERROR(yf_data[[#This Row],[Close Price]]/B141-1,0)</f>
        <v>-1.4244661071007858E-3</v>
      </c>
      <c r="D142" s="61"/>
      <c r="E142" s="61"/>
    </row>
    <row r="143" spans="1:5">
      <c r="A143" s="60">
        <v>44490</v>
      </c>
      <c r="B143" s="62">
        <v>111.37999725341795</v>
      </c>
      <c r="C143" s="61">
        <f>IFERROR(yf_data[[#This Row],[Close Price]]/B142-1,0)</f>
        <v>-6.9544078390122444E-3</v>
      </c>
      <c r="D143" s="61"/>
      <c r="E143" s="61"/>
    </row>
    <row r="144" spans="1:5">
      <c r="A144" s="60">
        <v>44491</v>
      </c>
      <c r="B144" s="62">
        <v>109.77999877929688</v>
      </c>
      <c r="C144" s="61">
        <f>IFERROR(yf_data[[#This Row],[Close Price]]/B143-1,0)</f>
        <v>-1.4365222783052078E-2</v>
      </c>
      <c r="D144" s="61"/>
      <c r="E144" s="61"/>
    </row>
    <row r="145" spans="1:5">
      <c r="A145" s="60">
        <v>44494</v>
      </c>
      <c r="B145" s="62">
        <v>108.08000183105467</v>
      </c>
      <c r="C145" s="61">
        <f>IFERROR(yf_data[[#This Row],[Close Price]]/B144-1,0)</f>
        <v>-1.5485488860861651E-2</v>
      </c>
      <c r="D145" s="61"/>
      <c r="E145" s="61"/>
    </row>
    <row r="146" spans="1:5">
      <c r="A146" s="60">
        <v>44495</v>
      </c>
      <c r="B146" s="62">
        <v>109.94000244140624</v>
      </c>
      <c r="C146" s="61">
        <f>IFERROR(yf_data[[#This Row],[Close Price]]/B145-1,0)</f>
        <v>1.7209479819023432E-2</v>
      </c>
      <c r="D146" s="61"/>
      <c r="E146" s="61"/>
    </row>
    <row r="147" spans="1:5">
      <c r="A147" s="60">
        <v>44496</v>
      </c>
      <c r="B147" s="62">
        <v>110</v>
      </c>
      <c r="C147" s="61">
        <f>IFERROR(yf_data[[#This Row],[Close Price]]/B146-1,0)</f>
        <v>5.4573000965452145E-4</v>
      </c>
      <c r="D147" s="61"/>
      <c r="E147" s="61"/>
    </row>
    <row r="148" spans="1:5">
      <c r="A148" s="60">
        <v>44497</v>
      </c>
      <c r="B148" s="62">
        <v>112</v>
      </c>
      <c r="C148" s="61">
        <f>IFERROR(yf_data[[#This Row],[Close Price]]/B147-1,0)</f>
        <v>1.8181818181818077E-2</v>
      </c>
      <c r="D148" s="61"/>
      <c r="E148" s="61"/>
    </row>
    <row r="149" spans="1:5">
      <c r="A149" s="60">
        <v>44498</v>
      </c>
      <c r="B149" s="62">
        <v>110.59999847412109</v>
      </c>
      <c r="C149" s="61">
        <f>IFERROR(yf_data[[#This Row],[Close Price]]/B148-1,0)</f>
        <v>-1.2500013623918838E-2</v>
      </c>
      <c r="D149" s="61"/>
      <c r="E149" s="61"/>
    </row>
    <row r="150" spans="1:5">
      <c r="A150" s="60">
        <v>44501</v>
      </c>
      <c r="B150" s="62">
        <v>109.66000366210938</v>
      </c>
      <c r="C150" s="61">
        <f>IFERROR(yf_data[[#This Row],[Close Price]]/B149-1,0)</f>
        <v>-8.4990490504542882E-3</v>
      </c>
      <c r="D150" s="61"/>
      <c r="E150" s="61"/>
    </row>
    <row r="151" spans="1:5">
      <c r="A151" s="60">
        <v>44502</v>
      </c>
      <c r="B151" s="62">
        <v>110.3000030517578</v>
      </c>
      <c r="C151" s="61">
        <f>IFERROR(yf_data[[#This Row],[Close Price]]/B150-1,0)</f>
        <v>5.8362152861166638E-3</v>
      </c>
      <c r="D151" s="61"/>
      <c r="E151" s="61"/>
    </row>
    <row r="152" spans="1:5">
      <c r="A152" s="60">
        <v>44503</v>
      </c>
      <c r="B152" s="62">
        <v>108</v>
      </c>
      <c r="C152" s="61">
        <f>IFERROR(yf_data[[#This Row],[Close Price]]/B151-1,0)</f>
        <v>-2.085224830572785E-2</v>
      </c>
      <c r="D152" s="61"/>
      <c r="E152" s="61"/>
    </row>
    <row r="153" spans="1:5">
      <c r="A153" s="60">
        <v>44504</v>
      </c>
      <c r="B153" s="62">
        <v>109</v>
      </c>
      <c r="C153" s="61">
        <f>IFERROR(yf_data[[#This Row],[Close Price]]/B152-1,0)</f>
        <v>9.2592592592593004E-3</v>
      </c>
      <c r="D153" s="61"/>
      <c r="E153" s="61"/>
    </row>
    <row r="154" spans="1:5">
      <c r="A154" s="60">
        <v>44505</v>
      </c>
      <c r="B154" s="62">
        <v>113.90000152587891</v>
      </c>
      <c r="C154" s="61">
        <f>IFERROR(yf_data[[#This Row],[Close Price]]/B153-1,0)</f>
        <v>4.4954142439256106E-2</v>
      </c>
      <c r="D154" s="61"/>
      <c r="E154" s="61"/>
    </row>
    <row r="155" spans="1:5">
      <c r="A155" s="60">
        <v>44508</v>
      </c>
      <c r="B155" s="62">
        <v>115.63999938964844</v>
      </c>
      <c r="C155" s="61">
        <f>IFERROR(yf_data[[#This Row],[Close Price]]/B154-1,0)</f>
        <v>1.5276539424577518E-2</v>
      </c>
      <c r="D155" s="61"/>
      <c r="E155" s="61"/>
    </row>
    <row r="156" spans="1:5">
      <c r="A156" s="60">
        <v>44509</v>
      </c>
      <c r="B156" s="62">
        <v>116.31999969482422</v>
      </c>
      <c r="C156" s="61">
        <f>IFERROR(yf_data[[#This Row],[Close Price]]/B155-1,0)</f>
        <v>5.8803208990387823E-3</v>
      </c>
      <c r="D156" s="61"/>
      <c r="E156" s="61"/>
    </row>
    <row r="157" spans="1:5">
      <c r="A157" s="60">
        <v>44510</v>
      </c>
      <c r="B157" s="62">
        <v>116.1999969482422</v>
      </c>
      <c r="C157" s="61">
        <f>IFERROR(yf_data[[#This Row],[Close Price]]/B156-1,0)</f>
        <v>-1.0316604788244144E-3</v>
      </c>
      <c r="D157" s="61"/>
      <c r="E157" s="61"/>
    </row>
    <row r="158" spans="1:5">
      <c r="A158" s="60">
        <v>44511</v>
      </c>
      <c r="B158" s="62">
        <v>114.6999969482422</v>
      </c>
      <c r="C158" s="61">
        <f>IFERROR(yf_data[[#This Row],[Close Price]]/B157-1,0)</f>
        <v>-1.2908778308041824E-2</v>
      </c>
      <c r="D158" s="61"/>
      <c r="E158" s="61"/>
    </row>
    <row r="159" spans="1:5">
      <c r="A159" s="60">
        <v>44512</v>
      </c>
      <c r="B159" s="62">
        <v>112.13999938964844</v>
      </c>
      <c r="C159" s="61">
        <f>IFERROR(yf_data[[#This Row],[Close Price]]/B158-1,0)</f>
        <v>-2.231907259552024E-2</v>
      </c>
    </row>
    <row r="160" spans="1:5">
      <c r="A160" s="60">
        <v>44515</v>
      </c>
      <c r="B160" s="62">
        <v>114.04000091552734</v>
      </c>
      <c r="C160" s="61">
        <f>IFERROR(yf_data[[#This Row],[Close Price]]/B159-1,0)</f>
        <v>1.69431205298749E-2</v>
      </c>
    </row>
    <row r="161" spans="1:3">
      <c r="A161" s="60">
        <v>44516</v>
      </c>
      <c r="B161" s="62">
        <v>115</v>
      </c>
      <c r="C161" s="61">
        <f>IFERROR(yf_data[[#This Row],[Close Price]]/B160-1,0)</f>
        <v>8.418090816955992E-3</v>
      </c>
    </row>
    <row r="162" spans="1:3">
      <c r="C162"/>
    </row>
    <row r="163" spans="1:3">
      <c r="C163"/>
    </row>
    <row r="164" spans="1:3">
      <c r="C164"/>
    </row>
    <row r="165" spans="1:3">
      <c r="C165"/>
    </row>
    <row r="166" spans="1:3">
      <c r="C166"/>
    </row>
    <row r="167" spans="1:3">
      <c r="C167"/>
    </row>
    <row r="168" spans="1:3">
      <c r="C168"/>
    </row>
    <row r="169" spans="1:3">
      <c r="C169"/>
    </row>
    <row r="170" spans="1:3">
      <c r="C170"/>
    </row>
    <row r="171" spans="1:3">
      <c r="C171"/>
    </row>
    <row r="172" spans="1:3">
      <c r="C172"/>
    </row>
    <row r="173" spans="1:3">
      <c r="C173"/>
    </row>
    <row r="174" spans="1:3">
      <c r="C174"/>
    </row>
    <row r="175" spans="1:3">
      <c r="C175"/>
    </row>
    <row r="176" spans="1:3">
      <c r="C176"/>
    </row>
    <row r="177" spans="3:3">
      <c r="C177"/>
    </row>
    <row r="178" spans="3:3">
      <c r="C178"/>
    </row>
    <row r="179" spans="3:3">
      <c r="C179"/>
    </row>
    <row r="180" spans="3:3">
      <c r="C180"/>
    </row>
    <row r="181" spans="3:3">
      <c r="C181"/>
    </row>
    <row r="182" spans="3:3">
      <c r="C182"/>
    </row>
    <row r="183" spans="3:3">
      <c r="C183"/>
    </row>
    <row r="184" spans="3:3">
      <c r="C184"/>
    </row>
    <row r="185" spans="3:3">
      <c r="C185"/>
    </row>
    <row r="186" spans="3:3">
      <c r="C186"/>
    </row>
    <row r="187" spans="3:3">
      <c r="C187"/>
    </row>
    <row r="188" spans="3:3">
      <c r="C188"/>
    </row>
    <row r="189" spans="3:3">
      <c r="C189"/>
    </row>
    <row r="190" spans="3:3">
      <c r="C190"/>
    </row>
    <row r="191" spans="3:3">
      <c r="C191"/>
    </row>
    <row r="192" spans="3:3">
      <c r="C192"/>
    </row>
    <row r="193" spans="3:3">
      <c r="C193"/>
    </row>
    <row r="194" spans="3:3">
      <c r="C194"/>
    </row>
    <row r="195" spans="3:3">
      <c r="C195"/>
    </row>
    <row r="196" spans="3:3">
      <c r="C196"/>
    </row>
    <row r="197" spans="3:3">
      <c r="C197"/>
    </row>
    <row r="198" spans="3:3">
      <c r="C198"/>
    </row>
    <row r="199" spans="3:3">
      <c r="C199"/>
    </row>
    <row r="200" spans="3:3">
      <c r="C200"/>
    </row>
    <row r="201" spans="3:3">
      <c r="C201"/>
    </row>
    <row r="202" spans="3:3">
      <c r="C202"/>
    </row>
    <row r="203" spans="3:3">
      <c r="C203"/>
    </row>
    <row r="204" spans="3:3">
      <c r="C204"/>
    </row>
    <row r="205" spans="3:3">
      <c r="C205"/>
    </row>
    <row r="206" spans="3:3">
      <c r="C206"/>
    </row>
    <row r="207" spans="3:3">
      <c r="C207"/>
    </row>
    <row r="208" spans="3:3">
      <c r="C208"/>
    </row>
    <row r="209" spans="3:3">
      <c r="C209"/>
    </row>
    <row r="210" spans="3:3">
      <c r="C210"/>
    </row>
    <row r="211" spans="3:3">
      <c r="C211"/>
    </row>
    <row r="212" spans="3:3">
      <c r="C212"/>
    </row>
    <row r="213" spans="3:3">
      <c r="C213"/>
    </row>
    <row r="214" spans="3:3">
      <c r="C214"/>
    </row>
    <row r="215" spans="3:3">
      <c r="C215"/>
    </row>
    <row r="216" spans="3:3">
      <c r="C216"/>
    </row>
    <row r="217" spans="3:3">
      <c r="C217"/>
    </row>
    <row r="218" spans="3:3">
      <c r="C218"/>
    </row>
    <row r="219" spans="3:3">
      <c r="C219"/>
    </row>
    <row r="220" spans="3:3">
      <c r="C220"/>
    </row>
    <row r="221" spans="3:3">
      <c r="C221"/>
    </row>
    <row r="222" spans="3:3">
      <c r="C222"/>
    </row>
    <row r="223" spans="3:3">
      <c r="C223"/>
    </row>
    <row r="224" spans="3:3">
      <c r="C224"/>
    </row>
    <row r="225" spans="3:3">
      <c r="C225"/>
    </row>
    <row r="226" spans="3:3">
      <c r="C226"/>
    </row>
    <row r="227" spans="3:3">
      <c r="C227"/>
    </row>
    <row r="228" spans="3:3">
      <c r="C228"/>
    </row>
    <row r="229" spans="3:3">
      <c r="C229"/>
    </row>
    <row r="230" spans="3:3">
      <c r="C230"/>
    </row>
    <row r="231" spans="3:3">
      <c r="C231"/>
    </row>
    <row r="232" spans="3:3">
      <c r="C232"/>
    </row>
    <row r="233" spans="3:3">
      <c r="C233"/>
    </row>
    <row r="234" spans="3:3">
      <c r="C234"/>
    </row>
    <row r="235" spans="3:3">
      <c r="C235"/>
    </row>
    <row r="236" spans="3:3">
      <c r="C236"/>
    </row>
    <row r="237" spans="3:3">
      <c r="C237"/>
    </row>
    <row r="238" spans="3:3">
      <c r="C238"/>
    </row>
    <row r="239" spans="3:3">
      <c r="C239"/>
    </row>
    <row r="240" spans="3:3">
      <c r="C240"/>
    </row>
    <row r="241" spans="3:3">
      <c r="C241"/>
    </row>
    <row r="242" spans="3:3">
      <c r="C242"/>
    </row>
    <row r="243" spans="3:3">
      <c r="C243"/>
    </row>
    <row r="244" spans="3:3">
      <c r="C244"/>
    </row>
    <row r="245" spans="3:3">
      <c r="C245"/>
    </row>
    <row r="246" spans="3:3">
      <c r="C246"/>
    </row>
    <row r="247" spans="3:3">
      <c r="C247"/>
    </row>
    <row r="248" spans="3:3">
      <c r="C248"/>
    </row>
    <row r="249" spans="3:3">
      <c r="C249"/>
    </row>
    <row r="250" spans="3:3">
      <c r="C250"/>
    </row>
    <row r="251" spans="3:3">
      <c r="C251"/>
    </row>
    <row r="252" spans="3:3">
      <c r="C252"/>
    </row>
    <row r="253" spans="3:3">
      <c r="C253"/>
    </row>
    <row r="254" spans="3:3">
      <c r="C254"/>
    </row>
    <row r="255" spans="3:3">
      <c r="C255"/>
    </row>
    <row r="256" spans="3:3">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row r="499" spans="3:3">
      <c r="C499"/>
    </row>
    <row r="500" spans="3:3">
      <c r="C500"/>
    </row>
    <row r="501" spans="3:3">
      <c r="C501"/>
    </row>
    <row r="502" spans="3:3">
      <c r="C502"/>
    </row>
    <row r="503" spans="3:3">
      <c r="C503"/>
    </row>
    <row r="504" spans="3:3">
      <c r="C504"/>
    </row>
    <row r="505" spans="3:3">
      <c r="C505"/>
    </row>
    <row r="506" spans="3:3">
      <c r="C506"/>
    </row>
    <row r="507" spans="3:3">
      <c r="C507"/>
    </row>
    <row r="508" spans="3:3">
      <c r="C508"/>
    </row>
    <row r="509" spans="3:3">
      <c r="C509"/>
    </row>
    <row r="510" spans="3:3">
      <c r="C510"/>
    </row>
    <row r="511" spans="3:3">
      <c r="C511"/>
    </row>
    <row r="512" spans="3:3">
      <c r="C512"/>
    </row>
    <row r="513" spans="3:3">
      <c r="C513"/>
    </row>
    <row r="514" spans="3:3">
      <c r="C514"/>
    </row>
    <row r="515" spans="3:3">
      <c r="C515"/>
    </row>
    <row r="516" spans="3:3">
      <c r="C516"/>
    </row>
    <row r="517" spans="3:3">
      <c r="C517"/>
    </row>
    <row r="518" spans="3:3">
      <c r="C518"/>
    </row>
    <row r="519" spans="3:3">
      <c r="C519"/>
    </row>
    <row r="520" spans="3:3">
      <c r="C520"/>
    </row>
    <row r="521" spans="3:3">
      <c r="C521"/>
    </row>
    <row r="522" spans="3:3">
      <c r="C522"/>
    </row>
    <row r="523" spans="3:3">
      <c r="C523"/>
    </row>
    <row r="524" spans="3:3">
      <c r="C524"/>
    </row>
    <row r="525" spans="3:3">
      <c r="C525"/>
    </row>
    <row r="526" spans="3:3">
      <c r="C526"/>
    </row>
    <row r="527" spans="3:3">
      <c r="C527"/>
    </row>
    <row r="528" spans="3:3">
      <c r="C528"/>
    </row>
    <row r="529" spans="3:3">
      <c r="C529"/>
    </row>
    <row r="530" spans="3:3">
      <c r="C530"/>
    </row>
    <row r="531" spans="3:3">
      <c r="C531"/>
    </row>
    <row r="532" spans="3:3">
      <c r="C532"/>
    </row>
    <row r="533" spans="3:3">
      <c r="C533"/>
    </row>
    <row r="534" spans="3:3">
      <c r="C534"/>
    </row>
    <row r="535" spans="3:3">
      <c r="C535"/>
    </row>
    <row r="536" spans="3:3">
      <c r="C536"/>
    </row>
    <row r="537" spans="3:3">
      <c r="C537"/>
    </row>
    <row r="538" spans="3:3">
      <c r="C538"/>
    </row>
    <row r="539" spans="3:3">
      <c r="C539"/>
    </row>
    <row r="540" spans="3:3">
      <c r="C540"/>
    </row>
    <row r="541" spans="3:3">
      <c r="C541"/>
    </row>
    <row r="542" spans="3:3">
      <c r="C542"/>
    </row>
    <row r="543" spans="3:3">
      <c r="C543"/>
    </row>
    <row r="544" spans="3:3">
      <c r="C544"/>
    </row>
    <row r="545" spans="3:3">
      <c r="C545"/>
    </row>
    <row r="546" spans="3:3">
      <c r="C546"/>
    </row>
    <row r="547" spans="3:3">
      <c r="C547"/>
    </row>
    <row r="548" spans="3:3">
      <c r="C548"/>
    </row>
    <row r="549" spans="3:3">
      <c r="C549"/>
    </row>
    <row r="550" spans="3:3">
      <c r="C550"/>
    </row>
    <row r="551" spans="3:3">
      <c r="C551"/>
    </row>
    <row r="552" spans="3:3">
      <c r="C552"/>
    </row>
    <row r="553" spans="3:3">
      <c r="C553"/>
    </row>
    <row r="554" spans="3:3">
      <c r="C554"/>
    </row>
    <row r="555" spans="3:3">
      <c r="C555"/>
    </row>
    <row r="556" spans="3:3">
      <c r="C556"/>
    </row>
    <row r="557" spans="3:3">
      <c r="C557"/>
    </row>
    <row r="558" spans="3:3">
      <c r="C558"/>
    </row>
    <row r="559" spans="3:3">
      <c r="C559"/>
    </row>
    <row r="560" spans="3:3">
      <c r="C560"/>
    </row>
    <row r="561" spans="3:3">
      <c r="C561"/>
    </row>
    <row r="562" spans="3:3">
      <c r="C562"/>
    </row>
    <row r="563" spans="3:3">
      <c r="C563"/>
    </row>
    <row r="564" spans="3:3">
      <c r="C564"/>
    </row>
    <row r="565" spans="3:3">
      <c r="C565"/>
    </row>
    <row r="566" spans="3:3">
      <c r="C566"/>
    </row>
    <row r="567" spans="3:3">
      <c r="C567"/>
    </row>
    <row r="568" spans="3:3">
      <c r="C568"/>
    </row>
    <row r="569" spans="3:3">
      <c r="C569"/>
    </row>
    <row r="570" spans="3:3">
      <c r="C570"/>
    </row>
    <row r="571" spans="3:3">
      <c r="C571"/>
    </row>
    <row r="572" spans="3:3">
      <c r="C572"/>
    </row>
    <row r="573" spans="3:3">
      <c r="C573"/>
    </row>
    <row r="574" spans="3:3">
      <c r="C574"/>
    </row>
    <row r="575" spans="3:3">
      <c r="C575"/>
    </row>
    <row r="576" spans="3:3">
      <c r="C576"/>
    </row>
    <row r="577" spans="3:3">
      <c r="C577"/>
    </row>
    <row r="578" spans="3:3">
      <c r="C578"/>
    </row>
    <row r="579" spans="3:3">
      <c r="C579"/>
    </row>
    <row r="580" spans="3:3">
      <c r="C580"/>
    </row>
    <row r="581" spans="3:3">
      <c r="C581"/>
    </row>
    <row r="582" spans="3:3">
      <c r="C582"/>
    </row>
    <row r="583" spans="3:3">
      <c r="C583"/>
    </row>
    <row r="584" spans="3:3">
      <c r="C584"/>
    </row>
    <row r="585" spans="3:3">
      <c r="C585"/>
    </row>
    <row r="586" spans="3:3">
      <c r="C586"/>
    </row>
    <row r="587" spans="3:3">
      <c r="C587"/>
    </row>
    <row r="588" spans="3:3">
      <c r="C588"/>
    </row>
    <row r="589" spans="3:3">
      <c r="C589"/>
    </row>
    <row r="590" spans="3:3">
      <c r="C590"/>
    </row>
    <row r="591" spans="3:3">
      <c r="C591"/>
    </row>
    <row r="592" spans="3:3">
      <c r="C592"/>
    </row>
    <row r="593" spans="3:3">
      <c r="C593"/>
    </row>
    <row r="594" spans="3:3">
      <c r="C594"/>
    </row>
    <row r="595" spans="3:3">
      <c r="C595"/>
    </row>
    <row r="596" spans="3:3">
      <c r="C596"/>
    </row>
    <row r="597" spans="3:3">
      <c r="C597"/>
    </row>
    <row r="598" spans="3:3">
      <c r="C598"/>
    </row>
    <row r="599" spans="3:3">
      <c r="C599"/>
    </row>
    <row r="600" spans="3:3">
      <c r="C600"/>
    </row>
    <row r="601" spans="3:3">
      <c r="C601"/>
    </row>
    <row r="602" spans="3:3">
      <c r="C602"/>
    </row>
    <row r="603" spans="3:3">
      <c r="C603"/>
    </row>
    <row r="604" spans="3:3">
      <c r="C604"/>
    </row>
    <row r="605" spans="3:3">
      <c r="C605"/>
    </row>
    <row r="606" spans="3:3">
      <c r="C606"/>
    </row>
    <row r="607" spans="3:3">
      <c r="C607"/>
    </row>
    <row r="608" spans="3:3">
      <c r="C608"/>
    </row>
    <row r="609" spans="3:3">
      <c r="C609"/>
    </row>
    <row r="610" spans="3:3">
      <c r="C610"/>
    </row>
    <row r="611" spans="3:3">
      <c r="C611"/>
    </row>
    <row r="612" spans="3:3">
      <c r="C612"/>
    </row>
    <row r="613" spans="3:3">
      <c r="C613"/>
    </row>
    <row r="614" spans="3:3">
      <c r="C614"/>
    </row>
    <row r="615" spans="3:3">
      <c r="C615"/>
    </row>
    <row r="616" spans="3:3">
      <c r="C616"/>
    </row>
    <row r="617" spans="3:3">
      <c r="C617"/>
    </row>
    <row r="618" spans="3:3">
      <c r="C618"/>
    </row>
    <row r="619" spans="3:3">
      <c r="C619"/>
    </row>
    <row r="620" spans="3:3">
      <c r="C620"/>
    </row>
    <row r="621" spans="3:3">
      <c r="C621"/>
    </row>
    <row r="622" spans="3:3">
      <c r="C622"/>
    </row>
    <row r="623" spans="3:3">
      <c r="C623"/>
    </row>
    <row r="624" spans="3:3">
      <c r="C624"/>
    </row>
    <row r="625" spans="3:3">
      <c r="C625"/>
    </row>
    <row r="626" spans="3:3">
      <c r="C626"/>
    </row>
    <row r="627" spans="3:3">
      <c r="C627"/>
    </row>
    <row r="628" spans="3:3">
      <c r="C628"/>
    </row>
    <row r="629" spans="3:3">
      <c r="C629"/>
    </row>
    <row r="630" spans="3:3">
      <c r="C630"/>
    </row>
    <row r="631" spans="3:3">
      <c r="C631"/>
    </row>
    <row r="632" spans="3:3">
      <c r="C632"/>
    </row>
    <row r="633" spans="3:3">
      <c r="C633"/>
    </row>
    <row r="634" spans="3:3">
      <c r="C634"/>
    </row>
    <row r="635" spans="3:3">
      <c r="C635"/>
    </row>
    <row r="636" spans="3:3">
      <c r="C636"/>
    </row>
    <row r="637" spans="3:3">
      <c r="C637"/>
    </row>
    <row r="638" spans="3:3">
      <c r="C638"/>
    </row>
    <row r="639" spans="3:3">
      <c r="C639"/>
    </row>
    <row r="640" spans="3:3">
      <c r="C640"/>
    </row>
    <row r="641" spans="3:3">
      <c r="C641"/>
    </row>
    <row r="642" spans="3:3">
      <c r="C642"/>
    </row>
    <row r="643" spans="3:3">
      <c r="C643"/>
    </row>
    <row r="644" spans="3:3">
      <c r="C644"/>
    </row>
    <row r="645" spans="3:3">
      <c r="C645"/>
    </row>
    <row r="646" spans="3:3">
      <c r="C646"/>
    </row>
    <row r="647" spans="3:3">
      <c r="C647"/>
    </row>
    <row r="648" spans="3:3">
      <c r="C648"/>
    </row>
    <row r="649" spans="3:3">
      <c r="C649"/>
    </row>
    <row r="650" spans="3:3">
      <c r="C650"/>
    </row>
    <row r="651" spans="3:3">
      <c r="C651"/>
    </row>
    <row r="652" spans="3:3">
      <c r="C652"/>
    </row>
    <row r="653" spans="3:3">
      <c r="C653"/>
    </row>
    <row r="654" spans="3:3">
      <c r="C654"/>
    </row>
    <row r="655" spans="3:3">
      <c r="C655"/>
    </row>
    <row r="656" spans="3:3">
      <c r="C656"/>
    </row>
    <row r="657" spans="3:3">
      <c r="C657"/>
    </row>
    <row r="658" spans="3:3">
      <c r="C658"/>
    </row>
    <row r="659" spans="3:3">
      <c r="C659"/>
    </row>
    <row r="660" spans="3:3">
      <c r="C660"/>
    </row>
    <row r="661" spans="3:3">
      <c r="C661"/>
    </row>
    <row r="662" spans="3:3">
      <c r="C662"/>
    </row>
    <row r="663" spans="3:3">
      <c r="C663"/>
    </row>
    <row r="664" spans="3:3">
      <c r="C664"/>
    </row>
    <row r="665" spans="3:3">
      <c r="C665"/>
    </row>
    <row r="666" spans="3:3">
      <c r="C666"/>
    </row>
    <row r="667" spans="3:3">
      <c r="C667"/>
    </row>
    <row r="668" spans="3:3">
      <c r="C668"/>
    </row>
    <row r="669" spans="3:3">
      <c r="C669"/>
    </row>
    <row r="670" spans="3:3">
      <c r="C670"/>
    </row>
    <row r="671" spans="3:3">
      <c r="C671"/>
    </row>
    <row r="672" spans="3:3">
      <c r="C672"/>
    </row>
    <row r="673" spans="3:3">
      <c r="C673"/>
    </row>
    <row r="674" spans="3:3">
      <c r="C674"/>
    </row>
    <row r="675" spans="3:3">
      <c r="C675"/>
    </row>
    <row r="676" spans="3:3">
      <c r="C676"/>
    </row>
    <row r="677" spans="3:3">
      <c r="C677"/>
    </row>
    <row r="678" spans="3:3">
      <c r="C678"/>
    </row>
    <row r="679" spans="3:3">
      <c r="C679"/>
    </row>
    <row r="680" spans="3:3">
      <c r="C680"/>
    </row>
    <row r="681" spans="3:3">
      <c r="C681"/>
    </row>
    <row r="682" spans="3:3">
      <c r="C682"/>
    </row>
    <row r="683" spans="3:3">
      <c r="C683"/>
    </row>
    <row r="684" spans="3:3">
      <c r="C684"/>
    </row>
    <row r="685" spans="3:3">
      <c r="C685"/>
    </row>
    <row r="686" spans="3:3">
      <c r="C686"/>
    </row>
    <row r="687" spans="3:3">
      <c r="C687"/>
    </row>
    <row r="688" spans="3:3">
      <c r="C688"/>
    </row>
    <row r="689" spans="3:3">
      <c r="C689"/>
    </row>
    <row r="690" spans="3:3">
      <c r="C690"/>
    </row>
    <row r="691" spans="3:3">
      <c r="C691"/>
    </row>
    <row r="692" spans="3:3">
      <c r="C692"/>
    </row>
    <row r="693" spans="3:3">
      <c r="C693"/>
    </row>
    <row r="694" spans="3:3">
      <c r="C694"/>
    </row>
    <row r="695" spans="3:3">
      <c r="C695"/>
    </row>
    <row r="696" spans="3:3">
      <c r="C696"/>
    </row>
    <row r="697" spans="3:3">
      <c r="C697"/>
    </row>
    <row r="698" spans="3:3">
      <c r="C698"/>
    </row>
    <row r="699" spans="3:3">
      <c r="C699"/>
    </row>
    <row r="700" spans="3:3">
      <c r="C700"/>
    </row>
    <row r="701" spans="3:3">
      <c r="C701"/>
    </row>
    <row r="702" spans="3:3">
      <c r="C702"/>
    </row>
    <row r="703" spans="3:3">
      <c r="C703"/>
    </row>
    <row r="704" spans="3:3">
      <c r="C704"/>
    </row>
    <row r="705" spans="3:3">
      <c r="C705"/>
    </row>
    <row r="706" spans="3:3">
      <c r="C706"/>
    </row>
    <row r="707" spans="3:3">
      <c r="C707"/>
    </row>
    <row r="708" spans="3:3">
      <c r="C708"/>
    </row>
    <row r="709" spans="3:3">
      <c r="C709"/>
    </row>
    <row r="710" spans="3:3">
      <c r="C710"/>
    </row>
    <row r="711" spans="3:3">
      <c r="C711"/>
    </row>
    <row r="712" spans="3:3">
      <c r="C712"/>
    </row>
    <row r="713" spans="3:3">
      <c r="C713"/>
    </row>
    <row r="714" spans="3:3">
      <c r="C714"/>
    </row>
    <row r="715" spans="3:3">
      <c r="C715"/>
    </row>
    <row r="716" spans="3:3">
      <c r="C716"/>
    </row>
    <row r="717" spans="3:3">
      <c r="C717"/>
    </row>
    <row r="718" spans="3:3">
      <c r="C718"/>
    </row>
    <row r="719" spans="3:3">
      <c r="C719"/>
    </row>
    <row r="720" spans="3:3">
      <c r="C720"/>
    </row>
    <row r="721" spans="3:3">
      <c r="C721"/>
    </row>
    <row r="722" spans="3:3">
      <c r="C722"/>
    </row>
    <row r="723" spans="3:3">
      <c r="C723"/>
    </row>
    <row r="724" spans="3:3">
      <c r="C724"/>
    </row>
    <row r="725" spans="3:3">
      <c r="C725"/>
    </row>
    <row r="726" spans="3:3">
      <c r="C726"/>
    </row>
    <row r="727" spans="3:3">
      <c r="C727"/>
    </row>
    <row r="728" spans="3:3">
      <c r="C728"/>
    </row>
    <row r="729" spans="3:3">
      <c r="C729"/>
    </row>
    <row r="730" spans="3:3">
      <c r="C730"/>
    </row>
    <row r="731" spans="3:3">
      <c r="C731"/>
    </row>
    <row r="732" spans="3:3">
      <c r="C732"/>
    </row>
    <row r="733" spans="3:3">
      <c r="C733"/>
    </row>
    <row r="734" spans="3:3">
      <c r="C734"/>
    </row>
    <row r="735" spans="3:3">
      <c r="C735"/>
    </row>
    <row r="736" spans="3:3">
      <c r="C736"/>
    </row>
    <row r="737" spans="3:3">
      <c r="C737"/>
    </row>
    <row r="738" spans="3:3">
      <c r="C738"/>
    </row>
    <row r="739" spans="3:3">
      <c r="C739"/>
    </row>
    <row r="740" spans="3:3">
      <c r="C740"/>
    </row>
    <row r="741" spans="3:3">
      <c r="C741"/>
    </row>
    <row r="742" spans="3:3">
      <c r="C742"/>
    </row>
    <row r="743" spans="3:3">
      <c r="C743"/>
    </row>
    <row r="744" spans="3:3">
      <c r="C744"/>
    </row>
    <row r="745" spans="3:3">
      <c r="C745"/>
    </row>
    <row r="746" spans="3:3">
      <c r="C746"/>
    </row>
    <row r="747" spans="3:3">
      <c r="C747"/>
    </row>
    <row r="748" spans="3:3">
      <c r="C748"/>
    </row>
    <row r="749" spans="3:3">
      <c r="C749"/>
    </row>
    <row r="750" spans="3:3">
      <c r="C750"/>
    </row>
    <row r="751" spans="3:3">
      <c r="C751"/>
    </row>
    <row r="752" spans="3:3">
      <c r="C752"/>
    </row>
    <row r="753" spans="3:3">
      <c r="C753"/>
    </row>
    <row r="754" spans="3:3">
      <c r="C754"/>
    </row>
    <row r="755" spans="3:3">
      <c r="C755"/>
    </row>
    <row r="756" spans="3:3">
      <c r="C756"/>
    </row>
    <row r="757" spans="3:3">
      <c r="C757"/>
    </row>
    <row r="758" spans="3:3">
      <c r="C758"/>
    </row>
    <row r="759" spans="3:3">
      <c r="C759"/>
    </row>
    <row r="760" spans="3:3">
      <c r="C760"/>
    </row>
    <row r="761" spans="3:3">
      <c r="C761"/>
    </row>
    <row r="762" spans="3:3">
      <c r="C762"/>
    </row>
    <row r="763" spans="3:3">
      <c r="C763"/>
    </row>
    <row r="764" spans="3:3">
      <c r="C764"/>
    </row>
    <row r="765" spans="3:3">
      <c r="C765"/>
    </row>
    <row r="766" spans="3:3">
      <c r="C766"/>
    </row>
    <row r="767" spans="3:3">
      <c r="C767"/>
    </row>
    <row r="768" spans="3:3">
      <c r="C768"/>
    </row>
    <row r="769" spans="3:3">
      <c r="C769"/>
    </row>
    <row r="770" spans="3:3">
      <c r="C770"/>
    </row>
    <row r="771" spans="3:3">
      <c r="C771"/>
    </row>
    <row r="772" spans="3:3">
      <c r="C772"/>
    </row>
    <row r="773" spans="3:3">
      <c r="C773"/>
    </row>
    <row r="774" spans="3:3">
      <c r="C774"/>
    </row>
    <row r="775" spans="3:3">
      <c r="C775"/>
    </row>
    <row r="776" spans="3:3">
      <c r="C776"/>
    </row>
    <row r="777" spans="3:3">
      <c r="C777"/>
    </row>
    <row r="778" spans="3:3">
      <c r="C778"/>
    </row>
    <row r="779" spans="3:3">
      <c r="C779"/>
    </row>
    <row r="780" spans="3:3">
      <c r="C780"/>
    </row>
    <row r="781" spans="3:3">
      <c r="C781"/>
    </row>
    <row r="782" spans="3:3">
      <c r="C782"/>
    </row>
    <row r="783" spans="3:3">
      <c r="C783"/>
    </row>
    <row r="784" spans="3:3">
      <c r="C784"/>
    </row>
    <row r="785" spans="3:3">
      <c r="C785"/>
    </row>
    <row r="786" spans="3:3">
      <c r="C786"/>
    </row>
    <row r="787" spans="3:3">
      <c r="C787"/>
    </row>
    <row r="788" spans="3:3">
      <c r="C788"/>
    </row>
    <row r="789" spans="3:3">
      <c r="C789"/>
    </row>
    <row r="790" spans="3:3">
      <c r="C790"/>
    </row>
    <row r="791" spans="3:3">
      <c r="C791"/>
    </row>
    <row r="792" spans="3:3">
      <c r="C792"/>
    </row>
    <row r="793" spans="3:3">
      <c r="C793"/>
    </row>
    <row r="794" spans="3:3">
      <c r="C794"/>
    </row>
    <row r="795" spans="3:3">
      <c r="C795"/>
    </row>
    <row r="796" spans="3:3">
      <c r="C796"/>
    </row>
    <row r="797" spans="3:3">
      <c r="C797"/>
    </row>
    <row r="798" spans="3:3">
      <c r="C798"/>
    </row>
    <row r="799" spans="3:3">
      <c r="C799"/>
    </row>
    <row r="800" spans="3:3">
      <c r="C800"/>
    </row>
    <row r="801" spans="3:3">
      <c r="C801"/>
    </row>
    <row r="802" spans="3:3">
      <c r="C802"/>
    </row>
    <row r="803" spans="3:3">
      <c r="C803"/>
    </row>
    <row r="804" spans="3:3">
      <c r="C804"/>
    </row>
    <row r="805" spans="3:3">
      <c r="C805"/>
    </row>
    <row r="806" spans="3:3">
      <c r="C806"/>
    </row>
    <row r="807" spans="3:3">
      <c r="C807"/>
    </row>
    <row r="808" spans="3:3">
      <c r="C808"/>
    </row>
    <row r="809" spans="3:3">
      <c r="C809"/>
    </row>
    <row r="810" spans="3:3">
      <c r="C810"/>
    </row>
    <row r="811" spans="3:3">
      <c r="C811"/>
    </row>
    <row r="812" spans="3:3">
      <c r="C812"/>
    </row>
    <row r="813" spans="3:3">
      <c r="C813"/>
    </row>
    <row r="814" spans="3:3">
      <c r="C814"/>
    </row>
    <row r="815" spans="3:3">
      <c r="C815"/>
    </row>
    <row r="816" spans="3:3">
      <c r="C816"/>
    </row>
    <row r="817" spans="3:3">
      <c r="C817"/>
    </row>
    <row r="818" spans="3:3">
      <c r="C818"/>
    </row>
    <row r="819" spans="3:3">
      <c r="C819"/>
    </row>
    <row r="820" spans="3:3">
      <c r="C820"/>
    </row>
    <row r="821" spans="3:3">
      <c r="C821"/>
    </row>
    <row r="822" spans="3:3">
      <c r="C822"/>
    </row>
    <row r="823" spans="3:3">
      <c r="C823"/>
    </row>
    <row r="824" spans="3:3">
      <c r="C824"/>
    </row>
    <row r="825" spans="3:3">
      <c r="C825"/>
    </row>
    <row r="826" spans="3:3">
      <c r="C826"/>
    </row>
    <row r="827" spans="3:3">
      <c r="C827"/>
    </row>
    <row r="828" spans="3:3">
      <c r="C828"/>
    </row>
    <row r="829" spans="3:3">
      <c r="C829"/>
    </row>
    <row r="830" spans="3:3">
      <c r="C830"/>
    </row>
    <row r="831" spans="3:3">
      <c r="C831"/>
    </row>
    <row r="832" spans="3:3">
      <c r="C832"/>
    </row>
    <row r="833" spans="3:3">
      <c r="C833"/>
    </row>
    <row r="834" spans="3:3">
      <c r="C834"/>
    </row>
    <row r="835" spans="3:3">
      <c r="C835"/>
    </row>
    <row r="836" spans="3:3">
      <c r="C836"/>
    </row>
    <row r="837" spans="3:3">
      <c r="C837"/>
    </row>
    <row r="838" spans="3:3">
      <c r="C838"/>
    </row>
    <row r="839" spans="3:3">
      <c r="C839"/>
    </row>
    <row r="840" spans="3:3">
      <c r="C840"/>
    </row>
    <row r="841" spans="3:3">
      <c r="C841"/>
    </row>
    <row r="842" spans="3:3">
      <c r="C842"/>
    </row>
    <row r="843" spans="3:3">
      <c r="C843"/>
    </row>
    <row r="844" spans="3:3">
      <c r="C844"/>
    </row>
    <row r="845" spans="3:3">
      <c r="C845"/>
    </row>
    <row r="846" spans="3:3">
      <c r="C846"/>
    </row>
    <row r="847" spans="3:3">
      <c r="C847"/>
    </row>
    <row r="848" spans="3:3">
      <c r="C848"/>
    </row>
    <row r="849" spans="3:3">
      <c r="C849"/>
    </row>
    <row r="850" spans="3:3">
      <c r="C850"/>
    </row>
    <row r="851" spans="3:3">
      <c r="C851"/>
    </row>
    <row r="852" spans="3:3">
      <c r="C852"/>
    </row>
    <row r="853" spans="3:3">
      <c r="C853"/>
    </row>
    <row r="854" spans="3:3">
      <c r="C854"/>
    </row>
    <row r="855" spans="3:3">
      <c r="C855"/>
    </row>
    <row r="856" spans="3:3">
      <c r="C856"/>
    </row>
    <row r="857" spans="3:3">
      <c r="C857"/>
    </row>
    <row r="858" spans="3:3">
      <c r="C858"/>
    </row>
    <row r="859" spans="3:3">
      <c r="C859"/>
    </row>
    <row r="860" spans="3:3">
      <c r="C860"/>
    </row>
    <row r="861" spans="3:3">
      <c r="C861"/>
    </row>
    <row r="862" spans="3:3">
      <c r="C862"/>
    </row>
    <row r="863" spans="3:3">
      <c r="C863"/>
    </row>
    <row r="864" spans="3:3">
      <c r="C864"/>
    </row>
    <row r="865" spans="3:3">
      <c r="C865"/>
    </row>
    <row r="866" spans="3:3">
      <c r="C866"/>
    </row>
    <row r="867" spans="3:3">
      <c r="C867"/>
    </row>
    <row r="868" spans="3:3">
      <c r="C868"/>
    </row>
    <row r="869" spans="3:3">
      <c r="C869"/>
    </row>
    <row r="870" spans="3:3">
      <c r="C870"/>
    </row>
    <row r="871" spans="3:3">
      <c r="C871"/>
    </row>
    <row r="872" spans="3:3">
      <c r="C872"/>
    </row>
    <row r="873" spans="3:3">
      <c r="C873"/>
    </row>
    <row r="874" spans="3:3">
      <c r="C874"/>
    </row>
    <row r="875" spans="3:3">
      <c r="C875"/>
    </row>
    <row r="876" spans="3:3">
      <c r="C876"/>
    </row>
    <row r="877" spans="3:3">
      <c r="C877"/>
    </row>
    <row r="878" spans="3:3">
      <c r="C878"/>
    </row>
    <row r="879" spans="3:3">
      <c r="C879"/>
    </row>
    <row r="880" spans="3:3">
      <c r="C880"/>
    </row>
    <row r="881" spans="3:3">
      <c r="C881"/>
    </row>
    <row r="882" spans="3:3">
      <c r="C882"/>
    </row>
    <row r="883" spans="3:3">
      <c r="C883"/>
    </row>
    <row r="884" spans="3:3">
      <c r="C884"/>
    </row>
    <row r="885" spans="3:3">
      <c r="C885"/>
    </row>
    <row r="886" spans="3:3">
      <c r="C886"/>
    </row>
    <row r="887" spans="3:3">
      <c r="C887"/>
    </row>
    <row r="888" spans="3:3">
      <c r="C888"/>
    </row>
    <row r="889" spans="3:3">
      <c r="C889"/>
    </row>
    <row r="890" spans="3:3">
      <c r="C890"/>
    </row>
    <row r="891" spans="3:3">
      <c r="C891"/>
    </row>
    <row r="892" spans="3:3">
      <c r="C892"/>
    </row>
    <row r="893" spans="3:3">
      <c r="C893"/>
    </row>
    <row r="894" spans="3:3">
      <c r="C894"/>
    </row>
    <row r="895" spans="3:3">
      <c r="C895"/>
    </row>
    <row r="896" spans="3:3">
      <c r="C896"/>
    </row>
    <row r="897" spans="3:3">
      <c r="C897"/>
    </row>
    <row r="898" spans="3:3">
      <c r="C898"/>
    </row>
    <row r="899" spans="3:3">
      <c r="C899"/>
    </row>
    <row r="900" spans="3:3">
      <c r="C900"/>
    </row>
    <row r="901" spans="3:3">
      <c r="C901"/>
    </row>
    <row r="902" spans="3:3">
      <c r="C902"/>
    </row>
    <row r="903" spans="3:3">
      <c r="C903"/>
    </row>
    <row r="904" spans="3:3">
      <c r="C904"/>
    </row>
    <row r="905" spans="3:3">
      <c r="C905"/>
    </row>
    <row r="906" spans="3:3">
      <c r="C906"/>
    </row>
    <row r="907" spans="3:3">
      <c r="C907"/>
    </row>
    <row r="908" spans="3:3">
      <c r="C908"/>
    </row>
    <row r="909" spans="3:3">
      <c r="C909"/>
    </row>
    <row r="910" spans="3:3">
      <c r="C910"/>
    </row>
    <row r="911" spans="3:3">
      <c r="C911"/>
    </row>
    <row r="912" spans="3:3">
      <c r="C912"/>
    </row>
    <row r="913" spans="3:3">
      <c r="C913"/>
    </row>
    <row r="914" spans="3:3">
      <c r="C914"/>
    </row>
    <row r="915" spans="3:3">
      <c r="C915"/>
    </row>
    <row r="916" spans="3:3">
      <c r="C916"/>
    </row>
    <row r="917" spans="3:3">
      <c r="C917"/>
    </row>
    <row r="918" spans="3:3">
      <c r="C918"/>
    </row>
    <row r="919" spans="3:3">
      <c r="C919"/>
    </row>
    <row r="920" spans="3:3">
      <c r="C920"/>
    </row>
    <row r="921" spans="3:3">
      <c r="C921"/>
    </row>
    <row r="922" spans="3:3">
      <c r="C922"/>
    </row>
    <row r="923" spans="3:3">
      <c r="C923"/>
    </row>
    <row r="924" spans="3:3">
      <c r="C924"/>
    </row>
    <row r="925" spans="3:3">
      <c r="C925"/>
    </row>
    <row r="926" spans="3:3">
      <c r="C926"/>
    </row>
    <row r="927" spans="3:3">
      <c r="C927"/>
    </row>
    <row r="928" spans="3:3">
      <c r="C928"/>
    </row>
    <row r="929" spans="3:3">
      <c r="C929"/>
    </row>
    <row r="930" spans="3:3">
      <c r="C930"/>
    </row>
    <row r="931" spans="3:3">
      <c r="C931"/>
    </row>
    <row r="932" spans="3:3">
      <c r="C932"/>
    </row>
    <row r="933" spans="3:3">
      <c r="C933"/>
    </row>
    <row r="934" spans="3:3">
      <c r="C934"/>
    </row>
    <row r="935" spans="3:3">
      <c r="C935"/>
    </row>
    <row r="936" spans="3:3">
      <c r="C936"/>
    </row>
    <row r="937" spans="3:3">
      <c r="C937"/>
    </row>
    <row r="938" spans="3:3">
      <c r="C938"/>
    </row>
    <row r="939" spans="3:3">
      <c r="C939"/>
    </row>
    <row r="940" spans="3:3">
      <c r="C940"/>
    </row>
    <row r="941" spans="3:3">
      <c r="C941"/>
    </row>
    <row r="942" spans="3:3">
      <c r="C942"/>
    </row>
    <row r="943" spans="3:3">
      <c r="C943"/>
    </row>
    <row r="944" spans="3:3">
      <c r="C944"/>
    </row>
    <row r="945" spans="3:3">
      <c r="C945"/>
    </row>
    <row r="946" spans="3:3">
      <c r="C946"/>
    </row>
    <row r="947" spans="3:3">
      <c r="C947"/>
    </row>
    <row r="948" spans="3:3">
      <c r="C948"/>
    </row>
    <row r="949" spans="3:3">
      <c r="C949"/>
    </row>
    <row r="950" spans="3:3">
      <c r="C950"/>
    </row>
    <row r="951" spans="3:3">
      <c r="C951"/>
    </row>
    <row r="952" spans="3:3">
      <c r="C952"/>
    </row>
    <row r="953" spans="3:3">
      <c r="C953"/>
    </row>
    <row r="954" spans="3:3">
      <c r="C954"/>
    </row>
    <row r="955" spans="3:3">
      <c r="C955"/>
    </row>
    <row r="956" spans="3:3">
      <c r="C956"/>
    </row>
    <row r="957" spans="3:3">
      <c r="C957"/>
    </row>
    <row r="958" spans="3:3">
      <c r="C958"/>
    </row>
    <row r="959" spans="3:3">
      <c r="C959"/>
    </row>
    <row r="960" spans="3:3">
      <c r="C960"/>
    </row>
    <row r="961" spans="3:3">
      <c r="C961"/>
    </row>
    <row r="962" spans="3:3">
      <c r="C962"/>
    </row>
    <row r="963" spans="3:3">
      <c r="C963"/>
    </row>
    <row r="964" spans="3:3">
      <c r="C964"/>
    </row>
    <row r="965" spans="3:3">
      <c r="C965"/>
    </row>
    <row r="966" spans="3:3">
      <c r="C966"/>
    </row>
    <row r="967" spans="3:3">
      <c r="C967"/>
    </row>
    <row r="968" spans="3:3">
      <c r="C968"/>
    </row>
    <row r="969" spans="3:3">
      <c r="C969"/>
    </row>
    <row r="970" spans="3:3">
      <c r="C970"/>
    </row>
    <row r="971" spans="3:3">
      <c r="C971"/>
    </row>
    <row r="972" spans="3:3">
      <c r="C972"/>
    </row>
    <row r="973" spans="3:3">
      <c r="C973"/>
    </row>
    <row r="974" spans="3:3">
      <c r="C974"/>
    </row>
    <row r="975" spans="3:3">
      <c r="C975"/>
    </row>
    <row r="976" spans="3:3">
      <c r="C976"/>
    </row>
    <row r="977" spans="3:3">
      <c r="C977"/>
    </row>
    <row r="978" spans="3:3">
      <c r="C978"/>
    </row>
    <row r="979" spans="3:3">
      <c r="C979"/>
    </row>
    <row r="980" spans="3:3">
      <c r="C980"/>
    </row>
    <row r="981" spans="3:3">
      <c r="C981"/>
    </row>
    <row r="982" spans="3:3">
      <c r="C982"/>
    </row>
    <row r="983" spans="3:3">
      <c r="C983"/>
    </row>
    <row r="984" spans="3:3">
      <c r="C984"/>
    </row>
    <row r="985" spans="3:3">
      <c r="C985"/>
    </row>
    <row r="986" spans="3:3">
      <c r="C986"/>
    </row>
    <row r="987" spans="3:3">
      <c r="C987"/>
    </row>
    <row r="988" spans="3:3">
      <c r="C988"/>
    </row>
    <row r="989" spans="3:3">
      <c r="C989"/>
    </row>
    <row r="990" spans="3:3">
      <c r="C990"/>
    </row>
    <row r="991" spans="3:3">
      <c r="C991"/>
    </row>
    <row r="992" spans="3:3">
      <c r="C992"/>
    </row>
    <row r="993" spans="3:3">
      <c r="C993"/>
    </row>
    <row r="994" spans="3:3">
      <c r="C994"/>
    </row>
    <row r="995" spans="3:3">
      <c r="C995"/>
    </row>
    <row r="996" spans="3:3">
      <c r="C996"/>
    </row>
    <row r="997" spans="3:3">
      <c r="C997"/>
    </row>
    <row r="998" spans="3:3">
      <c r="C998"/>
    </row>
    <row r="999" spans="3:3">
      <c r="C999"/>
    </row>
    <row r="1000" spans="3:3">
      <c r="C1000"/>
    </row>
    <row r="1001" spans="3:3">
      <c r="C1001"/>
    </row>
    <row r="1002" spans="3:3">
      <c r="C1002"/>
    </row>
    <row r="1003" spans="3:3">
      <c r="C1003"/>
    </row>
    <row r="1004" spans="3:3">
      <c r="C1004"/>
    </row>
    <row r="1005" spans="3:3">
      <c r="C1005"/>
    </row>
    <row r="1006" spans="3:3">
      <c r="C1006"/>
    </row>
    <row r="1007" spans="3:3">
      <c r="C1007"/>
    </row>
    <row r="1008" spans="3:3">
      <c r="C1008"/>
    </row>
    <row r="1009" spans="3:3">
      <c r="C1009"/>
    </row>
    <row r="1010" spans="3:3">
      <c r="C1010"/>
    </row>
    <row r="1011" spans="3:3">
      <c r="C1011"/>
    </row>
    <row r="1012" spans="3:3">
      <c r="C1012"/>
    </row>
    <row r="1013" spans="3:3">
      <c r="C1013"/>
    </row>
    <row r="1014" spans="3:3">
      <c r="C1014"/>
    </row>
    <row r="1015" spans="3:3">
      <c r="C1015"/>
    </row>
    <row r="1016" spans="3:3">
      <c r="C1016"/>
    </row>
    <row r="1017" spans="3:3">
      <c r="C1017"/>
    </row>
    <row r="1018" spans="3:3">
      <c r="C1018"/>
    </row>
    <row r="1019" spans="3:3">
      <c r="C1019"/>
    </row>
    <row r="1020" spans="3:3">
      <c r="C1020"/>
    </row>
    <row r="1021" spans="3:3">
      <c r="C1021"/>
    </row>
    <row r="1022" spans="3:3">
      <c r="C1022"/>
    </row>
    <row r="1023" spans="3:3">
      <c r="C1023"/>
    </row>
    <row r="1024" spans="3:3">
      <c r="C1024"/>
    </row>
    <row r="1025" spans="3:3">
      <c r="C1025"/>
    </row>
    <row r="1026" spans="3:3">
      <c r="C1026"/>
    </row>
    <row r="1027" spans="3:3">
      <c r="C1027"/>
    </row>
    <row r="1028" spans="3:3">
      <c r="C1028"/>
    </row>
    <row r="1029" spans="3:3">
      <c r="C1029"/>
    </row>
    <row r="1030" spans="3:3">
      <c r="C1030"/>
    </row>
    <row r="1031" spans="3:3">
      <c r="C1031"/>
    </row>
    <row r="1032" spans="3:3">
      <c r="C1032"/>
    </row>
    <row r="1033" spans="3:3">
      <c r="C1033"/>
    </row>
    <row r="1034" spans="3:3">
      <c r="C1034"/>
    </row>
    <row r="1035" spans="3:3">
      <c r="C1035"/>
    </row>
    <row r="1036" spans="3:3">
      <c r="C1036"/>
    </row>
    <row r="1037" spans="3:3">
      <c r="C1037"/>
    </row>
    <row r="1038" spans="3:3">
      <c r="C1038"/>
    </row>
    <row r="1039" spans="3:3">
      <c r="C1039"/>
    </row>
    <row r="1040" spans="3:3">
      <c r="C1040"/>
    </row>
    <row r="1041" spans="3:3">
      <c r="C1041"/>
    </row>
    <row r="1042" spans="3:3">
      <c r="C1042"/>
    </row>
    <row r="1043" spans="3:3">
      <c r="C1043"/>
    </row>
    <row r="1044" spans="3:3">
      <c r="C1044"/>
    </row>
    <row r="1045" spans="3:3">
      <c r="C1045"/>
    </row>
    <row r="1046" spans="3:3">
      <c r="C1046"/>
    </row>
    <row r="1047" spans="3:3">
      <c r="C1047"/>
    </row>
    <row r="1048" spans="3:3">
      <c r="C1048"/>
    </row>
    <row r="1049" spans="3:3">
      <c r="C1049"/>
    </row>
    <row r="1050" spans="3:3">
      <c r="C1050"/>
    </row>
    <row r="1051" spans="3:3">
      <c r="C1051"/>
    </row>
    <row r="1052" spans="3:3">
      <c r="C1052"/>
    </row>
    <row r="1053" spans="3:3">
      <c r="C1053"/>
    </row>
    <row r="1054" spans="3:3">
      <c r="C1054"/>
    </row>
    <row r="1055" spans="3:3">
      <c r="C1055"/>
    </row>
    <row r="1056" spans="3:3">
      <c r="C1056"/>
    </row>
    <row r="1057" spans="3:3">
      <c r="C1057"/>
    </row>
    <row r="1058" spans="3:3">
      <c r="C1058"/>
    </row>
    <row r="1059" spans="3:3">
      <c r="C1059"/>
    </row>
    <row r="1060" spans="3:3">
      <c r="C1060"/>
    </row>
    <row r="1061" spans="3:3">
      <c r="C1061"/>
    </row>
    <row r="1062" spans="3:3">
      <c r="C1062"/>
    </row>
    <row r="1063" spans="3:3">
      <c r="C1063"/>
    </row>
    <row r="1064" spans="3:3">
      <c r="C1064"/>
    </row>
    <row r="1065" spans="3:3">
      <c r="C1065"/>
    </row>
    <row r="1066" spans="3:3">
      <c r="C1066"/>
    </row>
    <row r="1067" spans="3:3">
      <c r="C1067"/>
    </row>
    <row r="1068" spans="3:3">
      <c r="C1068"/>
    </row>
    <row r="1069" spans="3:3">
      <c r="C1069"/>
    </row>
    <row r="1070" spans="3:3">
      <c r="C1070"/>
    </row>
    <row r="1071" spans="3:3">
      <c r="C1071"/>
    </row>
    <row r="1072" spans="3:3">
      <c r="C1072"/>
    </row>
    <row r="1073" spans="3:3">
      <c r="C1073"/>
    </row>
    <row r="1074" spans="3:3">
      <c r="C1074"/>
    </row>
    <row r="1075" spans="3:3">
      <c r="C1075"/>
    </row>
    <row r="1076" spans="3:3">
      <c r="C1076"/>
    </row>
    <row r="1077" spans="3:3">
      <c r="C1077"/>
    </row>
    <row r="1078" spans="3:3">
      <c r="C1078"/>
    </row>
    <row r="1079" spans="3:3">
      <c r="C1079"/>
    </row>
    <row r="1080" spans="3:3">
      <c r="C1080"/>
    </row>
    <row r="1081" spans="3:3">
      <c r="C1081"/>
    </row>
    <row r="1082" spans="3:3">
      <c r="C1082"/>
    </row>
    <row r="1083" spans="3:3">
      <c r="C1083"/>
    </row>
    <row r="1084" spans="3:3">
      <c r="C1084"/>
    </row>
    <row r="1085" spans="3:3">
      <c r="C1085"/>
    </row>
    <row r="1086" spans="3:3">
      <c r="C1086"/>
    </row>
    <row r="1087" spans="3:3">
      <c r="C1087"/>
    </row>
    <row r="1088" spans="3:3">
      <c r="C1088"/>
    </row>
    <row r="1089" spans="3:3">
      <c r="C1089"/>
    </row>
    <row r="1090" spans="3:3">
      <c r="C1090"/>
    </row>
    <row r="1091" spans="3:3">
      <c r="C1091"/>
    </row>
    <row r="1092" spans="3:3">
      <c r="C1092"/>
    </row>
    <row r="1093" spans="3:3">
      <c r="C1093"/>
    </row>
    <row r="1094" spans="3:3">
      <c r="C1094"/>
    </row>
    <row r="1095" spans="3:3">
      <c r="C1095"/>
    </row>
    <row r="1096" spans="3:3">
      <c r="C1096"/>
    </row>
    <row r="1097" spans="3:3">
      <c r="C1097"/>
    </row>
    <row r="1098" spans="3:3">
      <c r="C1098"/>
    </row>
    <row r="1099" spans="3:3">
      <c r="C1099"/>
    </row>
    <row r="1100" spans="3:3">
      <c r="C1100"/>
    </row>
    <row r="1101" spans="3:3">
      <c r="C1101"/>
    </row>
    <row r="1102" spans="3:3">
      <c r="C1102"/>
    </row>
    <row r="1103" spans="3:3">
      <c r="C1103"/>
    </row>
    <row r="1104" spans="3:3">
      <c r="C1104"/>
    </row>
    <row r="1105" spans="3:3">
      <c r="C1105"/>
    </row>
    <row r="1106" spans="3:3">
      <c r="C1106"/>
    </row>
    <row r="1107" spans="3:3">
      <c r="C1107"/>
    </row>
    <row r="1108" spans="3:3">
      <c r="C1108"/>
    </row>
    <row r="1109" spans="3:3">
      <c r="C1109"/>
    </row>
    <row r="1110" spans="3:3">
      <c r="C1110"/>
    </row>
    <row r="1111" spans="3:3">
      <c r="C1111"/>
    </row>
    <row r="1112" spans="3:3">
      <c r="C1112"/>
    </row>
    <row r="1113" spans="3:3">
      <c r="C1113"/>
    </row>
    <row r="1114" spans="3:3">
      <c r="C1114"/>
    </row>
    <row r="1115" spans="3:3">
      <c r="C1115"/>
    </row>
    <row r="1116" spans="3:3">
      <c r="C1116"/>
    </row>
    <row r="1117" spans="3:3">
      <c r="C1117"/>
    </row>
    <row r="1118" spans="3:3">
      <c r="C1118"/>
    </row>
    <row r="1119" spans="3:3">
      <c r="C1119"/>
    </row>
    <row r="1120" spans="3:3">
      <c r="C1120"/>
    </row>
    <row r="1121" spans="3:3">
      <c r="C1121"/>
    </row>
    <row r="1122" spans="3:3">
      <c r="C1122"/>
    </row>
    <row r="1123" spans="3:3">
      <c r="C1123"/>
    </row>
    <row r="1124" spans="3:3">
      <c r="C1124"/>
    </row>
    <row r="1125" spans="3:3">
      <c r="C1125"/>
    </row>
    <row r="1126" spans="3:3">
      <c r="C1126"/>
    </row>
    <row r="1127" spans="3:3">
      <c r="C1127"/>
    </row>
    <row r="1128" spans="3:3">
      <c r="C1128"/>
    </row>
    <row r="1129" spans="3:3">
      <c r="C1129"/>
    </row>
    <row r="1130" spans="3:3">
      <c r="C1130"/>
    </row>
    <row r="1131" spans="3:3">
      <c r="C1131"/>
    </row>
    <row r="1132" spans="3:3">
      <c r="C1132"/>
    </row>
    <row r="1133" spans="3:3">
      <c r="C1133"/>
    </row>
    <row r="1134" spans="3:3">
      <c r="C1134"/>
    </row>
    <row r="1135" spans="3:3">
      <c r="C1135"/>
    </row>
    <row r="1136" spans="3:3">
      <c r="C1136"/>
    </row>
    <row r="1137" spans="3:3">
      <c r="C1137"/>
    </row>
    <row r="1138" spans="3:3">
      <c r="C1138"/>
    </row>
    <row r="1139" spans="3:3">
      <c r="C1139"/>
    </row>
    <row r="1140" spans="3:3">
      <c r="C1140"/>
    </row>
    <row r="1141" spans="3:3">
      <c r="C1141"/>
    </row>
    <row r="1142" spans="3:3">
      <c r="C1142"/>
    </row>
    <row r="1143" spans="3:3">
      <c r="C1143"/>
    </row>
    <row r="1144" spans="3:3">
      <c r="C1144"/>
    </row>
    <row r="1145" spans="3:3">
      <c r="C1145"/>
    </row>
    <row r="1146" spans="3:3">
      <c r="C1146"/>
    </row>
    <row r="1147" spans="3:3">
      <c r="C1147"/>
    </row>
    <row r="1148" spans="3:3">
      <c r="C1148"/>
    </row>
    <row r="1149" spans="3:3">
      <c r="C1149"/>
    </row>
    <row r="1150" spans="3:3">
      <c r="C1150"/>
    </row>
    <row r="1151" spans="3:3">
      <c r="C1151"/>
    </row>
    <row r="1152" spans="3:3">
      <c r="C1152"/>
    </row>
    <row r="1153" spans="3:3">
      <c r="C1153"/>
    </row>
    <row r="1154" spans="3:3">
      <c r="C1154"/>
    </row>
    <row r="1155" spans="3:3">
      <c r="C1155"/>
    </row>
    <row r="1156" spans="3:3">
      <c r="C1156"/>
    </row>
    <row r="1157" spans="3:3">
      <c r="C1157"/>
    </row>
    <row r="1158" spans="3:3">
      <c r="C1158"/>
    </row>
    <row r="1159" spans="3:3">
      <c r="C1159"/>
    </row>
    <row r="1160" spans="3:3">
      <c r="C1160"/>
    </row>
    <row r="1161" spans="3:3">
      <c r="C1161"/>
    </row>
    <row r="1162" spans="3:3">
      <c r="C1162"/>
    </row>
    <row r="1163" spans="3:3">
      <c r="C1163"/>
    </row>
    <row r="1164" spans="3:3">
      <c r="C1164"/>
    </row>
    <row r="1165" spans="3:3">
      <c r="C1165"/>
    </row>
    <row r="1166" spans="3:3">
      <c r="C1166"/>
    </row>
    <row r="1167" spans="3:3">
      <c r="C1167"/>
    </row>
    <row r="1168" spans="3:3">
      <c r="C1168"/>
    </row>
    <row r="1169" spans="3:3">
      <c r="C1169"/>
    </row>
    <row r="1170" spans="3:3">
      <c r="C1170"/>
    </row>
    <row r="1171" spans="3:3">
      <c r="C1171"/>
    </row>
    <row r="1172" spans="3:3">
      <c r="C1172"/>
    </row>
    <row r="1173" spans="3:3">
      <c r="C1173"/>
    </row>
    <row r="1174" spans="3:3">
      <c r="C1174"/>
    </row>
    <row r="1175" spans="3:3">
      <c r="C1175"/>
    </row>
    <row r="1176" spans="3:3">
      <c r="C1176"/>
    </row>
    <row r="1177" spans="3:3">
      <c r="C1177"/>
    </row>
    <row r="1178" spans="3:3">
      <c r="C1178"/>
    </row>
    <row r="1179" spans="3:3">
      <c r="C1179"/>
    </row>
    <row r="1180" spans="3:3">
      <c r="C1180"/>
    </row>
    <row r="1181" spans="3:3">
      <c r="C1181"/>
    </row>
    <row r="1182" spans="3:3">
      <c r="C1182"/>
    </row>
    <row r="1183" spans="3:3">
      <c r="C1183"/>
    </row>
    <row r="1184" spans="3:3">
      <c r="C1184"/>
    </row>
    <row r="1185" spans="3:3">
      <c r="C1185"/>
    </row>
    <row r="1186" spans="3:3">
      <c r="C1186"/>
    </row>
    <row r="1187" spans="3:3">
      <c r="C1187"/>
    </row>
    <row r="1188" spans="3:3">
      <c r="C1188"/>
    </row>
    <row r="1189" spans="3:3">
      <c r="C1189"/>
    </row>
    <row r="1190" spans="3:3">
      <c r="C1190"/>
    </row>
    <row r="1191" spans="3:3">
      <c r="C1191"/>
    </row>
    <row r="1192" spans="3:3">
      <c r="C1192"/>
    </row>
    <row r="1193" spans="3:3">
      <c r="C1193"/>
    </row>
    <row r="1194" spans="3:3">
      <c r="C1194"/>
    </row>
    <row r="1195" spans="3:3">
      <c r="C1195"/>
    </row>
    <row r="1196" spans="3:3">
      <c r="C1196"/>
    </row>
    <row r="1197" spans="3:3">
      <c r="C1197"/>
    </row>
    <row r="1198" spans="3:3">
      <c r="C1198"/>
    </row>
    <row r="1199" spans="3:3">
      <c r="C1199"/>
    </row>
    <row r="1200" spans="3:3">
      <c r="C1200"/>
    </row>
    <row r="1201" spans="3:3">
      <c r="C1201"/>
    </row>
    <row r="1202" spans="3:3">
      <c r="C1202"/>
    </row>
    <row r="1203" spans="3:3">
      <c r="C1203"/>
    </row>
    <row r="1204" spans="3:3">
      <c r="C1204"/>
    </row>
    <row r="1205" spans="3:3">
      <c r="C1205"/>
    </row>
    <row r="1206" spans="3:3">
      <c r="C1206"/>
    </row>
    <row r="1207" spans="3:3">
      <c r="C1207"/>
    </row>
    <row r="1208" spans="3:3">
      <c r="C1208"/>
    </row>
    <row r="1209" spans="3:3">
      <c r="C1209"/>
    </row>
    <row r="1210" spans="3:3">
      <c r="C1210"/>
    </row>
    <row r="1211" spans="3:3">
      <c r="C1211"/>
    </row>
    <row r="1212" spans="3:3">
      <c r="C1212"/>
    </row>
    <row r="1213" spans="3:3">
      <c r="C1213"/>
    </row>
    <row r="1214" spans="3:3">
      <c r="C1214"/>
    </row>
    <row r="1215" spans="3:3">
      <c r="C1215"/>
    </row>
    <row r="1216" spans="3:3">
      <c r="C1216"/>
    </row>
    <row r="1217" spans="3:3">
      <c r="C1217"/>
    </row>
    <row r="1218" spans="3:3">
      <c r="C1218"/>
    </row>
    <row r="1219" spans="3:3">
      <c r="C1219"/>
    </row>
    <row r="1220" spans="3:3">
      <c r="C1220"/>
    </row>
    <row r="1221" spans="3:3">
      <c r="C1221"/>
    </row>
    <row r="1222" spans="3:3">
      <c r="C1222"/>
    </row>
    <row r="1223" spans="3:3">
      <c r="C1223"/>
    </row>
    <row r="1224" spans="3:3">
      <c r="C1224"/>
    </row>
    <row r="1225" spans="3:3">
      <c r="C1225"/>
    </row>
    <row r="1226" spans="3:3">
      <c r="C1226"/>
    </row>
    <row r="1227" spans="3:3">
      <c r="C1227"/>
    </row>
    <row r="1228" spans="3:3">
      <c r="C1228"/>
    </row>
    <row r="1229" spans="3:3">
      <c r="C1229"/>
    </row>
    <row r="1230" spans="3:3">
      <c r="C1230"/>
    </row>
    <row r="1231" spans="3:3">
      <c r="C1231"/>
    </row>
    <row r="1232" spans="3:3">
      <c r="C1232"/>
    </row>
    <row r="1233" spans="3:3">
      <c r="C1233"/>
    </row>
    <row r="1234" spans="3:3">
      <c r="C1234"/>
    </row>
    <row r="1235" spans="3:3">
      <c r="C1235"/>
    </row>
    <row r="1236" spans="3:3">
      <c r="C1236"/>
    </row>
    <row r="1237" spans="3:3">
      <c r="C1237"/>
    </row>
    <row r="1238" spans="3:3">
      <c r="C1238"/>
    </row>
    <row r="1239" spans="3:3">
      <c r="C1239"/>
    </row>
    <row r="1240" spans="3:3">
      <c r="C1240"/>
    </row>
    <row r="1241" spans="3:3">
      <c r="C1241"/>
    </row>
    <row r="1242" spans="3:3">
      <c r="C1242"/>
    </row>
    <row r="1243" spans="3:3">
      <c r="C1243"/>
    </row>
    <row r="1244" spans="3:3">
      <c r="C1244"/>
    </row>
    <row r="1245" spans="3:3">
      <c r="C1245"/>
    </row>
    <row r="1246" spans="3:3">
      <c r="C1246"/>
    </row>
    <row r="1247" spans="3:3">
      <c r="C1247"/>
    </row>
    <row r="1248" spans="3:3">
      <c r="C1248"/>
    </row>
    <row r="1249" spans="3:3">
      <c r="C1249"/>
    </row>
    <row r="1250" spans="3:3">
      <c r="C1250"/>
    </row>
    <row r="1251" spans="3:3">
      <c r="C1251"/>
    </row>
    <row r="1252" spans="3:3">
      <c r="C1252"/>
    </row>
    <row r="1253" spans="3:3">
      <c r="C1253"/>
    </row>
    <row r="1254" spans="3:3">
      <c r="C1254"/>
    </row>
    <row r="1255" spans="3:3">
      <c r="C1255"/>
    </row>
    <row r="1256" spans="3:3">
      <c r="C1256"/>
    </row>
    <row r="1257" spans="3:3">
      <c r="C1257"/>
    </row>
    <row r="1258" spans="3:3">
      <c r="C1258"/>
    </row>
    <row r="1259" spans="3:3">
      <c r="C1259"/>
    </row>
    <row r="1260" spans="3:3">
      <c r="C1260"/>
    </row>
    <row r="1261" spans="3:3">
      <c r="C1261"/>
    </row>
    <row r="1262" spans="3:3">
      <c r="C1262"/>
    </row>
    <row r="1263" spans="3:3">
      <c r="C1263"/>
    </row>
    <row r="1264" spans="3:3">
      <c r="C1264"/>
    </row>
    <row r="1265" spans="3:3">
      <c r="C1265"/>
    </row>
    <row r="1266" spans="3:3">
      <c r="C1266"/>
    </row>
    <row r="1267" spans="3:3">
      <c r="C1267"/>
    </row>
    <row r="1268" spans="3:3">
      <c r="C1268"/>
    </row>
    <row r="1269" spans="3:3">
      <c r="C1269"/>
    </row>
    <row r="1270" spans="3:3">
      <c r="C1270"/>
    </row>
    <row r="1271" spans="3:3">
      <c r="C1271"/>
    </row>
    <row r="1272" spans="3:3">
      <c r="C1272"/>
    </row>
    <row r="1273" spans="3:3">
      <c r="C1273"/>
    </row>
    <row r="1274" spans="3:3">
      <c r="C1274"/>
    </row>
    <row r="1275" spans="3:3">
      <c r="C1275"/>
    </row>
    <row r="1276" spans="3:3">
      <c r="C1276"/>
    </row>
    <row r="1277" spans="3:3">
      <c r="C1277"/>
    </row>
    <row r="1278" spans="3:3">
      <c r="C1278"/>
    </row>
    <row r="1279" spans="3:3">
      <c r="C1279"/>
    </row>
    <row r="1280" spans="3:3">
      <c r="C1280"/>
    </row>
    <row r="1281" spans="3:3">
      <c r="C1281"/>
    </row>
    <row r="1282" spans="3:3">
      <c r="C1282"/>
    </row>
    <row r="1283" spans="3:3">
      <c r="C1283"/>
    </row>
    <row r="1284" spans="3:3">
      <c r="C1284"/>
    </row>
    <row r="1285" spans="3:3">
      <c r="C1285"/>
    </row>
    <row r="1286" spans="3:3">
      <c r="C1286"/>
    </row>
    <row r="1287" spans="3:3">
      <c r="C1287"/>
    </row>
    <row r="1288" spans="3:3">
      <c r="C1288"/>
    </row>
    <row r="1289" spans="3:3">
      <c r="C1289"/>
    </row>
    <row r="1290" spans="3:3">
      <c r="C1290"/>
    </row>
    <row r="1291" spans="3:3">
      <c r="C1291"/>
    </row>
    <row r="1292" spans="3:3">
      <c r="C1292"/>
    </row>
    <row r="1293" spans="3:3">
      <c r="C1293"/>
    </row>
    <row r="1294" spans="3:3">
      <c r="C1294"/>
    </row>
    <row r="1295" spans="3:3">
      <c r="C1295"/>
    </row>
    <row r="1296" spans="3:3">
      <c r="C1296"/>
    </row>
    <row r="1297" spans="3:3">
      <c r="C1297"/>
    </row>
    <row r="1298" spans="3:3">
      <c r="C1298"/>
    </row>
    <row r="1299" spans="3:3">
      <c r="C1299"/>
    </row>
    <row r="1300" spans="3:3">
      <c r="C1300"/>
    </row>
    <row r="1301" spans="3:3">
      <c r="C1301"/>
    </row>
    <row r="1302" spans="3:3">
      <c r="C1302"/>
    </row>
    <row r="1303" spans="3:3">
      <c r="C1303"/>
    </row>
    <row r="1304" spans="3:3">
      <c r="C1304"/>
    </row>
    <row r="1305" spans="3:3">
      <c r="C1305"/>
    </row>
    <row r="1306" spans="3:3">
      <c r="C1306"/>
    </row>
    <row r="1307" spans="3:3">
      <c r="C1307"/>
    </row>
    <row r="1308" spans="3:3">
      <c r="C1308"/>
    </row>
    <row r="1309" spans="3:3">
      <c r="C1309"/>
    </row>
    <row r="1310" spans="3:3">
      <c r="C1310"/>
    </row>
    <row r="1311" spans="3:3">
      <c r="C1311"/>
    </row>
    <row r="1312" spans="3:3">
      <c r="C1312"/>
    </row>
    <row r="1313" spans="3:3">
      <c r="C1313"/>
    </row>
    <row r="1314" spans="3:3">
      <c r="C1314"/>
    </row>
    <row r="1315" spans="3:3">
      <c r="C1315"/>
    </row>
    <row r="1316" spans="3:3">
      <c r="C1316"/>
    </row>
    <row r="1317" spans="3:3">
      <c r="C1317"/>
    </row>
    <row r="1318" spans="3:3">
      <c r="C1318"/>
    </row>
    <row r="1319" spans="3:3">
      <c r="C1319"/>
    </row>
    <row r="1320" spans="3:3">
      <c r="C1320"/>
    </row>
    <row r="1321" spans="3:3">
      <c r="C1321"/>
    </row>
    <row r="1322" spans="3:3">
      <c r="C1322"/>
    </row>
    <row r="1323" spans="3:3">
      <c r="C1323"/>
    </row>
    <row r="1324" spans="3:3">
      <c r="C1324"/>
    </row>
    <row r="1325" spans="3:3">
      <c r="C1325"/>
    </row>
    <row r="1326" spans="3:3">
      <c r="C1326"/>
    </row>
    <row r="1327" spans="3:3">
      <c r="C1327"/>
    </row>
    <row r="1328" spans="3:3">
      <c r="C1328"/>
    </row>
    <row r="1329" spans="3:3">
      <c r="C1329"/>
    </row>
    <row r="1330" spans="3:3">
      <c r="C1330"/>
    </row>
    <row r="1331" spans="3:3">
      <c r="C1331"/>
    </row>
    <row r="1332" spans="3:3">
      <c r="C1332"/>
    </row>
    <row r="1333" spans="3:3">
      <c r="C1333"/>
    </row>
    <row r="1334" spans="3:3">
      <c r="C1334"/>
    </row>
    <row r="1335" spans="3:3">
      <c r="C1335"/>
    </row>
    <row r="1336" spans="3:3">
      <c r="C1336"/>
    </row>
    <row r="1337" spans="3:3">
      <c r="C1337"/>
    </row>
    <row r="1338" spans="3:3">
      <c r="C1338"/>
    </row>
    <row r="1339" spans="3:3">
      <c r="C1339"/>
    </row>
    <row r="1340" spans="3:3">
      <c r="C1340"/>
    </row>
    <row r="1341" spans="3:3">
      <c r="C1341"/>
    </row>
    <row r="1342" spans="3:3">
      <c r="C1342"/>
    </row>
    <row r="1343" spans="3:3">
      <c r="C1343"/>
    </row>
    <row r="1344" spans="3:3">
      <c r="C1344"/>
    </row>
    <row r="1345" spans="3:3">
      <c r="C1345"/>
    </row>
    <row r="1346" spans="3:3">
      <c r="C1346"/>
    </row>
    <row r="1347" spans="3:3">
      <c r="C1347"/>
    </row>
    <row r="1348" spans="3:3">
      <c r="C1348"/>
    </row>
    <row r="1349" spans="3:3">
      <c r="C1349"/>
    </row>
    <row r="1350" spans="3:3">
      <c r="C1350"/>
    </row>
    <row r="1351" spans="3:3">
      <c r="C1351"/>
    </row>
    <row r="1352" spans="3:3">
      <c r="C1352"/>
    </row>
    <row r="1353" spans="3:3">
      <c r="C1353"/>
    </row>
    <row r="1354" spans="3:3">
      <c r="C1354"/>
    </row>
    <row r="1355" spans="3:3">
      <c r="C1355"/>
    </row>
    <row r="1356" spans="3:3">
      <c r="C1356"/>
    </row>
    <row r="1357" spans="3:3">
      <c r="C1357"/>
    </row>
    <row r="1358" spans="3:3">
      <c r="C1358"/>
    </row>
    <row r="1359" spans="3:3">
      <c r="C1359"/>
    </row>
    <row r="1360" spans="3:3">
      <c r="C1360"/>
    </row>
    <row r="1361" spans="3:3">
      <c r="C1361"/>
    </row>
    <row r="1362" spans="3:3">
      <c r="C1362"/>
    </row>
    <row r="1363" spans="3:3">
      <c r="C1363"/>
    </row>
    <row r="1364" spans="3:3">
      <c r="C1364"/>
    </row>
    <row r="1365" spans="3:3">
      <c r="C1365"/>
    </row>
    <row r="1366" spans="3:3">
      <c r="C1366"/>
    </row>
    <row r="1367" spans="3:3">
      <c r="C1367"/>
    </row>
    <row r="1368" spans="3:3">
      <c r="C1368"/>
    </row>
    <row r="1369" spans="3:3">
      <c r="C1369"/>
    </row>
    <row r="1370" spans="3:3">
      <c r="C1370"/>
    </row>
    <row r="1371" spans="3:3">
      <c r="C1371"/>
    </row>
    <row r="1372" spans="3:3">
      <c r="C1372"/>
    </row>
    <row r="1373" spans="3:3">
      <c r="C1373"/>
    </row>
    <row r="1374" spans="3:3">
      <c r="C1374"/>
    </row>
    <row r="1375" spans="3:3">
      <c r="C1375"/>
    </row>
    <row r="1376" spans="3:3">
      <c r="C1376"/>
    </row>
    <row r="1377" spans="3:3">
      <c r="C1377"/>
    </row>
    <row r="1378" spans="3:3">
      <c r="C1378"/>
    </row>
    <row r="1379" spans="3:3">
      <c r="C1379"/>
    </row>
    <row r="1380" spans="3:3">
      <c r="C1380"/>
    </row>
    <row r="1381" spans="3:3">
      <c r="C1381"/>
    </row>
    <row r="1382" spans="3:3">
      <c r="C1382"/>
    </row>
    <row r="1383" spans="3:3">
      <c r="C1383"/>
    </row>
    <row r="1384" spans="3:3">
      <c r="C1384"/>
    </row>
    <row r="1385" spans="3:3">
      <c r="C1385"/>
    </row>
    <row r="1386" spans="3:3">
      <c r="C1386"/>
    </row>
    <row r="1387" spans="3:3">
      <c r="C1387"/>
    </row>
    <row r="1388" spans="3:3">
      <c r="C1388"/>
    </row>
    <row r="1389" spans="3:3">
      <c r="C1389"/>
    </row>
    <row r="1390" spans="3:3">
      <c r="C1390"/>
    </row>
    <row r="1391" spans="3:3">
      <c r="C1391"/>
    </row>
    <row r="1392" spans="3:3">
      <c r="C1392"/>
    </row>
    <row r="1393" spans="3:3">
      <c r="C1393"/>
    </row>
    <row r="1394" spans="3:3">
      <c r="C1394"/>
    </row>
    <row r="1395" spans="3:3">
      <c r="C1395"/>
    </row>
    <row r="1396" spans="3:3">
      <c r="C1396"/>
    </row>
    <row r="1397" spans="3:3">
      <c r="C1397"/>
    </row>
    <row r="1398" spans="3:3">
      <c r="C1398"/>
    </row>
    <row r="1399" spans="3:3">
      <c r="C1399"/>
    </row>
    <row r="1400" spans="3:3">
      <c r="C1400"/>
    </row>
    <row r="1401" spans="3:3">
      <c r="C1401"/>
    </row>
    <row r="1402" spans="3:3">
      <c r="C1402"/>
    </row>
    <row r="1403" spans="3:3">
      <c r="C1403"/>
    </row>
    <row r="1404" spans="3:3">
      <c r="C1404"/>
    </row>
    <row r="1405" spans="3:3">
      <c r="C1405"/>
    </row>
    <row r="1406" spans="3:3">
      <c r="C1406"/>
    </row>
    <row r="1407" spans="3:3">
      <c r="C1407"/>
    </row>
    <row r="1408" spans="3:3">
      <c r="C1408"/>
    </row>
    <row r="1409" spans="3:3">
      <c r="C1409"/>
    </row>
    <row r="1410" spans="3:3">
      <c r="C1410"/>
    </row>
    <row r="1411" spans="3:3">
      <c r="C1411"/>
    </row>
    <row r="1412" spans="3:3">
      <c r="C1412"/>
    </row>
    <row r="1413" spans="3:3">
      <c r="C1413"/>
    </row>
    <row r="1414" spans="3:3">
      <c r="C1414"/>
    </row>
    <row r="1415" spans="3:3">
      <c r="C1415"/>
    </row>
    <row r="1416" spans="3:3">
      <c r="C1416"/>
    </row>
    <row r="1417" spans="3:3">
      <c r="C1417"/>
    </row>
    <row r="1418" spans="3:3">
      <c r="C1418"/>
    </row>
    <row r="1419" spans="3:3">
      <c r="C1419"/>
    </row>
    <row r="1420" spans="3:3">
      <c r="C1420"/>
    </row>
    <row r="1421" spans="3:3">
      <c r="C1421"/>
    </row>
    <row r="1422" spans="3:3">
      <c r="C1422"/>
    </row>
    <row r="1423" spans="3:3">
      <c r="C1423"/>
    </row>
    <row r="1424" spans="3:3">
      <c r="C1424"/>
    </row>
    <row r="1425" spans="3:3">
      <c r="C1425"/>
    </row>
    <row r="1426" spans="3:3">
      <c r="C1426"/>
    </row>
    <row r="1427" spans="3:3">
      <c r="C1427"/>
    </row>
    <row r="1428" spans="3:3">
      <c r="C1428"/>
    </row>
    <row r="1429" spans="3:3">
      <c r="C1429"/>
    </row>
    <row r="1430" spans="3:3">
      <c r="C1430"/>
    </row>
    <row r="1431" spans="3:3">
      <c r="C1431"/>
    </row>
    <row r="1432" spans="3:3">
      <c r="C1432"/>
    </row>
    <row r="1433" spans="3:3">
      <c r="C1433"/>
    </row>
    <row r="1434" spans="3:3">
      <c r="C1434"/>
    </row>
    <row r="1435" spans="3:3">
      <c r="C1435"/>
    </row>
    <row r="1436" spans="3:3">
      <c r="C1436"/>
    </row>
    <row r="1437" spans="3:3">
      <c r="C1437"/>
    </row>
    <row r="1438" spans="3:3">
      <c r="C1438"/>
    </row>
    <row r="1439" spans="3:3">
      <c r="C1439"/>
    </row>
    <row r="1440" spans="3:3">
      <c r="C1440"/>
    </row>
    <row r="1441" spans="3:3">
      <c r="C1441"/>
    </row>
    <row r="1442" spans="3:3">
      <c r="C1442"/>
    </row>
    <row r="1443" spans="3:3">
      <c r="C1443"/>
    </row>
    <row r="1444" spans="3:3">
      <c r="C1444"/>
    </row>
    <row r="1445" spans="3:3">
      <c r="C1445"/>
    </row>
    <row r="1446" spans="3:3">
      <c r="C1446"/>
    </row>
    <row r="1447" spans="3:3">
      <c r="C1447"/>
    </row>
    <row r="1448" spans="3:3">
      <c r="C1448"/>
    </row>
    <row r="1449" spans="3:3">
      <c r="C1449"/>
    </row>
    <row r="1450" spans="3:3">
      <c r="C1450"/>
    </row>
    <row r="1451" spans="3:3">
      <c r="C1451"/>
    </row>
    <row r="1452" spans="3:3">
      <c r="C1452"/>
    </row>
    <row r="1453" spans="3:3">
      <c r="C1453"/>
    </row>
    <row r="1454" spans="3:3">
      <c r="C1454"/>
    </row>
    <row r="1455" spans="3:3">
      <c r="C1455"/>
    </row>
    <row r="1456" spans="3:3">
      <c r="C1456"/>
    </row>
    <row r="1457" spans="3:3">
      <c r="C1457"/>
    </row>
    <row r="1458" spans="3:3">
      <c r="C1458"/>
    </row>
    <row r="1459" spans="3:3">
      <c r="C1459"/>
    </row>
    <row r="1460" spans="3:3">
      <c r="C1460"/>
    </row>
    <row r="1461" spans="3:3">
      <c r="C1461"/>
    </row>
    <row r="1462" spans="3:3">
      <c r="C1462"/>
    </row>
    <row r="1463" spans="3:3">
      <c r="C1463"/>
    </row>
    <row r="1464" spans="3:3">
      <c r="C1464"/>
    </row>
    <row r="1465" spans="3:3">
      <c r="C1465"/>
    </row>
    <row r="1466" spans="3:3">
      <c r="C1466"/>
    </row>
    <row r="1467" spans="3:3">
      <c r="C1467"/>
    </row>
    <row r="1468" spans="3:3">
      <c r="C1468"/>
    </row>
    <row r="1469" spans="3:3">
      <c r="C1469"/>
    </row>
    <row r="1470" spans="3:3">
      <c r="C1470"/>
    </row>
    <row r="1471" spans="3:3">
      <c r="C1471"/>
    </row>
    <row r="1472" spans="3:3">
      <c r="C1472"/>
    </row>
    <row r="1473" spans="3:3">
      <c r="C1473"/>
    </row>
    <row r="1474" spans="3:3">
      <c r="C1474"/>
    </row>
    <row r="1475" spans="3:3">
      <c r="C1475"/>
    </row>
    <row r="1476" spans="3:3">
      <c r="C1476"/>
    </row>
    <row r="1477" spans="3:3">
      <c r="C1477"/>
    </row>
    <row r="1478" spans="3:3">
      <c r="C1478"/>
    </row>
    <row r="1479" spans="3:3">
      <c r="C1479"/>
    </row>
    <row r="1480" spans="3:3">
      <c r="C1480"/>
    </row>
    <row r="1481" spans="3:3">
      <c r="C1481"/>
    </row>
    <row r="1482" spans="3:3">
      <c r="C1482"/>
    </row>
    <row r="1483" spans="3:3">
      <c r="C1483"/>
    </row>
    <row r="1484" spans="3:3">
      <c r="C1484"/>
    </row>
    <row r="1485" spans="3:3">
      <c r="C1485"/>
    </row>
    <row r="1486" spans="3:3">
      <c r="C1486"/>
    </row>
    <row r="1487" spans="3:3">
      <c r="C1487"/>
    </row>
    <row r="1488" spans="3:3">
      <c r="C1488"/>
    </row>
    <row r="1489" spans="3:3">
      <c r="C1489"/>
    </row>
    <row r="1490" spans="3:3">
      <c r="C1490"/>
    </row>
    <row r="1491" spans="3:3">
      <c r="C1491"/>
    </row>
    <row r="1492" spans="3:3">
      <c r="C1492"/>
    </row>
    <row r="1493" spans="3:3">
      <c r="C1493"/>
    </row>
    <row r="1494" spans="3:3">
      <c r="C1494"/>
    </row>
    <row r="1495" spans="3:3">
      <c r="C1495"/>
    </row>
    <row r="1496" spans="3:3">
      <c r="C1496"/>
    </row>
    <row r="1497" spans="3:3">
      <c r="C1497"/>
    </row>
    <row r="1498" spans="3:3">
      <c r="C1498"/>
    </row>
    <row r="1499" spans="3:3">
      <c r="C1499"/>
    </row>
    <row r="1500" spans="3:3">
      <c r="C1500"/>
    </row>
    <row r="1501" spans="3:3">
      <c r="C1501"/>
    </row>
    <row r="1502" spans="3:3">
      <c r="C1502"/>
    </row>
    <row r="1503" spans="3:3">
      <c r="C1503"/>
    </row>
    <row r="1504" spans="3:3">
      <c r="C1504"/>
    </row>
    <row r="1505" spans="3:3">
      <c r="C1505"/>
    </row>
    <row r="1506" spans="3:3">
      <c r="C1506"/>
    </row>
    <row r="1507" spans="3:3">
      <c r="C1507"/>
    </row>
    <row r="1508" spans="3:3">
      <c r="C1508"/>
    </row>
    <row r="1509" spans="3:3">
      <c r="C1509"/>
    </row>
    <row r="1510" spans="3:3">
      <c r="C1510"/>
    </row>
    <row r="1511" spans="3:3">
      <c r="C1511"/>
    </row>
    <row r="1512" spans="3:3">
      <c r="C1512"/>
    </row>
    <row r="1513" spans="3:3">
      <c r="C1513"/>
    </row>
    <row r="1514" spans="3:3">
      <c r="C1514"/>
    </row>
    <row r="1515" spans="3:3">
      <c r="C1515"/>
    </row>
    <row r="1516" spans="3:3">
      <c r="C1516"/>
    </row>
    <row r="1517" spans="3:3">
      <c r="C1517"/>
    </row>
    <row r="1518" spans="3:3">
      <c r="C1518"/>
    </row>
    <row r="1519" spans="3:3">
      <c r="C1519"/>
    </row>
    <row r="1520" spans="3:3">
      <c r="C1520"/>
    </row>
    <row r="1521" spans="3:3">
      <c r="C1521"/>
    </row>
    <row r="1522" spans="3:3">
      <c r="C1522"/>
    </row>
    <row r="1523" spans="3:3">
      <c r="C1523"/>
    </row>
    <row r="1524" spans="3:3">
      <c r="C1524"/>
    </row>
    <row r="1525" spans="3:3">
      <c r="C1525"/>
    </row>
    <row r="1526" spans="3:3">
      <c r="C1526"/>
    </row>
    <row r="1527" spans="3:3">
      <c r="C1527"/>
    </row>
    <row r="1528" spans="3:3">
      <c r="C1528"/>
    </row>
    <row r="1529" spans="3:3">
      <c r="C1529"/>
    </row>
    <row r="1530" spans="3:3">
      <c r="C1530"/>
    </row>
    <row r="1531" spans="3:3">
      <c r="C1531"/>
    </row>
    <row r="1532" spans="3:3">
      <c r="C1532"/>
    </row>
    <row r="1533" spans="3:3">
      <c r="C1533"/>
    </row>
    <row r="1534" spans="3:3">
      <c r="C1534"/>
    </row>
    <row r="1535" spans="3:3">
      <c r="C1535"/>
    </row>
    <row r="1536" spans="3:3">
      <c r="C1536"/>
    </row>
    <row r="1537" spans="3:3">
      <c r="C1537"/>
    </row>
    <row r="1538" spans="3:3">
      <c r="C1538"/>
    </row>
    <row r="1539" spans="3:3">
      <c r="C1539"/>
    </row>
    <row r="1540" spans="3:3">
      <c r="C1540"/>
    </row>
    <row r="1541" spans="3:3">
      <c r="C1541"/>
    </row>
    <row r="1542" spans="3:3">
      <c r="C1542"/>
    </row>
    <row r="1543" spans="3:3">
      <c r="C1543"/>
    </row>
    <row r="1544" spans="3:3">
      <c r="C1544"/>
    </row>
    <row r="1545" spans="3:3">
      <c r="C1545"/>
    </row>
    <row r="1546" spans="3:3">
      <c r="C1546"/>
    </row>
    <row r="1547" spans="3:3">
      <c r="C1547"/>
    </row>
    <row r="1548" spans="3:3">
      <c r="C1548"/>
    </row>
    <row r="1549" spans="3:3">
      <c r="C1549"/>
    </row>
    <row r="1550" spans="3:3">
      <c r="C1550"/>
    </row>
    <row r="1551" spans="3:3">
      <c r="C1551"/>
    </row>
    <row r="1552" spans="3:3">
      <c r="C1552"/>
    </row>
    <row r="1553" spans="3:3">
      <c r="C1553"/>
    </row>
    <row r="1554" spans="3:3">
      <c r="C1554"/>
    </row>
    <row r="1555" spans="3:3">
      <c r="C1555"/>
    </row>
    <row r="1556" spans="3:3">
      <c r="C1556"/>
    </row>
    <row r="1557" spans="3:3">
      <c r="C1557"/>
    </row>
    <row r="1558" spans="3:3">
      <c r="C1558"/>
    </row>
    <row r="1559" spans="3:3">
      <c r="C1559"/>
    </row>
    <row r="1560" spans="3:3">
      <c r="C1560"/>
    </row>
    <row r="1561" spans="3:3">
      <c r="C1561"/>
    </row>
    <row r="1562" spans="3:3">
      <c r="C1562"/>
    </row>
    <row r="1563" spans="3:3">
      <c r="C1563"/>
    </row>
    <row r="1564" spans="3:3">
      <c r="C1564"/>
    </row>
    <row r="1565" spans="3:3">
      <c r="C1565"/>
    </row>
    <row r="1566" spans="3:3">
      <c r="C1566"/>
    </row>
    <row r="1567" spans="3:3">
      <c r="C1567"/>
    </row>
    <row r="1568" spans="3:3">
      <c r="C1568"/>
    </row>
    <row r="1569" spans="3:3">
      <c r="C1569"/>
    </row>
    <row r="1570" spans="3:3">
      <c r="C1570"/>
    </row>
    <row r="1571" spans="3:3">
      <c r="C1571"/>
    </row>
    <row r="1572" spans="3:3">
      <c r="C1572"/>
    </row>
    <row r="1573" spans="3:3">
      <c r="C1573"/>
    </row>
    <row r="1574" spans="3:3">
      <c r="C1574"/>
    </row>
    <row r="1575" spans="3:3">
      <c r="C1575"/>
    </row>
    <row r="1576" spans="3:3">
      <c r="C1576"/>
    </row>
    <row r="1577" spans="3:3">
      <c r="C1577"/>
    </row>
    <row r="1578" spans="3:3">
      <c r="C1578"/>
    </row>
    <row r="1579" spans="3:3">
      <c r="C1579"/>
    </row>
    <row r="1580" spans="3:3">
      <c r="C1580"/>
    </row>
    <row r="1581" spans="3:3">
      <c r="C1581"/>
    </row>
    <row r="1582" spans="3:3">
      <c r="C1582"/>
    </row>
    <row r="1583" spans="3:3">
      <c r="C1583"/>
    </row>
    <row r="1584" spans="3:3">
      <c r="C1584"/>
    </row>
    <row r="1585" spans="3:3">
      <c r="C1585"/>
    </row>
    <row r="1586" spans="3:3">
      <c r="C1586"/>
    </row>
    <row r="1587" spans="3:3">
      <c r="C1587"/>
    </row>
    <row r="1588" spans="3:3">
      <c r="C1588"/>
    </row>
    <row r="1589" spans="3:3">
      <c r="C1589"/>
    </row>
    <row r="1590" spans="3:3">
      <c r="C1590"/>
    </row>
    <row r="1591" spans="3:3">
      <c r="C1591"/>
    </row>
    <row r="1592" spans="3:3">
      <c r="C1592"/>
    </row>
    <row r="1593" spans="3:3">
      <c r="C1593"/>
    </row>
    <row r="1594" spans="3:3">
      <c r="C1594"/>
    </row>
    <row r="1595" spans="3:3">
      <c r="C1595"/>
    </row>
    <row r="1596" spans="3:3">
      <c r="C1596"/>
    </row>
    <row r="1597" spans="3:3">
      <c r="C1597"/>
    </row>
    <row r="1598" spans="3:3">
      <c r="C1598"/>
    </row>
    <row r="1599" spans="3:3">
      <c r="C1599"/>
    </row>
    <row r="1600" spans="3:3">
      <c r="C1600"/>
    </row>
    <row r="1601" spans="3:3">
      <c r="C1601"/>
    </row>
    <row r="1602" spans="3:3">
      <c r="C1602"/>
    </row>
    <row r="1603" spans="3:3">
      <c r="C1603"/>
    </row>
    <row r="1604" spans="3:3">
      <c r="C1604"/>
    </row>
    <row r="1605" spans="3:3">
      <c r="C1605"/>
    </row>
    <row r="1606" spans="3:3">
      <c r="C1606"/>
    </row>
    <row r="1607" spans="3:3">
      <c r="C1607"/>
    </row>
    <row r="1608" spans="3:3">
      <c r="C1608"/>
    </row>
    <row r="1609" spans="3:3">
      <c r="C1609"/>
    </row>
    <row r="1610" spans="3:3">
      <c r="C1610"/>
    </row>
    <row r="1611" spans="3:3">
      <c r="C1611"/>
    </row>
    <row r="1612" spans="3:3">
      <c r="C1612"/>
    </row>
    <row r="1613" spans="3:3">
      <c r="C1613"/>
    </row>
    <row r="1614" spans="3:3">
      <c r="C1614"/>
    </row>
    <row r="1615" spans="3:3">
      <c r="C1615"/>
    </row>
    <row r="1616" spans="3:3">
      <c r="C1616"/>
    </row>
    <row r="1617" spans="3:3">
      <c r="C1617"/>
    </row>
    <row r="1618" spans="3:3">
      <c r="C1618"/>
    </row>
    <row r="1619" spans="3:3">
      <c r="C1619"/>
    </row>
    <row r="1620" spans="3:3">
      <c r="C1620"/>
    </row>
    <row r="1621" spans="3:3">
      <c r="C1621"/>
    </row>
    <row r="1622" spans="3:3">
      <c r="C1622"/>
    </row>
    <row r="1623" spans="3:3">
      <c r="C1623"/>
    </row>
    <row r="1624" spans="3:3">
      <c r="C1624"/>
    </row>
    <row r="1625" spans="3:3">
      <c r="C1625"/>
    </row>
    <row r="1626" spans="3:3">
      <c r="C1626"/>
    </row>
    <row r="1627" spans="3:3">
      <c r="C1627"/>
    </row>
    <row r="1628" spans="3:3">
      <c r="C1628"/>
    </row>
    <row r="1629" spans="3:3">
      <c r="C1629"/>
    </row>
    <row r="1630" spans="3:3">
      <c r="C1630"/>
    </row>
    <row r="1631" spans="3:3">
      <c r="C1631"/>
    </row>
    <row r="1632" spans="3:3">
      <c r="C1632"/>
    </row>
    <row r="1633" spans="3:3">
      <c r="C1633"/>
    </row>
    <row r="1634" spans="3:3">
      <c r="C1634"/>
    </row>
    <row r="1635" spans="3:3">
      <c r="C1635"/>
    </row>
    <row r="1636" spans="3:3">
      <c r="C1636"/>
    </row>
    <row r="1637" spans="3:3">
      <c r="C1637"/>
    </row>
    <row r="1638" spans="3:3">
      <c r="C1638"/>
    </row>
    <row r="1639" spans="3:3">
      <c r="C1639"/>
    </row>
    <row r="1640" spans="3:3">
      <c r="C1640"/>
    </row>
    <row r="1641" spans="3:3">
      <c r="C1641"/>
    </row>
    <row r="1642" spans="3:3">
      <c r="C1642"/>
    </row>
    <row r="1643" spans="3:3">
      <c r="C1643"/>
    </row>
    <row r="1644" spans="3:3">
      <c r="C1644"/>
    </row>
    <row r="1645" spans="3:3">
      <c r="C1645"/>
    </row>
    <row r="1646" spans="3:3">
      <c r="C1646"/>
    </row>
    <row r="1647" spans="3:3">
      <c r="C1647"/>
    </row>
    <row r="1648" spans="3:3">
      <c r="C1648"/>
    </row>
    <row r="1649" spans="3:3">
      <c r="C1649"/>
    </row>
    <row r="1650" spans="3:3">
      <c r="C1650"/>
    </row>
    <row r="1651" spans="3:3">
      <c r="C1651"/>
    </row>
    <row r="1652" spans="3:3">
      <c r="C1652"/>
    </row>
    <row r="1653" spans="3:3">
      <c r="C1653"/>
    </row>
    <row r="1654" spans="3:3">
      <c r="C1654"/>
    </row>
    <row r="1655" spans="3:3">
      <c r="C1655"/>
    </row>
    <row r="1656" spans="3:3">
      <c r="C1656"/>
    </row>
    <row r="1657" spans="3:3">
      <c r="C1657"/>
    </row>
    <row r="1658" spans="3:3">
      <c r="C1658"/>
    </row>
    <row r="1659" spans="3:3">
      <c r="C1659"/>
    </row>
    <row r="1660" spans="3:3">
      <c r="C1660"/>
    </row>
    <row r="1661" spans="3:3">
      <c r="C1661"/>
    </row>
    <row r="1662" spans="3:3">
      <c r="C1662"/>
    </row>
    <row r="1663" spans="3:3">
      <c r="C1663"/>
    </row>
    <row r="1664" spans="3:3">
      <c r="C1664"/>
    </row>
    <row r="1665" spans="3:3">
      <c r="C1665"/>
    </row>
    <row r="1666" spans="3:3">
      <c r="C1666"/>
    </row>
    <row r="1667" spans="3:3">
      <c r="C1667"/>
    </row>
    <row r="1668" spans="3:3">
      <c r="C1668"/>
    </row>
    <row r="1669" spans="3:3">
      <c r="C1669"/>
    </row>
    <row r="1670" spans="3:3">
      <c r="C1670"/>
    </row>
    <row r="1671" spans="3:3">
      <c r="C1671"/>
    </row>
    <row r="1672" spans="3:3">
      <c r="C1672"/>
    </row>
    <row r="1673" spans="3:3">
      <c r="C1673"/>
    </row>
    <row r="1674" spans="3:3">
      <c r="C1674"/>
    </row>
    <row r="1675" spans="3:3">
      <c r="C1675"/>
    </row>
    <row r="1676" spans="3:3">
      <c r="C1676"/>
    </row>
    <row r="1677" spans="3:3">
      <c r="C1677"/>
    </row>
    <row r="1678" spans="3:3">
      <c r="C1678"/>
    </row>
    <row r="1679" spans="3:3">
      <c r="C1679"/>
    </row>
    <row r="1680" spans="3:3">
      <c r="C1680"/>
    </row>
    <row r="1681" spans="3:3">
      <c r="C1681"/>
    </row>
    <row r="1682" spans="3:3">
      <c r="C1682"/>
    </row>
    <row r="1683" spans="3:3">
      <c r="C1683"/>
    </row>
    <row r="1684" spans="3:3">
      <c r="C1684"/>
    </row>
    <row r="1685" spans="3:3">
      <c r="C1685"/>
    </row>
    <row r="1686" spans="3:3">
      <c r="C1686"/>
    </row>
    <row r="1687" spans="3:3">
      <c r="C1687"/>
    </row>
    <row r="1688" spans="3:3">
      <c r="C1688"/>
    </row>
    <row r="1689" spans="3:3">
      <c r="C1689"/>
    </row>
    <row r="1690" spans="3:3">
      <c r="C1690"/>
    </row>
    <row r="1691" spans="3:3">
      <c r="C1691"/>
    </row>
    <row r="1692" spans="3:3">
      <c r="C1692"/>
    </row>
    <row r="1693" spans="3:3">
      <c r="C1693"/>
    </row>
    <row r="1694" spans="3:3">
      <c r="C1694"/>
    </row>
    <row r="1695" spans="3:3">
      <c r="C1695"/>
    </row>
    <row r="1696" spans="3:3">
      <c r="C1696"/>
    </row>
    <row r="1697" spans="3:3">
      <c r="C1697"/>
    </row>
    <row r="1698" spans="3:3">
      <c r="C1698"/>
    </row>
    <row r="1699" spans="3:3">
      <c r="C1699"/>
    </row>
    <row r="1700" spans="3:3">
      <c r="C1700"/>
    </row>
    <row r="1701" spans="3:3">
      <c r="C1701"/>
    </row>
    <row r="1702" spans="3:3">
      <c r="C1702"/>
    </row>
    <row r="1703" spans="3:3">
      <c r="C1703"/>
    </row>
    <row r="1704" spans="3:3">
      <c r="C1704"/>
    </row>
    <row r="1705" spans="3:3">
      <c r="C1705"/>
    </row>
    <row r="1706" spans="3:3">
      <c r="C1706"/>
    </row>
    <row r="1707" spans="3:3">
      <c r="C1707"/>
    </row>
    <row r="1708" spans="3:3">
      <c r="C1708"/>
    </row>
    <row r="1709" spans="3:3">
      <c r="C1709"/>
    </row>
    <row r="1710" spans="3:3">
      <c r="C1710"/>
    </row>
    <row r="1711" spans="3:3">
      <c r="C1711"/>
    </row>
    <row r="1712" spans="3:3">
      <c r="C1712"/>
    </row>
    <row r="1713" spans="3:3">
      <c r="C1713"/>
    </row>
    <row r="1714" spans="3:3">
      <c r="C1714"/>
    </row>
    <row r="1715" spans="3:3">
      <c r="C1715"/>
    </row>
    <row r="1716" spans="3:3">
      <c r="C1716"/>
    </row>
    <row r="1717" spans="3:3">
      <c r="C1717"/>
    </row>
    <row r="1718" spans="3:3">
      <c r="C1718"/>
    </row>
    <row r="1719" spans="3:3">
      <c r="C1719"/>
    </row>
    <row r="1720" spans="3:3">
      <c r="C1720"/>
    </row>
    <row r="1721" spans="3:3">
      <c r="C1721"/>
    </row>
    <row r="1722" spans="3:3">
      <c r="C1722"/>
    </row>
    <row r="1723" spans="3:3">
      <c r="C1723"/>
    </row>
    <row r="1724" spans="3:3">
      <c r="C1724"/>
    </row>
    <row r="1725" spans="3:3">
      <c r="C1725"/>
    </row>
    <row r="1726" spans="3:3">
      <c r="C1726"/>
    </row>
    <row r="1727" spans="3:3">
      <c r="C1727"/>
    </row>
    <row r="1728" spans="3:3">
      <c r="C1728"/>
    </row>
    <row r="1729" spans="3:3">
      <c r="C1729"/>
    </row>
    <row r="1730" spans="3:3">
      <c r="C1730"/>
    </row>
    <row r="1731" spans="3:3">
      <c r="C1731"/>
    </row>
    <row r="1732" spans="3:3">
      <c r="C1732"/>
    </row>
    <row r="1733" spans="3:3">
      <c r="C1733"/>
    </row>
    <row r="1734" spans="3:3">
      <c r="C1734"/>
    </row>
    <row r="1735" spans="3:3">
      <c r="C1735"/>
    </row>
    <row r="1736" spans="3:3">
      <c r="C1736"/>
    </row>
    <row r="1737" spans="3:3">
      <c r="C1737"/>
    </row>
    <row r="1738" spans="3:3">
      <c r="C1738"/>
    </row>
    <row r="1739" spans="3:3">
      <c r="C1739"/>
    </row>
    <row r="1740" spans="3:3">
      <c r="C1740"/>
    </row>
    <row r="1741" spans="3:3">
      <c r="C1741"/>
    </row>
    <row r="1742" spans="3:3">
      <c r="C1742"/>
    </row>
    <row r="1743" spans="3:3">
      <c r="C1743"/>
    </row>
    <row r="1744" spans="3:3">
      <c r="C1744"/>
    </row>
    <row r="1745" spans="3:3">
      <c r="C1745"/>
    </row>
    <row r="1746" spans="3:3">
      <c r="C1746"/>
    </row>
    <row r="1747" spans="3:3">
      <c r="C1747"/>
    </row>
    <row r="1748" spans="3:3">
      <c r="C1748"/>
    </row>
    <row r="1749" spans="3:3">
      <c r="C1749"/>
    </row>
    <row r="1750" spans="3:3">
      <c r="C1750"/>
    </row>
    <row r="1751" spans="3:3">
      <c r="C1751"/>
    </row>
    <row r="1752" spans="3:3">
      <c r="C1752"/>
    </row>
    <row r="1753" spans="3:3">
      <c r="C1753"/>
    </row>
    <row r="1754" spans="3:3">
      <c r="C1754"/>
    </row>
    <row r="1755" spans="3:3">
      <c r="C1755"/>
    </row>
    <row r="1756" spans="3:3">
      <c r="C1756"/>
    </row>
    <row r="1757" spans="3:3">
      <c r="C1757"/>
    </row>
    <row r="1758" spans="3:3">
      <c r="C1758"/>
    </row>
    <row r="1759" spans="3:3">
      <c r="C1759"/>
    </row>
    <row r="1760" spans="3:3">
      <c r="C1760"/>
    </row>
    <row r="1761" spans="3:3">
      <c r="C1761"/>
    </row>
    <row r="1762" spans="3:3">
      <c r="C1762"/>
    </row>
    <row r="1763" spans="3:3">
      <c r="C1763"/>
    </row>
    <row r="1764" spans="3:3">
      <c r="C1764"/>
    </row>
    <row r="1765" spans="3:3">
      <c r="C1765"/>
    </row>
    <row r="1766" spans="3:3">
      <c r="C1766"/>
    </row>
    <row r="1767" spans="3:3">
      <c r="C1767"/>
    </row>
    <row r="1768" spans="3:3">
      <c r="C1768"/>
    </row>
    <row r="1769" spans="3:3">
      <c r="C1769"/>
    </row>
    <row r="1770" spans="3:3">
      <c r="C1770"/>
    </row>
    <row r="1771" spans="3:3">
      <c r="C1771"/>
    </row>
    <row r="1772" spans="3:3">
      <c r="C1772"/>
    </row>
    <row r="1773" spans="3:3">
      <c r="C1773"/>
    </row>
    <row r="1774" spans="3:3">
      <c r="C1774"/>
    </row>
    <row r="1775" spans="3:3">
      <c r="C1775"/>
    </row>
    <row r="1776" spans="3:3">
      <c r="C1776"/>
    </row>
    <row r="1777" spans="3:3">
      <c r="C1777"/>
    </row>
    <row r="1778" spans="3:3">
      <c r="C1778"/>
    </row>
    <row r="1779" spans="3:3">
      <c r="C1779"/>
    </row>
    <row r="1780" spans="3:3">
      <c r="C1780"/>
    </row>
    <row r="1781" spans="3:3">
      <c r="C1781"/>
    </row>
    <row r="1782" spans="3:3">
      <c r="C1782"/>
    </row>
    <row r="1783" spans="3:3">
      <c r="C1783"/>
    </row>
    <row r="1784" spans="3:3">
      <c r="C1784"/>
    </row>
    <row r="1785" spans="3:3">
      <c r="C1785"/>
    </row>
    <row r="1786" spans="3:3">
      <c r="C1786"/>
    </row>
    <row r="1787" spans="3:3">
      <c r="C1787"/>
    </row>
    <row r="1788" spans="3:3">
      <c r="C1788"/>
    </row>
    <row r="1789" spans="3:3">
      <c r="C1789"/>
    </row>
    <row r="1790" spans="3:3">
      <c r="C1790"/>
    </row>
    <row r="1791" spans="3:3">
      <c r="C1791"/>
    </row>
    <row r="1792" spans="3:3">
      <c r="C1792"/>
    </row>
    <row r="1793" spans="3:3">
      <c r="C1793"/>
    </row>
    <row r="1794" spans="3:3">
      <c r="C1794"/>
    </row>
    <row r="1795" spans="3:3">
      <c r="C1795"/>
    </row>
    <row r="1796" spans="3:3">
      <c r="C1796"/>
    </row>
    <row r="1797" spans="3:3">
      <c r="C1797"/>
    </row>
    <row r="1798" spans="3:3">
      <c r="C1798"/>
    </row>
    <row r="1799" spans="3:3">
      <c r="C1799"/>
    </row>
    <row r="1800" spans="3:3">
      <c r="C1800"/>
    </row>
    <row r="1801" spans="3:3">
      <c r="C1801"/>
    </row>
    <row r="1802" spans="3:3">
      <c r="C1802"/>
    </row>
    <row r="1803" spans="3:3">
      <c r="C1803"/>
    </row>
    <row r="1804" spans="3:3">
      <c r="C1804"/>
    </row>
    <row r="1805" spans="3:3">
      <c r="C1805"/>
    </row>
    <row r="1806" spans="3:3">
      <c r="C1806"/>
    </row>
    <row r="1807" spans="3:3">
      <c r="C1807"/>
    </row>
    <row r="1808" spans="3:3">
      <c r="C1808"/>
    </row>
    <row r="1809" spans="3:3">
      <c r="C1809"/>
    </row>
    <row r="1810" spans="3:3">
      <c r="C1810"/>
    </row>
    <row r="1811" spans="3:3">
      <c r="C1811"/>
    </row>
    <row r="1812" spans="3:3">
      <c r="C1812"/>
    </row>
    <row r="1813" spans="3:3">
      <c r="C1813"/>
    </row>
    <row r="1814" spans="3:3">
      <c r="C1814"/>
    </row>
    <row r="1815" spans="3:3">
      <c r="C1815"/>
    </row>
    <row r="1816" spans="3:3">
      <c r="C1816"/>
    </row>
    <row r="1817" spans="3:3">
      <c r="C1817"/>
    </row>
    <row r="1818" spans="3:3">
      <c r="C1818"/>
    </row>
    <row r="1819" spans="3:3">
      <c r="C1819"/>
    </row>
    <row r="1820" spans="3:3">
      <c r="C1820"/>
    </row>
    <row r="1821" spans="3:3">
      <c r="C1821"/>
    </row>
    <row r="1822" spans="3:3">
      <c r="C1822"/>
    </row>
    <row r="1823" spans="3:3">
      <c r="C1823"/>
    </row>
    <row r="1824" spans="3:3">
      <c r="C1824"/>
    </row>
    <row r="1825" spans="3:3">
      <c r="C1825"/>
    </row>
    <row r="1826" spans="3:3">
      <c r="C1826"/>
    </row>
    <row r="1827" spans="3:3">
      <c r="C1827"/>
    </row>
    <row r="1828" spans="3:3">
      <c r="C1828"/>
    </row>
    <row r="1829" spans="3:3">
      <c r="C1829"/>
    </row>
    <row r="1830" spans="3:3">
      <c r="C1830"/>
    </row>
    <row r="1831" spans="3:3">
      <c r="C1831"/>
    </row>
    <row r="1832" spans="3:3">
      <c r="C1832"/>
    </row>
    <row r="1833" spans="3:3">
      <c r="C1833"/>
    </row>
    <row r="1834" spans="3:3">
      <c r="C1834"/>
    </row>
    <row r="1835" spans="3:3">
      <c r="C1835"/>
    </row>
    <row r="1836" spans="3:3">
      <c r="C1836"/>
    </row>
    <row r="1837" spans="3:3">
      <c r="C1837"/>
    </row>
    <row r="1838" spans="3:3">
      <c r="C1838"/>
    </row>
    <row r="1839" spans="3:3">
      <c r="C1839"/>
    </row>
    <row r="1840" spans="3:3">
      <c r="C1840"/>
    </row>
    <row r="1841" spans="3:3">
      <c r="C1841"/>
    </row>
    <row r="1842" spans="3:3">
      <c r="C1842"/>
    </row>
    <row r="1843" spans="3:3">
      <c r="C1843"/>
    </row>
    <row r="1844" spans="3:3">
      <c r="C1844"/>
    </row>
    <row r="1845" spans="3:3">
      <c r="C1845"/>
    </row>
    <row r="1846" spans="3:3">
      <c r="C1846"/>
    </row>
    <row r="1847" spans="3:3">
      <c r="C1847"/>
    </row>
    <row r="1848" spans="3:3">
      <c r="C1848"/>
    </row>
    <row r="1849" spans="3:3">
      <c r="C1849"/>
    </row>
    <row r="1850" spans="3:3">
      <c r="C1850"/>
    </row>
    <row r="1851" spans="3:3">
      <c r="C1851"/>
    </row>
    <row r="1852" spans="3:3">
      <c r="C1852"/>
    </row>
    <row r="1853" spans="3:3">
      <c r="C1853"/>
    </row>
    <row r="1854" spans="3:3">
      <c r="C1854"/>
    </row>
    <row r="1855" spans="3:3">
      <c r="C1855"/>
    </row>
    <row r="1856" spans="3:3">
      <c r="C1856"/>
    </row>
    <row r="1857" spans="3:3">
      <c r="C1857"/>
    </row>
    <row r="1858" spans="3:3">
      <c r="C1858"/>
    </row>
    <row r="1859" spans="3:3">
      <c r="C1859"/>
    </row>
    <row r="1860" spans="3:3">
      <c r="C1860"/>
    </row>
    <row r="1861" spans="3:3">
      <c r="C1861"/>
    </row>
    <row r="1862" spans="3:3">
      <c r="C1862"/>
    </row>
    <row r="1863" spans="3:3">
      <c r="C1863"/>
    </row>
    <row r="1864" spans="3:3">
      <c r="C1864"/>
    </row>
    <row r="1865" spans="3:3">
      <c r="C1865"/>
    </row>
    <row r="1866" spans="3:3">
      <c r="C1866"/>
    </row>
    <row r="1867" spans="3:3">
      <c r="C1867"/>
    </row>
    <row r="1868" spans="3:3">
      <c r="C1868"/>
    </row>
    <row r="1869" spans="3:3">
      <c r="C1869"/>
    </row>
    <row r="1870" spans="3:3">
      <c r="C1870"/>
    </row>
    <row r="1871" spans="3:3">
      <c r="C1871"/>
    </row>
    <row r="1872" spans="3:3">
      <c r="C1872"/>
    </row>
    <row r="1873" spans="3:3">
      <c r="C1873"/>
    </row>
    <row r="1874" spans="3:3">
      <c r="C1874"/>
    </row>
    <row r="1875" spans="3:3">
      <c r="C1875"/>
    </row>
    <row r="1876" spans="3:3">
      <c r="C1876"/>
    </row>
    <row r="1877" spans="3:3">
      <c r="C1877"/>
    </row>
    <row r="1878" spans="3:3">
      <c r="C1878"/>
    </row>
    <row r="1879" spans="3:3">
      <c r="C1879"/>
    </row>
    <row r="1880" spans="3:3">
      <c r="C1880"/>
    </row>
    <row r="1881" spans="3:3">
      <c r="C1881"/>
    </row>
    <row r="1882" spans="3:3">
      <c r="C1882"/>
    </row>
    <row r="1883" spans="3:3">
      <c r="C1883"/>
    </row>
    <row r="1884" spans="3:3">
      <c r="C1884"/>
    </row>
    <row r="1885" spans="3:3">
      <c r="C1885"/>
    </row>
    <row r="1886" spans="3:3">
      <c r="C1886"/>
    </row>
    <row r="1887" spans="3:3">
      <c r="C1887"/>
    </row>
    <row r="1888" spans="3:3">
      <c r="C1888"/>
    </row>
    <row r="1889" spans="3:3">
      <c r="C1889"/>
    </row>
    <row r="1890" spans="3:3">
      <c r="C1890"/>
    </row>
    <row r="1891" spans="3:3">
      <c r="C1891"/>
    </row>
    <row r="1892" spans="3:3">
      <c r="C1892"/>
    </row>
    <row r="1893" spans="3:3">
      <c r="C1893"/>
    </row>
    <row r="1894" spans="3:3">
      <c r="C1894"/>
    </row>
    <row r="1895" spans="3:3">
      <c r="C1895"/>
    </row>
    <row r="1896" spans="3:3">
      <c r="C1896"/>
    </row>
    <row r="1897" spans="3:3">
      <c r="C1897"/>
    </row>
    <row r="1898" spans="3:3">
      <c r="C1898"/>
    </row>
    <row r="1899" spans="3:3">
      <c r="C1899"/>
    </row>
    <row r="1900" spans="3:3">
      <c r="C1900"/>
    </row>
    <row r="1901" spans="3:3">
      <c r="C1901"/>
    </row>
    <row r="1902" spans="3:3">
      <c r="C1902"/>
    </row>
    <row r="1903" spans="3:3">
      <c r="C1903"/>
    </row>
    <row r="1904" spans="3:3">
      <c r="C1904"/>
    </row>
    <row r="1905" spans="3:3">
      <c r="C1905"/>
    </row>
    <row r="1906" spans="3:3">
      <c r="C1906"/>
    </row>
    <row r="1907" spans="3:3">
      <c r="C1907"/>
    </row>
    <row r="1908" spans="3:3">
      <c r="C1908"/>
    </row>
    <row r="1909" spans="3:3">
      <c r="C1909"/>
    </row>
    <row r="1910" spans="3:3">
      <c r="C1910"/>
    </row>
    <row r="1911" spans="3:3">
      <c r="C1911"/>
    </row>
    <row r="1912" spans="3:3">
      <c r="C1912"/>
    </row>
    <row r="1913" spans="3:3">
      <c r="C1913"/>
    </row>
    <row r="1914" spans="3:3">
      <c r="C1914"/>
    </row>
    <row r="1915" spans="3:3">
      <c r="C1915"/>
    </row>
    <row r="1916" spans="3:3">
      <c r="C1916"/>
    </row>
    <row r="1917" spans="3:3">
      <c r="C1917"/>
    </row>
    <row r="1918" spans="3:3">
      <c r="C1918"/>
    </row>
    <row r="1919" spans="3:3">
      <c r="C1919"/>
    </row>
    <row r="1920" spans="3:3">
      <c r="C1920"/>
    </row>
    <row r="1921" spans="3:3">
      <c r="C1921"/>
    </row>
    <row r="1922" spans="3:3">
      <c r="C1922"/>
    </row>
    <row r="1923" spans="3:3">
      <c r="C1923"/>
    </row>
    <row r="1924" spans="3:3">
      <c r="C1924"/>
    </row>
    <row r="1925" spans="3:3">
      <c r="C1925"/>
    </row>
    <row r="1926" spans="3:3">
      <c r="C1926"/>
    </row>
    <row r="1927" spans="3:3">
      <c r="C1927"/>
    </row>
    <row r="1928" spans="3:3">
      <c r="C1928"/>
    </row>
    <row r="1929" spans="3:3">
      <c r="C1929"/>
    </row>
    <row r="1930" spans="3:3">
      <c r="C1930"/>
    </row>
    <row r="1931" spans="3:3">
      <c r="C1931"/>
    </row>
    <row r="1932" spans="3:3">
      <c r="C1932"/>
    </row>
    <row r="1933" spans="3:3">
      <c r="C1933"/>
    </row>
    <row r="1934" spans="3:3">
      <c r="C1934"/>
    </row>
    <row r="1935" spans="3:3">
      <c r="C1935"/>
    </row>
    <row r="1936" spans="3:3">
      <c r="C1936"/>
    </row>
    <row r="1937" spans="3:3">
      <c r="C1937"/>
    </row>
    <row r="1938" spans="3:3">
      <c r="C1938"/>
    </row>
    <row r="1939" spans="3:3">
      <c r="C1939"/>
    </row>
    <row r="1940" spans="3:3">
      <c r="C1940"/>
    </row>
    <row r="1941" spans="3:3">
      <c r="C1941"/>
    </row>
    <row r="1942" spans="3:3">
      <c r="C1942"/>
    </row>
    <row r="1943" spans="3:3">
      <c r="C1943"/>
    </row>
    <row r="1944" spans="3:3">
      <c r="C1944"/>
    </row>
    <row r="1945" spans="3:3">
      <c r="C1945"/>
    </row>
    <row r="1946" spans="3:3">
      <c r="C1946"/>
    </row>
    <row r="1947" spans="3:3">
      <c r="C1947"/>
    </row>
    <row r="1948" spans="3:3">
      <c r="C1948"/>
    </row>
    <row r="1949" spans="3:3">
      <c r="C1949"/>
    </row>
    <row r="1950" spans="3:3">
      <c r="C1950"/>
    </row>
    <row r="1951" spans="3:3">
      <c r="C1951"/>
    </row>
    <row r="1952" spans="3:3">
      <c r="C1952"/>
    </row>
    <row r="1953" spans="3:3">
      <c r="C1953"/>
    </row>
    <row r="1954" spans="3:3">
      <c r="C1954"/>
    </row>
    <row r="1955" spans="3:3">
      <c r="C1955"/>
    </row>
    <row r="1956" spans="3:3">
      <c r="C1956"/>
    </row>
    <row r="1957" spans="3:3">
      <c r="C1957"/>
    </row>
    <row r="1958" spans="3:3">
      <c r="C1958"/>
    </row>
    <row r="1959" spans="3:3">
      <c r="C1959"/>
    </row>
    <row r="1960" spans="3:3">
      <c r="C1960"/>
    </row>
    <row r="1961" spans="3:3">
      <c r="C1961"/>
    </row>
    <row r="1962" spans="3:3">
      <c r="C1962"/>
    </row>
    <row r="1963" spans="3:3">
      <c r="C1963"/>
    </row>
    <row r="1964" spans="3:3">
      <c r="C1964"/>
    </row>
    <row r="1965" spans="3:3">
      <c r="C1965"/>
    </row>
    <row r="1966" spans="3:3">
      <c r="C1966"/>
    </row>
    <row r="1967" spans="3:3">
      <c r="C1967"/>
    </row>
    <row r="1968" spans="3:3">
      <c r="C1968"/>
    </row>
    <row r="1969" spans="3:3">
      <c r="C1969"/>
    </row>
    <row r="1970" spans="3:3">
      <c r="C1970"/>
    </row>
    <row r="1971" spans="3:3">
      <c r="C1971"/>
    </row>
    <row r="1972" spans="3:3">
      <c r="C1972"/>
    </row>
    <row r="1973" spans="3:3">
      <c r="C1973"/>
    </row>
    <row r="1974" spans="3:3">
      <c r="C1974"/>
    </row>
    <row r="1975" spans="3:3">
      <c r="C1975"/>
    </row>
    <row r="1976" spans="3:3">
      <c r="C1976"/>
    </row>
    <row r="1977" spans="3:3">
      <c r="C1977"/>
    </row>
    <row r="1978" spans="3:3">
      <c r="C1978"/>
    </row>
    <row r="1979" spans="3:3">
      <c r="C1979"/>
    </row>
    <row r="1980" spans="3:3">
      <c r="C1980"/>
    </row>
    <row r="1981" spans="3:3">
      <c r="C1981"/>
    </row>
    <row r="1982" spans="3:3">
      <c r="C1982"/>
    </row>
    <row r="1983" spans="3:3">
      <c r="C1983"/>
    </row>
    <row r="1984" spans="3:3">
      <c r="C1984"/>
    </row>
    <row r="1985" spans="3:3">
      <c r="C1985"/>
    </row>
    <row r="1986" spans="3:3">
      <c r="C1986"/>
    </row>
    <row r="1987" spans="3:3">
      <c r="C1987"/>
    </row>
    <row r="1988" spans="3:3">
      <c r="C1988"/>
    </row>
    <row r="1989" spans="3:3">
      <c r="C1989"/>
    </row>
    <row r="1990" spans="3:3">
      <c r="C1990"/>
    </row>
    <row r="1991" spans="3:3">
      <c r="C1991"/>
    </row>
    <row r="1992" spans="3:3">
      <c r="C1992"/>
    </row>
    <row r="1993" spans="3:3">
      <c r="C1993"/>
    </row>
    <row r="1994" spans="3:3">
      <c r="C1994"/>
    </row>
    <row r="1995" spans="3:3">
      <c r="C1995"/>
    </row>
    <row r="1996" spans="3:3">
      <c r="C1996"/>
    </row>
    <row r="1997" spans="3:3">
      <c r="C1997"/>
    </row>
    <row r="1998" spans="3:3">
      <c r="C1998"/>
    </row>
    <row r="1999" spans="3:3">
      <c r="C1999"/>
    </row>
    <row r="2000" spans="3:3">
      <c r="C2000"/>
    </row>
    <row r="2001" spans="3:3">
      <c r="C2001"/>
    </row>
    <row r="2002" spans="3:3">
      <c r="C2002"/>
    </row>
    <row r="2003" spans="3:3">
      <c r="C2003"/>
    </row>
    <row r="2004" spans="3:3">
      <c r="C2004"/>
    </row>
    <row r="2005" spans="3:3">
      <c r="C2005"/>
    </row>
    <row r="2006" spans="3:3">
      <c r="C2006"/>
    </row>
    <row r="2007" spans="3:3">
      <c r="C2007"/>
    </row>
    <row r="2008" spans="3:3">
      <c r="C2008"/>
    </row>
    <row r="2009" spans="3:3">
      <c r="C2009"/>
    </row>
    <row r="2010" spans="3:3">
      <c r="C2010"/>
    </row>
    <row r="2011" spans="3:3">
      <c r="C2011"/>
    </row>
    <row r="2012" spans="3:3">
      <c r="C2012"/>
    </row>
    <row r="2013" spans="3:3">
      <c r="C2013"/>
    </row>
    <row r="2014" spans="3:3">
      <c r="C2014"/>
    </row>
    <row r="2015" spans="3:3">
      <c r="C2015"/>
    </row>
    <row r="2016" spans="3:3">
      <c r="C2016"/>
    </row>
    <row r="2017" spans="3:3">
      <c r="C2017"/>
    </row>
    <row r="2018" spans="3:3">
      <c r="C2018"/>
    </row>
    <row r="2019" spans="3:3">
      <c r="C2019"/>
    </row>
    <row r="2020" spans="3:3">
      <c r="C2020"/>
    </row>
    <row r="2021" spans="3:3">
      <c r="C2021"/>
    </row>
    <row r="2022" spans="3:3">
      <c r="C2022"/>
    </row>
    <row r="2023" spans="3:3">
      <c r="C2023"/>
    </row>
    <row r="2024" spans="3:3">
      <c r="C2024"/>
    </row>
    <row r="2025" spans="3:3">
      <c r="C2025"/>
    </row>
    <row r="2026" spans="3:3">
      <c r="C2026"/>
    </row>
    <row r="2027" spans="3:3">
      <c r="C2027"/>
    </row>
    <row r="2028" spans="3:3">
      <c r="C2028"/>
    </row>
    <row r="2029" spans="3:3">
      <c r="C2029"/>
    </row>
    <row r="2030" spans="3:3">
      <c r="C2030"/>
    </row>
    <row r="2031" spans="3:3">
      <c r="C2031"/>
    </row>
    <row r="2032" spans="3:3">
      <c r="C2032"/>
    </row>
    <row r="2033" spans="3:3">
      <c r="C2033"/>
    </row>
    <row r="2034" spans="3:3">
      <c r="C2034"/>
    </row>
    <row r="2035" spans="3:3">
      <c r="C2035"/>
    </row>
    <row r="2036" spans="3:3">
      <c r="C2036"/>
    </row>
    <row r="2037" spans="3:3">
      <c r="C2037"/>
    </row>
    <row r="2038" spans="3:3">
      <c r="C2038"/>
    </row>
    <row r="2039" spans="3:3">
      <c r="C2039"/>
    </row>
    <row r="2040" spans="3:3">
      <c r="C2040"/>
    </row>
    <row r="2041" spans="3:3">
      <c r="C2041"/>
    </row>
    <row r="2042" spans="3:3">
      <c r="C2042"/>
    </row>
    <row r="2043" spans="3:3">
      <c r="C2043"/>
    </row>
    <row r="2044" spans="3:3">
      <c r="C2044"/>
    </row>
    <row r="2045" spans="3:3">
      <c r="C2045"/>
    </row>
    <row r="2046" spans="3:3">
      <c r="C2046"/>
    </row>
    <row r="2047" spans="3:3">
      <c r="C2047"/>
    </row>
    <row r="2048" spans="3:3">
      <c r="C2048"/>
    </row>
    <row r="2049" spans="3:3">
      <c r="C2049"/>
    </row>
    <row r="2050" spans="3:3">
      <c r="C2050"/>
    </row>
    <row r="2051" spans="3:3">
      <c r="C2051"/>
    </row>
    <row r="2052" spans="3:3">
      <c r="C2052"/>
    </row>
    <row r="2053" spans="3:3">
      <c r="C2053"/>
    </row>
    <row r="2054" spans="3:3">
      <c r="C2054"/>
    </row>
    <row r="2055" spans="3:3">
      <c r="C2055"/>
    </row>
    <row r="2056" spans="3:3">
      <c r="C2056"/>
    </row>
    <row r="2057" spans="3:3">
      <c r="C2057"/>
    </row>
    <row r="2058" spans="3:3">
      <c r="C2058"/>
    </row>
    <row r="2059" spans="3:3">
      <c r="C2059"/>
    </row>
    <row r="2060" spans="3:3">
      <c r="C2060"/>
    </row>
    <row r="2061" spans="3:3">
      <c r="C2061"/>
    </row>
    <row r="2062" spans="3:3">
      <c r="C2062"/>
    </row>
    <row r="2063" spans="3:3">
      <c r="C2063"/>
    </row>
    <row r="2064" spans="3:3">
      <c r="C2064"/>
    </row>
    <row r="2065" spans="3:3">
      <c r="C2065"/>
    </row>
    <row r="2066" spans="3:3">
      <c r="C2066"/>
    </row>
    <row r="2067" spans="3:3">
      <c r="C2067"/>
    </row>
    <row r="2068" spans="3:3">
      <c r="C2068"/>
    </row>
    <row r="2069" spans="3:3">
      <c r="C2069"/>
    </row>
    <row r="2070" spans="3:3">
      <c r="C2070"/>
    </row>
    <row r="2071" spans="3:3">
      <c r="C2071"/>
    </row>
    <row r="2072" spans="3:3">
      <c r="C2072"/>
    </row>
    <row r="2073" spans="3:3">
      <c r="C2073"/>
    </row>
    <row r="2074" spans="3:3">
      <c r="C2074"/>
    </row>
    <row r="2075" spans="3:3">
      <c r="C2075"/>
    </row>
    <row r="2076" spans="3:3">
      <c r="C2076"/>
    </row>
    <row r="2077" spans="3:3">
      <c r="C2077"/>
    </row>
    <row r="2078" spans="3:3">
      <c r="C2078"/>
    </row>
    <row r="2079" spans="3:3">
      <c r="C2079"/>
    </row>
    <row r="2080" spans="3:3">
      <c r="C2080"/>
    </row>
    <row r="2081" spans="3:3">
      <c r="C2081"/>
    </row>
    <row r="2082" spans="3:3">
      <c r="C2082"/>
    </row>
    <row r="2083" spans="3:3">
      <c r="C2083"/>
    </row>
    <row r="2084" spans="3:3">
      <c r="C2084"/>
    </row>
    <row r="2085" spans="3:3">
      <c r="C2085"/>
    </row>
    <row r="2086" spans="3:3">
      <c r="C2086"/>
    </row>
    <row r="2087" spans="3:3">
      <c r="C2087"/>
    </row>
    <row r="2088" spans="3:3">
      <c r="C2088"/>
    </row>
    <row r="2089" spans="3:3">
      <c r="C2089"/>
    </row>
    <row r="2090" spans="3:3">
      <c r="C2090"/>
    </row>
    <row r="2091" spans="3:3">
      <c r="C2091"/>
    </row>
    <row r="2092" spans="3:3">
      <c r="C2092"/>
    </row>
    <row r="2093" spans="3:3">
      <c r="C2093"/>
    </row>
    <row r="2094" spans="3:3">
      <c r="C2094"/>
    </row>
    <row r="2095" spans="3:3">
      <c r="C2095"/>
    </row>
    <row r="2096" spans="3:3">
      <c r="C2096"/>
    </row>
    <row r="2097" spans="3:3">
      <c r="C2097"/>
    </row>
    <row r="2098" spans="3:3">
      <c r="C2098"/>
    </row>
    <row r="2099" spans="3:3">
      <c r="C2099"/>
    </row>
    <row r="2100" spans="3:3">
      <c r="C2100"/>
    </row>
    <row r="2101" spans="3:3">
      <c r="C2101"/>
    </row>
    <row r="2102" spans="3:3">
      <c r="C2102"/>
    </row>
    <row r="2103" spans="3:3">
      <c r="C2103"/>
    </row>
    <row r="2104" spans="3:3">
      <c r="C2104"/>
    </row>
    <row r="2105" spans="3:3">
      <c r="C2105"/>
    </row>
    <row r="2106" spans="3:3">
      <c r="C2106"/>
    </row>
    <row r="2107" spans="3:3">
      <c r="C2107"/>
    </row>
    <row r="2108" spans="3:3">
      <c r="C2108"/>
    </row>
    <row r="2109" spans="3:3">
      <c r="C2109"/>
    </row>
    <row r="2110" spans="3:3">
      <c r="C2110"/>
    </row>
    <row r="2111" spans="3:3">
      <c r="C2111"/>
    </row>
    <row r="2112" spans="3:3">
      <c r="C2112"/>
    </row>
    <row r="2113" spans="3:3">
      <c r="C2113"/>
    </row>
    <row r="2114" spans="3:3">
      <c r="C2114"/>
    </row>
    <row r="2115" spans="3:3">
      <c r="C2115"/>
    </row>
    <row r="2116" spans="3:3">
      <c r="C2116"/>
    </row>
    <row r="2117" spans="3:3">
      <c r="C2117"/>
    </row>
    <row r="2118" spans="3:3">
      <c r="C2118"/>
    </row>
    <row r="2119" spans="3:3">
      <c r="C2119"/>
    </row>
    <row r="2120" spans="3:3">
      <c r="C2120"/>
    </row>
    <row r="2121" spans="3:3">
      <c r="C2121"/>
    </row>
    <row r="2122" spans="3:3">
      <c r="C2122"/>
    </row>
    <row r="2123" spans="3:3">
      <c r="C2123"/>
    </row>
    <row r="2124" spans="3:3">
      <c r="C2124"/>
    </row>
    <row r="2125" spans="3:3">
      <c r="C2125"/>
    </row>
    <row r="2126" spans="3:3">
      <c r="C2126"/>
    </row>
    <row r="2127" spans="3:3">
      <c r="C2127"/>
    </row>
    <row r="2128" spans="3:3">
      <c r="C2128"/>
    </row>
    <row r="2129" spans="3:3">
      <c r="C2129"/>
    </row>
    <row r="2130" spans="3:3">
      <c r="C2130"/>
    </row>
    <row r="2131" spans="3:3">
      <c r="C2131"/>
    </row>
    <row r="2132" spans="3:3">
      <c r="C2132"/>
    </row>
    <row r="2133" spans="3:3">
      <c r="C2133"/>
    </row>
    <row r="2134" spans="3:3">
      <c r="C2134"/>
    </row>
    <row r="2135" spans="3:3">
      <c r="C2135"/>
    </row>
    <row r="2136" spans="3:3">
      <c r="C2136"/>
    </row>
    <row r="2137" spans="3:3">
      <c r="C2137"/>
    </row>
    <row r="2138" spans="3:3">
      <c r="C2138"/>
    </row>
    <row r="2139" spans="3:3">
      <c r="C2139"/>
    </row>
    <row r="2140" spans="3:3">
      <c r="C2140"/>
    </row>
    <row r="2141" spans="3:3">
      <c r="C2141"/>
    </row>
    <row r="2142" spans="3:3">
      <c r="C2142"/>
    </row>
    <row r="2143" spans="3:3">
      <c r="C2143"/>
    </row>
    <row r="2144" spans="3:3">
      <c r="C2144"/>
    </row>
    <row r="2145" spans="3:3">
      <c r="C2145"/>
    </row>
    <row r="2146" spans="3:3">
      <c r="C2146"/>
    </row>
    <row r="2147" spans="3:3">
      <c r="C2147"/>
    </row>
    <row r="2148" spans="3:3">
      <c r="C2148"/>
    </row>
    <row r="2149" spans="3:3">
      <c r="C2149"/>
    </row>
    <row r="2150" spans="3:3">
      <c r="C2150"/>
    </row>
    <row r="2151" spans="3:3">
      <c r="C2151"/>
    </row>
    <row r="2152" spans="3:3">
      <c r="C2152"/>
    </row>
    <row r="2153" spans="3:3">
      <c r="C2153"/>
    </row>
    <row r="2154" spans="3:3">
      <c r="C2154"/>
    </row>
    <row r="2155" spans="3:3">
      <c r="C2155"/>
    </row>
    <row r="2156" spans="3:3">
      <c r="C2156"/>
    </row>
    <row r="2157" spans="3:3">
      <c r="C2157"/>
    </row>
    <row r="2158" spans="3:3">
      <c r="C2158"/>
    </row>
    <row r="2159" spans="3:3">
      <c r="C2159"/>
    </row>
    <row r="2160" spans="3:3">
      <c r="C2160"/>
    </row>
    <row r="2161" spans="3:3">
      <c r="C2161"/>
    </row>
    <row r="2162" spans="3:3">
      <c r="C2162"/>
    </row>
    <row r="2163" spans="3:3">
      <c r="C2163"/>
    </row>
    <row r="2164" spans="3:3">
      <c r="C2164"/>
    </row>
    <row r="2165" spans="3:3">
      <c r="C2165"/>
    </row>
    <row r="2166" spans="3:3">
      <c r="C2166"/>
    </row>
    <row r="2167" spans="3:3">
      <c r="C2167"/>
    </row>
    <row r="2168" spans="3:3">
      <c r="C2168"/>
    </row>
    <row r="2169" spans="3:3">
      <c r="C2169"/>
    </row>
    <row r="2170" spans="3:3">
      <c r="C2170"/>
    </row>
    <row r="2171" spans="3:3">
      <c r="C2171"/>
    </row>
    <row r="2172" spans="3:3">
      <c r="C2172"/>
    </row>
    <row r="2173" spans="3:3">
      <c r="C2173"/>
    </row>
    <row r="2174" spans="3:3">
      <c r="C2174"/>
    </row>
    <row r="2175" spans="3:3">
      <c r="C2175"/>
    </row>
    <row r="2176" spans="3:3">
      <c r="C2176"/>
    </row>
    <row r="2177" spans="3:3">
      <c r="C2177"/>
    </row>
    <row r="2178" spans="3:3">
      <c r="C2178"/>
    </row>
    <row r="2179" spans="3:3">
      <c r="C2179"/>
    </row>
    <row r="2180" spans="3:3">
      <c r="C2180"/>
    </row>
    <row r="2181" spans="3:3">
      <c r="C2181"/>
    </row>
    <row r="2182" spans="3:3">
      <c r="C2182"/>
    </row>
    <row r="2183" spans="3:3">
      <c r="C2183"/>
    </row>
    <row r="2184" spans="3:3">
      <c r="C2184"/>
    </row>
    <row r="2185" spans="3:3">
      <c r="C2185"/>
    </row>
    <row r="2186" spans="3:3">
      <c r="C2186"/>
    </row>
    <row r="2187" spans="3:3">
      <c r="C2187"/>
    </row>
    <row r="2188" spans="3:3">
      <c r="C2188"/>
    </row>
    <row r="2189" spans="3:3">
      <c r="C2189"/>
    </row>
    <row r="2190" spans="3:3">
      <c r="C2190"/>
    </row>
    <row r="2191" spans="3:3">
      <c r="C2191"/>
    </row>
    <row r="2192" spans="3:3">
      <c r="C2192"/>
    </row>
    <row r="2193" spans="3:3">
      <c r="C2193"/>
    </row>
    <row r="2194" spans="3:3">
      <c r="C2194"/>
    </row>
    <row r="2195" spans="3:3">
      <c r="C2195"/>
    </row>
    <row r="2196" spans="3:3">
      <c r="C2196"/>
    </row>
    <row r="2197" spans="3:3">
      <c r="C2197"/>
    </row>
    <row r="2198" spans="3:3">
      <c r="C2198"/>
    </row>
    <row r="2199" spans="3:3">
      <c r="C2199"/>
    </row>
    <row r="2200" spans="3:3">
      <c r="C2200"/>
    </row>
    <row r="2201" spans="3:3">
      <c r="C2201"/>
    </row>
    <row r="2202" spans="3:3">
      <c r="C2202"/>
    </row>
    <row r="2203" spans="3:3">
      <c r="C2203"/>
    </row>
    <row r="2204" spans="3:3">
      <c r="C2204"/>
    </row>
    <row r="2205" spans="3:3">
      <c r="C2205"/>
    </row>
    <row r="2206" spans="3:3">
      <c r="C2206"/>
    </row>
    <row r="2207" spans="3:3">
      <c r="C2207"/>
    </row>
    <row r="2208" spans="3:3">
      <c r="C2208"/>
    </row>
    <row r="2209" spans="3:3">
      <c r="C2209"/>
    </row>
    <row r="2210" spans="3:3">
      <c r="C2210"/>
    </row>
    <row r="2211" spans="3:3">
      <c r="C2211"/>
    </row>
    <row r="2212" spans="3:3">
      <c r="C2212"/>
    </row>
    <row r="2213" spans="3:3">
      <c r="C2213"/>
    </row>
    <row r="2214" spans="3:3">
      <c r="C2214"/>
    </row>
    <row r="2215" spans="3:3">
      <c r="C2215"/>
    </row>
    <row r="2216" spans="3:3">
      <c r="C2216"/>
    </row>
    <row r="2217" spans="3:3">
      <c r="C2217"/>
    </row>
    <row r="2218" spans="3:3">
      <c r="C2218"/>
    </row>
    <row r="2219" spans="3:3">
      <c r="C2219"/>
    </row>
    <row r="2220" spans="3:3">
      <c r="C2220"/>
    </row>
    <row r="2221" spans="3:3">
      <c r="C2221"/>
    </row>
    <row r="2222" spans="3:3">
      <c r="C2222"/>
    </row>
    <row r="2223" spans="3:3">
      <c r="C2223"/>
    </row>
    <row r="2224" spans="3:3">
      <c r="C2224"/>
    </row>
    <row r="2225" spans="3:3">
      <c r="C2225"/>
    </row>
    <row r="2226" spans="3:3">
      <c r="C2226"/>
    </row>
    <row r="2227" spans="3:3">
      <c r="C2227"/>
    </row>
    <row r="2228" spans="3:3">
      <c r="C2228"/>
    </row>
    <row r="2229" spans="3:3">
      <c r="C2229"/>
    </row>
    <row r="2230" spans="3:3">
      <c r="C2230"/>
    </row>
    <row r="2231" spans="3:3">
      <c r="C2231"/>
    </row>
    <row r="2232" spans="3:3">
      <c r="C2232"/>
    </row>
    <row r="2233" spans="3:3">
      <c r="C2233"/>
    </row>
    <row r="2234" spans="3:3">
      <c r="C2234"/>
    </row>
    <row r="2235" spans="3:3">
      <c r="C2235"/>
    </row>
    <row r="2236" spans="3:3">
      <c r="C2236"/>
    </row>
    <row r="2237" spans="3:3">
      <c r="C2237"/>
    </row>
    <row r="2238" spans="3:3">
      <c r="C2238"/>
    </row>
    <row r="2239" spans="3:3">
      <c r="C2239"/>
    </row>
    <row r="2240" spans="3:3">
      <c r="C2240"/>
    </row>
    <row r="2241" spans="3:3">
      <c r="C2241"/>
    </row>
    <row r="2242" spans="3:3">
      <c r="C2242"/>
    </row>
    <row r="2243" spans="3:3">
      <c r="C2243"/>
    </row>
    <row r="2244" spans="3:3">
      <c r="C2244"/>
    </row>
    <row r="2245" spans="3:3">
      <c r="C2245"/>
    </row>
    <row r="2246" spans="3:3">
      <c r="C2246"/>
    </row>
    <row r="2247" spans="3:3">
      <c r="C2247"/>
    </row>
    <row r="2248" spans="3:3">
      <c r="C2248"/>
    </row>
    <row r="2249" spans="3:3">
      <c r="C2249"/>
    </row>
    <row r="2250" spans="3:3">
      <c r="C2250"/>
    </row>
    <row r="2251" spans="3:3">
      <c r="C2251"/>
    </row>
    <row r="2252" spans="3:3">
      <c r="C2252"/>
    </row>
    <row r="2253" spans="3:3">
      <c r="C2253"/>
    </row>
    <row r="2254" spans="3:3">
      <c r="C2254"/>
    </row>
    <row r="2255" spans="3:3">
      <c r="C2255"/>
    </row>
    <row r="2256" spans="3:3">
      <c r="C2256"/>
    </row>
    <row r="2257" spans="3:3">
      <c r="C2257"/>
    </row>
    <row r="2258" spans="3:3">
      <c r="C2258"/>
    </row>
    <row r="2259" spans="3:3">
      <c r="C2259"/>
    </row>
    <row r="2260" spans="3:3">
      <c r="C2260"/>
    </row>
    <row r="2261" spans="3:3">
      <c r="C2261"/>
    </row>
    <row r="2262" spans="3:3">
      <c r="C2262"/>
    </row>
    <row r="2263" spans="3:3">
      <c r="C2263"/>
    </row>
    <row r="2264" spans="3:3">
      <c r="C2264"/>
    </row>
    <row r="2265" spans="3:3">
      <c r="C2265"/>
    </row>
    <row r="2266" spans="3:3">
      <c r="C2266"/>
    </row>
    <row r="2267" spans="3:3">
      <c r="C2267"/>
    </row>
    <row r="2268" spans="3:3">
      <c r="C2268"/>
    </row>
    <row r="2269" spans="3:3">
      <c r="C2269"/>
    </row>
    <row r="2270" spans="3:3">
      <c r="C2270"/>
    </row>
    <row r="2271" spans="3:3">
      <c r="C2271"/>
    </row>
    <row r="2272" spans="3:3">
      <c r="C2272"/>
    </row>
    <row r="2273" spans="3:3">
      <c r="C2273"/>
    </row>
    <row r="2274" spans="3:3">
      <c r="C2274"/>
    </row>
    <row r="2275" spans="3:3">
      <c r="C2275"/>
    </row>
    <row r="2276" spans="3:3">
      <c r="C2276"/>
    </row>
    <row r="2277" spans="3:3">
      <c r="C2277"/>
    </row>
    <row r="2278" spans="3:3">
      <c r="C2278"/>
    </row>
    <row r="2279" spans="3:3">
      <c r="C2279"/>
    </row>
    <row r="2280" spans="3:3">
      <c r="C2280"/>
    </row>
    <row r="2281" spans="3:3">
      <c r="C2281"/>
    </row>
    <row r="2282" spans="3:3">
      <c r="C2282"/>
    </row>
    <row r="2283" spans="3:3">
      <c r="C2283"/>
    </row>
    <row r="2284" spans="3:3">
      <c r="C2284"/>
    </row>
    <row r="2285" spans="3:3">
      <c r="C2285"/>
    </row>
    <row r="2286" spans="3:3">
      <c r="C2286"/>
    </row>
    <row r="2287" spans="3:3">
      <c r="C2287"/>
    </row>
    <row r="2288" spans="3:3">
      <c r="C2288"/>
    </row>
    <row r="2289" spans="3:3">
      <c r="C2289"/>
    </row>
    <row r="2290" spans="3:3">
      <c r="C2290"/>
    </row>
    <row r="2291" spans="3:3">
      <c r="C2291"/>
    </row>
    <row r="2292" spans="3:3">
      <c r="C2292"/>
    </row>
    <row r="2293" spans="3:3">
      <c r="C2293"/>
    </row>
    <row r="2294" spans="3:3">
      <c r="C2294"/>
    </row>
    <row r="2295" spans="3:3">
      <c r="C2295"/>
    </row>
    <row r="2296" spans="3:3">
      <c r="C2296"/>
    </row>
    <row r="2297" spans="3:3">
      <c r="C2297"/>
    </row>
    <row r="2298" spans="3:3">
      <c r="C2298"/>
    </row>
    <row r="2299" spans="3:3">
      <c r="C2299"/>
    </row>
    <row r="2300" spans="3:3">
      <c r="C2300"/>
    </row>
    <row r="2301" spans="3:3">
      <c r="C2301"/>
    </row>
    <row r="2302" spans="3:3">
      <c r="C2302"/>
    </row>
    <row r="2303" spans="3:3">
      <c r="C2303"/>
    </row>
    <row r="2304" spans="3:3">
      <c r="C2304"/>
    </row>
    <row r="2305" spans="3:3">
      <c r="C2305"/>
    </row>
    <row r="2306" spans="3:3">
      <c r="C2306"/>
    </row>
    <row r="2307" spans="3:3">
      <c r="C2307"/>
    </row>
    <row r="2308" spans="3:3">
      <c r="C2308"/>
    </row>
    <row r="2309" spans="3:3">
      <c r="C2309"/>
    </row>
    <row r="2310" spans="3:3">
      <c r="C2310"/>
    </row>
    <row r="2311" spans="3:3">
      <c r="C2311"/>
    </row>
    <row r="2312" spans="3:3">
      <c r="C2312"/>
    </row>
    <row r="2313" spans="3:3">
      <c r="C2313"/>
    </row>
    <row r="2314" spans="3:3">
      <c r="C2314"/>
    </row>
    <row r="2315" spans="3:3">
      <c r="C2315"/>
    </row>
    <row r="2316" spans="3:3">
      <c r="C2316"/>
    </row>
    <row r="2317" spans="3:3">
      <c r="C2317"/>
    </row>
    <row r="2318" spans="3:3">
      <c r="C2318"/>
    </row>
    <row r="2319" spans="3:3">
      <c r="C2319"/>
    </row>
    <row r="2320" spans="3:3">
      <c r="C2320"/>
    </row>
    <row r="2321" spans="3:3">
      <c r="C2321"/>
    </row>
    <row r="2322" spans="3:3">
      <c r="C2322"/>
    </row>
    <row r="2323" spans="3:3">
      <c r="C2323"/>
    </row>
    <row r="2324" spans="3:3">
      <c r="C2324"/>
    </row>
    <row r="2325" spans="3:3">
      <c r="C2325"/>
    </row>
    <row r="2326" spans="3:3">
      <c r="C2326"/>
    </row>
    <row r="2327" spans="3:3">
      <c r="C2327"/>
    </row>
    <row r="2328" spans="3:3">
      <c r="C2328"/>
    </row>
    <row r="2329" spans="3:3">
      <c r="C2329"/>
    </row>
    <row r="2330" spans="3:3">
      <c r="C2330"/>
    </row>
    <row r="2331" spans="3:3">
      <c r="C2331"/>
    </row>
    <row r="2332" spans="3:3">
      <c r="C2332"/>
    </row>
    <row r="2333" spans="3:3">
      <c r="C2333"/>
    </row>
    <row r="2334" spans="3:3">
      <c r="C2334"/>
    </row>
    <row r="2335" spans="3:3">
      <c r="C2335"/>
    </row>
    <row r="2336" spans="3:3">
      <c r="C2336"/>
    </row>
    <row r="2337" spans="3:3">
      <c r="C2337"/>
    </row>
    <row r="2338" spans="3:3">
      <c r="C2338"/>
    </row>
    <row r="2339" spans="3:3">
      <c r="C2339"/>
    </row>
    <row r="2340" spans="3:3">
      <c r="C2340"/>
    </row>
    <row r="2341" spans="3:3">
      <c r="C2341"/>
    </row>
    <row r="2342" spans="3:3">
      <c r="C2342"/>
    </row>
    <row r="2343" spans="3:3">
      <c r="C2343"/>
    </row>
    <row r="2344" spans="3:3">
      <c r="C2344"/>
    </row>
    <row r="2345" spans="3:3">
      <c r="C2345"/>
    </row>
    <row r="2346" spans="3:3">
      <c r="C2346"/>
    </row>
    <row r="2347" spans="3:3">
      <c r="C2347"/>
    </row>
    <row r="2348" spans="3:3">
      <c r="C2348"/>
    </row>
    <row r="2349" spans="3:3">
      <c r="C2349"/>
    </row>
    <row r="2350" spans="3:3">
      <c r="C2350"/>
    </row>
    <row r="2351" spans="3:3">
      <c r="C2351"/>
    </row>
    <row r="2352" spans="3:3">
      <c r="C2352"/>
    </row>
    <row r="2353" spans="3:3">
      <c r="C2353"/>
    </row>
    <row r="2354" spans="3:3">
      <c r="C2354"/>
    </row>
    <row r="2355" spans="3:3">
      <c r="C2355"/>
    </row>
    <row r="2356" spans="3:3">
      <c r="C2356"/>
    </row>
    <row r="2357" spans="3:3">
      <c r="C2357"/>
    </row>
    <row r="2358" spans="3:3">
      <c r="C2358"/>
    </row>
    <row r="2359" spans="3:3">
      <c r="C2359"/>
    </row>
    <row r="2360" spans="3:3">
      <c r="C2360"/>
    </row>
    <row r="2361" spans="3:3">
      <c r="C2361"/>
    </row>
    <row r="2362" spans="3:3">
      <c r="C2362"/>
    </row>
    <row r="2363" spans="3:3">
      <c r="C2363"/>
    </row>
    <row r="2364" spans="3:3">
      <c r="C2364"/>
    </row>
    <row r="2365" spans="3:3">
      <c r="C2365"/>
    </row>
    <row r="2366" spans="3:3">
      <c r="C2366"/>
    </row>
    <row r="2367" spans="3:3">
      <c r="C2367"/>
    </row>
    <row r="2368" spans="3:3">
      <c r="C2368"/>
    </row>
    <row r="2369" spans="3:3">
      <c r="C2369"/>
    </row>
    <row r="2370" spans="3:3">
      <c r="C2370"/>
    </row>
    <row r="2371" spans="3:3">
      <c r="C2371"/>
    </row>
    <row r="2372" spans="3:3">
      <c r="C2372"/>
    </row>
    <row r="2373" spans="3:3">
      <c r="C2373"/>
    </row>
    <row r="2374" spans="3:3">
      <c r="C2374"/>
    </row>
    <row r="2375" spans="3:3">
      <c r="C2375"/>
    </row>
    <row r="2376" spans="3:3">
      <c r="C2376"/>
    </row>
    <row r="2377" spans="3:3">
      <c r="C2377"/>
    </row>
    <row r="2378" spans="3:3">
      <c r="C2378"/>
    </row>
    <row r="2379" spans="3:3">
      <c r="C2379"/>
    </row>
    <row r="2380" spans="3:3">
      <c r="C2380"/>
    </row>
    <row r="2381" spans="3:3">
      <c r="C2381"/>
    </row>
    <row r="2382" spans="3:3">
      <c r="C2382"/>
    </row>
    <row r="2383" spans="3:3">
      <c r="C2383"/>
    </row>
    <row r="2384" spans="3:3">
      <c r="C2384"/>
    </row>
    <row r="2385" spans="3:3">
      <c r="C2385"/>
    </row>
    <row r="2386" spans="3:3">
      <c r="C2386"/>
    </row>
    <row r="2387" spans="3:3">
      <c r="C2387"/>
    </row>
    <row r="2388" spans="3:3">
      <c r="C2388"/>
    </row>
    <row r="2389" spans="3:3">
      <c r="C2389"/>
    </row>
    <row r="2390" spans="3:3">
      <c r="C2390"/>
    </row>
    <row r="2391" spans="3:3">
      <c r="C2391"/>
    </row>
    <row r="2392" spans="3:3">
      <c r="C2392"/>
    </row>
    <row r="2393" spans="3:3">
      <c r="C2393"/>
    </row>
    <row r="2394" spans="3:3">
      <c r="C2394"/>
    </row>
    <row r="2395" spans="3:3">
      <c r="C2395"/>
    </row>
    <row r="2396" spans="3:3">
      <c r="C2396"/>
    </row>
    <row r="2397" spans="3:3">
      <c r="C2397"/>
    </row>
    <row r="2398" spans="3:3">
      <c r="C2398"/>
    </row>
    <row r="2399" spans="3:3">
      <c r="C2399"/>
    </row>
    <row r="2400" spans="3:3">
      <c r="C2400"/>
    </row>
    <row r="2401" spans="3:3">
      <c r="C2401"/>
    </row>
    <row r="2402" spans="3:3">
      <c r="C2402"/>
    </row>
    <row r="2403" spans="3:3">
      <c r="C2403"/>
    </row>
    <row r="2404" spans="3:3">
      <c r="C2404"/>
    </row>
    <row r="2405" spans="3:3">
      <c r="C2405"/>
    </row>
    <row r="2406" spans="3:3">
      <c r="C2406"/>
    </row>
    <row r="2407" spans="3:3">
      <c r="C2407"/>
    </row>
    <row r="2408" spans="3:3">
      <c r="C2408"/>
    </row>
    <row r="2409" spans="3:3">
      <c r="C2409"/>
    </row>
    <row r="2410" spans="3:3">
      <c r="C2410"/>
    </row>
    <row r="2411" spans="3:3">
      <c r="C2411"/>
    </row>
    <row r="2412" spans="3:3">
      <c r="C2412"/>
    </row>
    <row r="2413" spans="3:3">
      <c r="C2413"/>
    </row>
    <row r="2414" spans="3:3">
      <c r="C2414"/>
    </row>
    <row r="2415" spans="3:3">
      <c r="C2415"/>
    </row>
    <row r="2416" spans="3:3">
      <c r="C2416"/>
    </row>
    <row r="2417" spans="3:3">
      <c r="C2417"/>
    </row>
    <row r="2418" spans="3:3">
      <c r="C2418"/>
    </row>
    <row r="2419" spans="3:3">
      <c r="C2419"/>
    </row>
    <row r="2420" spans="3:3">
      <c r="C2420"/>
    </row>
    <row r="2421" spans="3:3">
      <c r="C2421"/>
    </row>
    <row r="2422" spans="3:3">
      <c r="C2422"/>
    </row>
    <row r="2423" spans="3:3">
      <c r="C2423"/>
    </row>
    <row r="2424" spans="3:3">
      <c r="C2424"/>
    </row>
    <row r="2425" spans="3:3">
      <c r="C2425"/>
    </row>
    <row r="2426" spans="3:3">
      <c r="C2426"/>
    </row>
    <row r="2427" spans="3:3">
      <c r="C2427"/>
    </row>
    <row r="2428" spans="3:3">
      <c r="C2428"/>
    </row>
    <row r="2429" spans="3:3">
      <c r="C2429"/>
    </row>
    <row r="2430" spans="3:3">
      <c r="C2430"/>
    </row>
    <row r="2431" spans="3:3">
      <c r="C2431"/>
    </row>
    <row r="2432" spans="3:3">
      <c r="C2432"/>
    </row>
    <row r="2433" spans="3:3">
      <c r="C2433"/>
    </row>
    <row r="2434" spans="3:3">
      <c r="C2434"/>
    </row>
    <row r="2435" spans="3:3">
      <c r="C2435"/>
    </row>
    <row r="2436" spans="3:3">
      <c r="C2436"/>
    </row>
    <row r="2437" spans="3:3">
      <c r="C2437"/>
    </row>
    <row r="2438" spans="3:3">
      <c r="C2438"/>
    </row>
    <row r="2439" spans="3:3">
      <c r="C2439"/>
    </row>
    <row r="2440" spans="3:3">
      <c r="C2440"/>
    </row>
    <row r="2441" spans="3:3">
      <c r="C2441"/>
    </row>
    <row r="2442" spans="3:3">
      <c r="C2442"/>
    </row>
    <row r="2443" spans="3:3">
      <c r="C2443"/>
    </row>
    <row r="2444" spans="3:3">
      <c r="C2444"/>
    </row>
    <row r="2445" spans="3:3">
      <c r="C2445"/>
    </row>
    <row r="2446" spans="3:3">
      <c r="C2446"/>
    </row>
    <row r="2447" spans="3:3">
      <c r="C2447"/>
    </row>
    <row r="2448" spans="3:3">
      <c r="C2448"/>
    </row>
    <row r="2449" spans="3:3">
      <c r="C2449"/>
    </row>
    <row r="2450" spans="3:3">
      <c r="C2450"/>
    </row>
    <row r="2451" spans="3:3">
      <c r="C2451"/>
    </row>
    <row r="2452" spans="3:3">
      <c r="C2452"/>
    </row>
    <row r="2453" spans="3:3">
      <c r="C2453"/>
    </row>
    <row r="2454" spans="3:3">
      <c r="C2454"/>
    </row>
    <row r="2455" spans="3:3">
      <c r="C2455"/>
    </row>
    <row r="2456" spans="3:3">
      <c r="C2456"/>
    </row>
    <row r="2457" spans="3:3">
      <c r="C2457"/>
    </row>
    <row r="2458" spans="3:3">
      <c r="C2458"/>
    </row>
    <row r="2459" spans="3:3">
      <c r="C2459"/>
    </row>
    <row r="2460" spans="3:3">
      <c r="C2460"/>
    </row>
    <row r="2461" spans="3:3">
      <c r="C2461"/>
    </row>
    <row r="2462" spans="3:3">
      <c r="C2462"/>
    </row>
    <row r="2463" spans="3:3">
      <c r="C2463"/>
    </row>
    <row r="2464" spans="3:3">
      <c r="C2464"/>
    </row>
    <row r="2465" spans="3:3">
      <c r="C2465"/>
    </row>
    <row r="2466" spans="3:3">
      <c r="C2466"/>
    </row>
    <row r="2467" spans="3:3">
      <c r="C2467"/>
    </row>
    <row r="2468" spans="3:3">
      <c r="C2468"/>
    </row>
    <row r="2469" spans="3:3">
      <c r="C2469"/>
    </row>
    <row r="2470" spans="3:3">
      <c r="C2470"/>
    </row>
    <row r="2471" spans="3:3">
      <c r="C2471"/>
    </row>
    <row r="2472" spans="3:3">
      <c r="C2472"/>
    </row>
    <row r="2473" spans="3:3">
      <c r="C2473"/>
    </row>
    <row r="2474" spans="3:3">
      <c r="C2474"/>
    </row>
    <row r="2475" spans="3:3">
      <c r="C2475"/>
    </row>
    <row r="2476" spans="3:3">
      <c r="C2476"/>
    </row>
    <row r="2477" spans="3:3">
      <c r="C2477"/>
    </row>
    <row r="2478" spans="3:3">
      <c r="C2478"/>
    </row>
    <row r="2479" spans="3:3">
      <c r="C2479"/>
    </row>
    <row r="2480" spans="3:3">
      <c r="C2480"/>
    </row>
    <row r="2481" spans="3:3">
      <c r="C2481"/>
    </row>
    <row r="2482" spans="3:3">
      <c r="C2482"/>
    </row>
    <row r="2483" spans="3:3">
      <c r="C2483"/>
    </row>
    <row r="2484" spans="3:3">
      <c r="C2484"/>
    </row>
    <row r="2485" spans="3:3">
      <c r="C2485"/>
    </row>
    <row r="2486" spans="3:3">
      <c r="C2486"/>
    </row>
    <row r="2487" spans="3:3">
      <c r="C2487"/>
    </row>
    <row r="2488" spans="3:3">
      <c r="C2488"/>
    </row>
    <row r="2489" spans="3:3">
      <c r="C2489"/>
    </row>
    <row r="2490" spans="3:3">
      <c r="C2490"/>
    </row>
    <row r="2491" spans="3:3">
      <c r="C2491"/>
    </row>
    <row r="2492" spans="3:3">
      <c r="C2492"/>
    </row>
    <row r="2493" spans="3:3">
      <c r="C2493"/>
    </row>
    <row r="2494" spans="3:3">
      <c r="C2494"/>
    </row>
    <row r="2495" spans="3:3">
      <c r="C2495"/>
    </row>
    <row r="2496" spans="3:3">
      <c r="C2496"/>
    </row>
    <row r="2497" spans="3:3">
      <c r="C2497"/>
    </row>
    <row r="2498" spans="3:3">
      <c r="C2498"/>
    </row>
    <row r="2499" spans="3:3">
      <c r="C2499"/>
    </row>
    <row r="2500" spans="3:3">
      <c r="C2500"/>
    </row>
    <row r="2501" spans="3:3">
      <c r="C2501"/>
    </row>
    <row r="2502" spans="3:3">
      <c r="C2502"/>
    </row>
    <row r="2503" spans="3:3">
      <c r="C2503"/>
    </row>
    <row r="2504" spans="3:3">
      <c r="C2504"/>
    </row>
    <row r="2505" spans="3:3">
      <c r="C2505"/>
    </row>
    <row r="2506" spans="3:3">
      <c r="C2506"/>
    </row>
    <row r="2507" spans="3:3">
      <c r="C2507"/>
    </row>
    <row r="2508" spans="3:3">
      <c r="C2508"/>
    </row>
    <row r="2509" spans="3:3">
      <c r="C2509"/>
    </row>
    <row r="2510" spans="3:3">
      <c r="C2510"/>
    </row>
    <row r="2511" spans="3:3">
      <c r="C2511"/>
    </row>
    <row r="2512" spans="3:3">
      <c r="C2512"/>
    </row>
    <row r="2513" spans="3:3">
      <c r="C2513"/>
    </row>
    <row r="2514" spans="3:3">
      <c r="C2514"/>
    </row>
    <row r="2515" spans="3:3">
      <c r="C2515"/>
    </row>
    <row r="2516" spans="3:3">
      <c r="C2516"/>
    </row>
    <row r="2517" spans="3:3">
      <c r="C2517"/>
    </row>
    <row r="2518" spans="3:3">
      <c r="C2518"/>
    </row>
    <row r="2519" spans="3:3">
      <c r="C2519"/>
    </row>
    <row r="2520" spans="3:3">
      <c r="C2520"/>
    </row>
    <row r="2521" spans="3:3">
      <c r="C2521"/>
    </row>
    <row r="2522" spans="3:3">
      <c r="C2522"/>
    </row>
    <row r="2523" spans="3:3">
      <c r="C2523"/>
    </row>
    <row r="2524" spans="3:3">
      <c r="C2524"/>
    </row>
    <row r="2525" spans="3:3">
      <c r="C2525"/>
    </row>
    <row r="2526" spans="3:3">
      <c r="C2526"/>
    </row>
    <row r="2527" spans="3:3">
      <c r="C2527"/>
    </row>
    <row r="2528" spans="3:3">
      <c r="C2528"/>
    </row>
    <row r="2529" spans="3:3">
      <c r="C2529"/>
    </row>
    <row r="2530" spans="3:3">
      <c r="C2530"/>
    </row>
    <row r="2531" spans="3:3">
      <c r="C2531"/>
    </row>
    <row r="2532" spans="3:3">
      <c r="C2532"/>
    </row>
    <row r="2533" spans="3:3">
      <c r="C2533"/>
    </row>
    <row r="2534" spans="3:3">
      <c r="C2534"/>
    </row>
    <row r="2535" spans="3:3">
      <c r="C2535"/>
    </row>
    <row r="2536" spans="3:3">
      <c r="C2536"/>
    </row>
    <row r="2537" spans="3:3">
      <c r="C2537"/>
    </row>
    <row r="2538" spans="3:3">
      <c r="C2538"/>
    </row>
    <row r="2539" spans="3:3">
      <c r="C2539"/>
    </row>
    <row r="2540" spans="3:3">
      <c r="C2540"/>
    </row>
    <row r="2541" spans="3:3">
      <c r="C2541"/>
    </row>
    <row r="2542" spans="3:3">
      <c r="C2542"/>
    </row>
    <row r="2543" spans="3:3">
      <c r="C2543"/>
    </row>
    <row r="2544" spans="3:3">
      <c r="C2544"/>
    </row>
    <row r="2545" spans="3:3">
      <c r="C2545"/>
    </row>
    <row r="2546" spans="3:3">
      <c r="C2546"/>
    </row>
    <row r="2547" spans="3:3">
      <c r="C2547"/>
    </row>
    <row r="2548" spans="3:3">
      <c r="C2548"/>
    </row>
    <row r="2549" spans="3:3">
      <c r="C2549"/>
    </row>
    <row r="2550" spans="3:3">
      <c r="C2550"/>
    </row>
    <row r="2551" spans="3:3">
      <c r="C2551"/>
    </row>
    <row r="2552" spans="3:3">
      <c r="C2552"/>
    </row>
    <row r="2553" spans="3:3">
      <c r="C2553"/>
    </row>
    <row r="2554" spans="3:3">
      <c r="C2554"/>
    </row>
    <row r="2555" spans="3:3">
      <c r="C2555"/>
    </row>
    <row r="2556" spans="3:3">
      <c r="C2556"/>
    </row>
    <row r="2557" spans="3:3">
      <c r="C2557"/>
    </row>
    <row r="2558" spans="3:3">
      <c r="C2558"/>
    </row>
    <row r="2559" spans="3:3">
      <c r="C2559"/>
    </row>
    <row r="2560" spans="3:3">
      <c r="C2560"/>
    </row>
    <row r="2561" spans="3:3">
      <c r="C2561"/>
    </row>
    <row r="2562" spans="3:3">
      <c r="C2562"/>
    </row>
    <row r="2563" spans="3:3">
      <c r="C2563"/>
    </row>
    <row r="2564" spans="3:3">
      <c r="C2564"/>
    </row>
    <row r="2565" spans="3:3">
      <c r="C2565"/>
    </row>
    <row r="2566" spans="3:3">
      <c r="C2566"/>
    </row>
    <row r="2567" spans="3:3">
      <c r="C2567"/>
    </row>
    <row r="2568" spans="3:3">
      <c r="C2568"/>
    </row>
    <row r="2569" spans="3:3">
      <c r="C2569"/>
    </row>
    <row r="2570" spans="3:3">
      <c r="C2570"/>
    </row>
    <row r="2571" spans="3:3">
      <c r="C2571"/>
    </row>
    <row r="2572" spans="3:3">
      <c r="C2572"/>
    </row>
    <row r="2573" spans="3:3">
      <c r="C2573"/>
    </row>
    <row r="2574" spans="3:3">
      <c r="C2574"/>
    </row>
    <row r="2575" spans="3:3">
      <c r="C2575"/>
    </row>
    <row r="2576" spans="3: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sheetData>
  <phoneticPr fontId="3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5</xdr:col>
                    <xdr:colOff>152400</xdr:colOff>
                    <xdr:row>3</xdr:row>
                    <xdr:rowOff>53340</xdr:rowOff>
                  </from>
                  <to>
                    <xdr:col>7</xdr:col>
                    <xdr:colOff>15240</xdr:colOff>
                    <xdr:row>6</xdr:row>
                    <xdr:rowOff>137160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5</xdr:col>
                    <xdr:colOff>152400</xdr:colOff>
                    <xdr:row>8</xdr:row>
                    <xdr:rowOff>53340</xdr:rowOff>
                  </from>
                  <to>
                    <xdr:col>7</xdr:col>
                    <xdr:colOff>15240</xdr:colOff>
                    <xdr:row>11</xdr:row>
                    <xdr:rowOff>53340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5</xdr:col>
                    <xdr:colOff>152400</xdr:colOff>
                    <xdr:row>12</xdr:row>
                    <xdr:rowOff>152400</xdr:rowOff>
                  </from>
                  <to>
                    <xdr:col>7</xdr:col>
                    <xdr:colOff>15240</xdr:colOff>
                    <xdr:row>15</xdr:row>
                    <xdr:rowOff>152400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F3" sqref="F3"/>
    </sheetView>
  </sheetViews>
  <sheetFormatPr baseColWidth="10" defaultColWidth="12.69921875" defaultRowHeight="15" customHeight="1"/>
  <cols>
    <col min="1" max="1" width="9.69921875" customWidth="1"/>
    <col min="2" max="2" width="7.69921875" customWidth="1"/>
    <col min="3" max="3" width="10.296875" customWidth="1"/>
    <col min="4" max="6" width="7.69921875" customWidth="1"/>
    <col min="7" max="7" width="8.5" bestFit="1" customWidth="1"/>
    <col min="8" max="26" width="7.69921875" customWidth="1"/>
  </cols>
  <sheetData>
    <row r="2" spans="1:10" ht="14.4">
      <c r="A2" s="38" t="s">
        <v>43</v>
      </c>
      <c r="C2" s="58" t="s">
        <v>68</v>
      </c>
      <c r="F2" s="11" t="s">
        <v>44</v>
      </c>
      <c r="G2" s="11" t="s">
        <v>45</v>
      </c>
    </row>
    <row r="3" spans="1:10" ht="14.4">
      <c r="A3" s="38" t="s">
        <v>38</v>
      </c>
      <c r="C3" s="58" t="s">
        <v>67</v>
      </c>
      <c r="E3" s="11">
        <v>-100</v>
      </c>
      <c r="F3" s="39">
        <f t="shared" ref="F3:F66" si="0">Stock+(E3/100)*Stock</f>
        <v>0</v>
      </c>
      <c r="G3" s="118">
        <f>IF([0]!bs_option_type="Call",IF(((F3-Stock-(vba_bs_result/Stock)*Stock))&lt;-(vba_bs_result/Stock)*Stock,-(vba_bs_result/Stock)*Stock,(F3-Stock-(vba_bs_result/Stock)*Stock)*1),IF((Exercise-(vba_bs_result/Stock)*Stock)-F3&lt;-(vba_bs_result/Stock)*Stock,-(vba_bs_result/Stock)*Stock,(Exercise-(vba_bs_result/Stock)*Stock)-F3))</f>
        <v>-45.869441523521544</v>
      </c>
      <c r="J3" s="40"/>
    </row>
    <row r="4" spans="1:10" ht="14.4">
      <c r="A4" s="38" t="s">
        <v>12</v>
      </c>
      <c r="C4" s="58" t="s">
        <v>69</v>
      </c>
      <c r="E4" s="11">
        <f t="shared" ref="E4:E203" si="1">E3+1</f>
        <v>-99</v>
      </c>
      <c r="F4" s="39">
        <f t="shared" si="0"/>
        <v>1.1490000000000009</v>
      </c>
      <c r="G4" s="118">
        <f>IF([0]!bs_option_type="Call",IF(((F4-Stock-(vba_bs_result/Stock)*Stock))&lt;-(vba_bs_result/Stock)*Stock,-(vba_bs_result/Stock)*Stock,(F4-Stock-(vba_bs_result/Stock)*Stock)*1),IF((Exercise-(vba_bs_result/Stock)*Stock)-F4&lt;-(vba_bs_result/Stock)*Stock,-(vba_bs_result/Stock)*Stock,(Exercise-(vba_bs_result/Stock)*Stock)-F4))</f>
        <v>-45.869441523521544</v>
      </c>
    </row>
    <row r="5" spans="1:10" ht="14.4">
      <c r="E5" s="11">
        <f t="shared" si="1"/>
        <v>-98</v>
      </c>
      <c r="F5" s="39">
        <f t="shared" si="0"/>
        <v>2.2980000000000018</v>
      </c>
      <c r="G5" s="118">
        <f>IF([0]!bs_option_type="Call",IF(((F5-Stock-(vba_bs_result/Stock)*Stock))&lt;-(vba_bs_result/Stock)*Stock,-(vba_bs_result/Stock)*Stock,(F5-Stock-(vba_bs_result/Stock)*Stock)*1),IF((Exercise-(vba_bs_result/Stock)*Stock)-F5&lt;-(vba_bs_result/Stock)*Stock,-(vba_bs_result/Stock)*Stock,(Exercise-(vba_bs_result/Stock)*Stock)-F5))</f>
        <v>-45.869441523521544</v>
      </c>
    </row>
    <row r="6" spans="1:10" ht="14.4">
      <c r="E6" s="11">
        <f t="shared" si="1"/>
        <v>-97</v>
      </c>
      <c r="F6" s="39">
        <f t="shared" si="0"/>
        <v>3.4470000000000027</v>
      </c>
      <c r="G6" s="118">
        <f>IF([0]!bs_option_type="Call",IF(((F6-Stock-(vba_bs_result/Stock)*Stock))&lt;-(vba_bs_result/Stock)*Stock,-(vba_bs_result/Stock)*Stock,(F6-Stock-(vba_bs_result/Stock)*Stock)*1),IF((Exercise-(vba_bs_result/Stock)*Stock)-F6&lt;-(vba_bs_result/Stock)*Stock,-(vba_bs_result/Stock)*Stock,(Exercise-(vba_bs_result/Stock)*Stock)-F6))</f>
        <v>-45.869441523521544</v>
      </c>
    </row>
    <row r="7" spans="1:10" ht="14.4">
      <c r="E7" s="11">
        <f t="shared" si="1"/>
        <v>-96</v>
      </c>
      <c r="F7" s="39">
        <f t="shared" si="0"/>
        <v>4.5960000000000036</v>
      </c>
      <c r="G7" s="118">
        <f>IF([0]!bs_option_type="Call",IF(((F7-Stock-(vba_bs_result/Stock)*Stock))&lt;-(vba_bs_result/Stock)*Stock,-(vba_bs_result/Stock)*Stock,(F7-Stock-(vba_bs_result/Stock)*Stock)*1),IF((Exercise-(vba_bs_result/Stock)*Stock)-F7&lt;-(vba_bs_result/Stock)*Stock,-(vba_bs_result/Stock)*Stock,(Exercise-(vba_bs_result/Stock)*Stock)-F7))</f>
        <v>-45.869441523521544</v>
      </c>
    </row>
    <row r="8" spans="1:10" ht="14.4">
      <c r="E8" s="11">
        <f t="shared" si="1"/>
        <v>-95</v>
      </c>
      <c r="F8" s="39">
        <f t="shared" si="0"/>
        <v>5.7450000000000045</v>
      </c>
      <c r="G8" s="118">
        <f>IF([0]!bs_option_type="Call",IF(((F8-Stock-(vba_bs_result/Stock)*Stock))&lt;-(vba_bs_result/Stock)*Stock,-(vba_bs_result/Stock)*Stock,(F8-Stock-(vba_bs_result/Stock)*Stock)*1),IF((Exercise-(vba_bs_result/Stock)*Stock)-F8&lt;-(vba_bs_result/Stock)*Stock,-(vba_bs_result/Stock)*Stock,(Exercise-(vba_bs_result/Stock)*Stock)-F8))</f>
        <v>-45.869441523521544</v>
      </c>
    </row>
    <row r="9" spans="1:10" ht="14.4">
      <c r="E9" s="11">
        <f t="shared" si="1"/>
        <v>-94</v>
      </c>
      <c r="F9" s="39">
        <f t="shared" si="0"/>
        <v>6.8940000000000055</v>
      </c>
      <c r="G9" s="118">
        <f>IF([0]!bs_option_type="Call",IF(((F9-Stock-(vba_bs_result/Stock)*Stock))&lt;-(vba_bs_result/Stock)*Stock,-(vba_bs_result/Stock)*Stock,(F9-Stock-(vba_bs_result/Stock)*Stock)*1),IF((Exercise-(vba_bs_result/Stock)*Stock)-F9&lt;-(vba_bs_result/Stock)*Stock,-(vba_bs_result/Stock)*Stock,(Exercise-(vba_bs_result/Stock)*Stock)-F9))</f>
        <v>-45.869441523521544</v>
      </c>
    </row>
    <row r="10" spans="1:10" ht="14.4">
      <c r="E10" s="11">
        <f t="shared" si="1"/>
        <v>-93</v>
      </c>
      <c r="F10" s="39">
        <f t="shared" si="0"/>
        <v>8.0429999999999922</v>
      </c>
      <c r="G10" s="118">
        <f>IF([0]!bs_option_type="Call",IF(((F10-Stock-(vba_bs_result/Stock)*Stock))&lt;-(vba_bs_result/Stock)*Stock,-(vba_bs_result/Stock)*Stock,(F10-Stock-(vba_bs_result/Stock)*Stock)*1),IF((Exercise-(vba_bs_result/Stock)*Stock)-F10&lt;-(vba_bs_result/Stock)*Stock,-(vba_bs_result/Stock)*Stock,(Exercise-(vba_bs_result/Stock)*Stock)-F10))</f>
        <v>-45.869441523521544</v>
      </c>
    </row>
    <row r="11" spans="1:10" ht="14.4">
      <c r="E11" s="11">
        <f t="shared" si="1"/>
        <v>-92</v>
      </c>
      <c r="F11" s="39">
        <f t="shared" si="0"/>
        <v>9.1919999999999931</v>
      </c>
      <c r="G11" s="118">
        <f>IF([0]!bs_option_type="Call",IF(((F11-Stock-(vba_bs_result/Stock)*Stock))&lt;-(vba_bs_result/Stock)*Stock,-(vba_bs_result/Stock)*Stock,(F11-Stock-(vba_bs_result/Stock)*Stock)*1),IF((Exercise-(vba_bs_result/Stock)*Stock)-F11&lt;-(vba_bs_result/Stock)*Stock,-(vba_bs_result/Stock)*Stock,(Exercise-(vba_bs_result/Stock)*Stock)-F11))</f>
        <v>-45.869441523521544</v>
      </c>
    </row>
    <row r="12" spans="1:10" ht="14.4">
      <c r="E12" s="11">
        <f t="shared" si="1"/>
        <v>-91</v>
      </c>
      <c r="F12" s="39">
        <f t="shared" si="0"/>
        <v>10.340999999999994</v>
      </c>
      <c r="G12" s="118">
        <f>IF([0]!bs_option_type="Call",IF(((F12-Stock-(vba_bs_result/Stock)*Stock))&lt;-(vba_bs_result/Stock)*Stock,-(vba_bs_result/Stock)*Stock,(F12-Stock-(vba_bs_result/Stock)*Stock)*1),IF((Exercise-(vba_bs_result/Stock)*Stock)-F12&lt;-(vba_bs_result/Stock)*Stock,-(vba_bs_result/Stock)*Stock,(Exercise-(vba_bs_result/Stock)*Stock)-F12))</f>
        <v>-45.869441523521544</v>
      </c>
    </row>
    <row r="13" spans="1:10" ht="14.4">
      <c r="E13" s="11">
        <f t="shared" si="1"/>
        <v>-90</v>
      </c>
      <c r="F13" s="39">
        <f t="shared" si="0"/>
        <v>11.489999999999995</v>
      </c>
      <c r="G13" s="118">
        <f>IF([0]!bs_option_type="Call",IF(((F13-Stock-(vba_bs_result/Stock)*Stock))&lt;-(vba_bs_result/Stock)*Stock,-(vba_bs_result/Stock)*Stock,(F13-Stock-(vba_bs_result/Stock)*Stock)*1),IF((Exercise-(vba_bs_result/Stock)*Stock)-F13&lt;-(vba_bs_result/Stock)*Stock,-(vba_bs_result/Stock)*Stock,(Exercise-(vba_bs_result/Stock)*Stock)-F13))</f>
        <v>-45.869441523521544</v>
      </c>
    </row>
    <row r="14" spans="1:10" ht="14.4">
      <c r="E14" s="11">
        <f t="shared" si="1"/>
        <v>-89</v>
      </c>
      <c r="F14" s="39">
        <f t="shared" si="0"/>
        <v>12.638999999999996</v>
      </c>
      <c r="G14" s="118">
        <f>IF([0]!bs_option_type="Call",IF(((F14-Stock-(vba_bs_result/Stock)*Stock))&lt;-(vba_bs_result/Stock)*Stock,-(vba_bs_result/Stock)*Stock,(F14-Stock-(vba_bs_result/Stock)*Stock)*1),IF((Exercise-(vba_bs_result/Stock)*Stock)-F14&lt;-(vba_bs_result/Stock)*Stock,-(vba_bs_result/Stock)*Stock,(Exercise-(vba_bs_result/Stock)*Stock)-F14))</f>
        <v>-45.869441523521544</v>
      </c>
    </row>
    <row r="15" spans="1:10" ht="14.4">
      <c r="E15" s="11">
        <f t="shared" si="1"/>
        <v>-88</v>
      </c>
      <c r="F15" s="39">
        <f t="shared" si="0"/>
        <v>13.787999999999997</v>
      </c>
      <c r="G15" s="118">
        <f>IF([0]!bs_option_type="Call",IF(((F15-Stock-(vba_bs_result/Stock)*Stock))&lt;-(vba_bs_result/Stock)*Stock,-(vba_bs_result/Stock)*Stock,(F15-Stock-(vba_bs_result/Stock)*Stock)*1),IF((Exercise-(vba_bs_result/Stock)*Stock)-F15&lt;-(vba_bs_result/Stock)*Stock,-(vba_bs_result/Stock)*Stock,(Exercise-(vba_bs_result/Stock)*Stock)-F15))</f>
        <v>-45.869441523521544</v>
      </c>
    </row>
    <row r="16" spans="1:10" ht="14.4">
      <c r="E16" s="11">
        <f t="shared" si="1"/>
        <v>-87</v>
      </c>
      <c r="F16" s="39">
        <f t="shared" si="0"/>
        <v>14.936999999999998</v>
      </c>
      <c r="G16" s="118">
        <f>IF([0]!bs_option_type="Call",IF(((F16-Stock-(vba_bs_result/Stock)*Stock))&lt;-(vba_bs_result/Stock)*Stock,-(vba_bs_result/Stock)*Stock,(F16-Stock-(vba_bs_result/Stock)*Stock)*1),IF((Exercise-(vba_bs_result/Stock)*Stock)-F16&lt;-(vba_bs_result/Stock)*Stock,-(vba_bs_result/Stock)*Stock,(Exercise-(vba_bs_result/Stock)*Stock)-F16))</f>
        <v>-45.869441523521544</v>
      </c>
    </row>
    <row r="17" spans="5:7" ht="14.4">
      <c r="E17" s="11">
        <f t="shared" si="1"/>
        <v>-86</v>
      </c>
      <c r="F17" s="39">
        <f t="shared" si="0"/>
        <v>16.085999999999999</v>
      </c>
      <c r="G17" s="118">
        <f>IF([0]!bs_option_type="Call",IF(((F17-Stock-(vba_bs_result/Stock)*Stock))&lt;-(vba_bs_result/Stock)*Stock,-(vba_bs_result/Stock)*Stock,(F17-Stock-(vba_bs_result/Stock)*Stock)*1),IF((Exercise-(vba_bs_result/Stock)*Stock)-F17&lt;-(vba_bs_result/Stock)*Stock,-(vba_bs_result/Stock)*Stock,(Exercise-(vba_bs_result/Stock)*Stock)-F17))</f>
        <v>-45.869441523521544</v>
      </c>
    </row>
    <row r="18" spans="5:7" ht="14.4">
      <c r="E18" s="11">
        <f t="shared" si="1"/>
        <v>-85</v>
      </c>
      <c r="F18" s="39">
        <f t="shared" si="0"/>
        <v>17.234999999999999</v>
      </c>
      <c r="G18" s="118">
        <f>IF([0]!bs_option_type="Call",IF(((F18-Stock-(vba_bs_result/Stock)*Stock))&lt;-(vba_bs_result/Stock)*Stock,-(vba_bs_result/Stock)*Stock,(F18-Stock-(vba_bs_result/Stock)*Stock)*1),IF((Exercise-(vba_bs_result/Stock)*Stock)-F18&lt;-(vba_bs_result/Stock)*Stock,-(vba_bs_result/Stock)*Stock,(Exercise-(vba_bs_result/Stock)*Stock)-F18))</f>
        <v>-45.869441523521544</v>
      </c>
    </row>
    <row r="19" spans="5:7" ht="14.4">
      <c r="E19" s="11">
        <f t="shared" si="1"/>
        <v>-84</v>
      </c>
      <c r="F19" s="39">
        <f t="shared" si="0"/>
        <v>18.384</v>
      </c>
      <c r="G19" s="118">
        <f>IF([0]!bs_option_type="Call",IF(((F19-Stock-(vba_bs_result/Stock)*Stock))&lt;-(vba_bs_result/Stock)*Stock,-(vba_bs_result/Stock)*Stock,(F19-Stock-(vba_bs_result/Stock)*Stock)*1),IF((Exercise-(vba_bs_result/Stock)*Stock)-F19&lt;-(vba_bs_result/Stock)*Stock,-(vba_bs_result/Stock)*Stock,(Exercise-(vba_bs_result/Stock)*Stock)-F19))</f>
        <v>-45.869441523521544</v>
      </c>
    </row>
    <row r="20" spans="5:7" ht="14.4">
      <c r="E20" s="11">
        <f t="shared" si="1"/>
        <v>-83</v>
      </c>
      <c r="F20" s="39">
        <f t="shared" si="0"/>
        <v>19.533000000000001</v>
      </c>
      <c r="G20" s="118">
        <f>IF([0]!bs_option_type="Call",IF(((F20-Stock-(vba_bs_result/Stock)*Stock))&lt;-(vba_bs_result/Stock)*Stock,-(vba_bs_result/Stock)*Stock,(F20-Stock-(vba_bs_result/Stock)*Stock)*1),IF((Exercise-(vba_bs_result/Stock)*Stock)-F20&lt;-(vba_bs_result/Stock)*Stock,-(vba_bs_result/Stock)*Stock,(Exercise-(vba_bs_result/Stock)*Stock)-F20))</f>
        <v>-45.869441523521544</v>
      </c>
    </row>
    <row r="21" spans="5:7" ht="15.75" customHeight="1">
      <c r="E21" s="11">
        <f t="shared" si="1"/>
        <v>-82</v>
      </c>
      <c r="F21" s="39">
        <f t="shared" si="0"/>
        <v>20.682000000000002</v>
      </c>
      <c r="G21" s="118">
        <f>IF([0]!bs_option_type="Call",IF(((F21-Stock-(vba_bs_result/Stock)*Stock))&lt;-(vba_bs_result/Stock)*Stock,-(vba_bs_result/Stock)*Stock,(F21-Stock-(vba_bs_result/Stock)*Stock)*1),IF((Exercise-(vba_bs_result/Stock)*Stock)-F21&lt;-(vba_bs_result/Stock)*Stock,-(vba_bs_result/Stock)*Stock,(Exercise-(vba_bs_result/Stock)*Stock)-F21))</f>
        <v>-45.869441523521544</v>
      </c>
    </row>
    <row r="22" spans="5:7" ht="15.75" customHeight="1">
      <c r="E22" s="11">
        <f t="shared" si="1"/>
        <v>-81</v>
      </c>
      <c r="F22" s="39">
        <f t="shared" si="0"/>
        <v>21.830999999999989</v>
      </c>
      <c r="G22" s="118">
        <f>IF([0]!bs_option_type="Call",IF(((F22-Stock-(vba_bs_result/Stock)*Stock))&lt;-(vba_bs_result/Stock)*Stock,-(vba_bs_result/Stock)*Stock,(F22-Stock-(vba_bs_result/Stock)*Stock)*1),IF((Exercise-(vba_bs_result/Stock)*Stock)-F22&lt;-(vba_bs_result/Stock)*Stock,-(vba_bs_result/Stock)*Stock,(Exercise-(vba_bs_result/Stock)*Stock)-F22))</f>
        <v>-45.869441523521544</v>
      </c>
    </row>
    <row r="23" spans="5:7" ht="15.75" customHeight="1">
      <c r="E23" s="11">
        <f t="shared" si="1"/>
        <v>-80</v>
      </c>
      <c r="F23" s="39">
        <f t="shared" si="0"/>
        <v>22.97999999999999</v>
      </c>
      <c r="G23" s="118">
        <f>IF([0]!bs_option_type="Call",IF(((F23-Stock-(vba_bs_result/Stock)*Stock))&lt;-(vba_bs_result/Stock)*Stock,-(vba_bs_result/Stock)*Stock,(F23-Stock-(vba_bs_result/Stock)*Stock)*1),IF((Exercise-(vba_bs_result/Stock)*Stock)-F23&lt;-(vba_bs_result/Stock)*Stock,-(vba_bs_result/Stock)*Stock,(Exercise-(vba_bs_result/Stock)*Stock)-F23))</f>
        <v>-45.869441523521544</v>
      </c>
    </row>
    <row r="24" spans="5:7" ht="15.75" customHeight="1">
      <c r="E24" s="11">
        <f t="shared" si="1"/>
        <v>-79</v>
      </c>
      <c r="F24" s="39">
        <f t="shared" si="0"/>
        <v>24.128999999999991</v>
      </c>
      <c r="G24" s="118">
        <f>IF([0]!bs_option_type="Call",IF(((F24-Stock-(vba_bs_result/Stock)*Stock))&lt;-(vba_bs_result/Stock)*Stock,-(vba_bs_result/Stock)*Stock,(F24-Stock-(vba_bs_result/Stock)*Stock)*1),IF((Exercise-(vba_bs_result/Stock)*Stock)-F24&lt;-(vba_bs_result/Stock)*Stock,-(vba_bs_result/Stock)*Stock,(Exercise-(vba_bs_result/Stock)*Stock)-F24))</f>
        <v>-45.869441523521544</v>
      </c>
    </row>
    <row r="25" spans="5:7" ht="15.75" customHeight="1">
      <c r="E25" s="11">
        <f t="shared" si="1"/>
        <v>-78</v>
      </c>
      <c r="F25" s="39">
        <f t="shared" si="0"/>
        <v>25.277999999999992</v>
      </c>
      <c r="G25" s="118">
        <f>IF([0]!bs_option_type="Call",IF(((F25-Stock-(vba_bs_result/Stock)*Stock))&lt;-(vba_bs_result/Stock)*Stock,-(vba_bs_result/Stock)*Stock,(F25-Stock-(vba_bs_result/Stock)*Stock)*1),IF((Exercise-(vba_bs_result/Stock)*Stock)-F25&lt;-(vba_bs_result/Stock)*Stock,-(vba_bs_result/Stock)*Stock,(Exercise-(vba_bs_result/Stock)*Stock)-F25))</f>
        <v>-45.869441523521544</v>
      </c>
    </row>
    <row r="26" spans="5:7" ht="15.75" customHeight="1">
      <c r="E26" s="11">
        <f t="shared" si="1"/>
        <v>-77</v>
      </c>
      <c r="F26" s="39">
        <f t="shared" si="0"/>
        <v>26.426999999999992</v>
      </c>
      <c r="G26" s="118">
        <f>IF([0]!bs_option_type="Call",IF(((F26-Stock-(vba_bs_result/Stock)*Stock))&lt;-(vba_bs_result/Stock)*Stock,-(vba_bs_result/Stock)*Stock,(F26-Stock-(vba_bs_result/Stock)*Stock)*1),IF((Exercise-(vba_bs_result/Stock)*Stock)-F26&lt;-(vba_bs_result/Stock)*Stock,-(vba_bs_result/Stock)*Stock,(Exercise-(vba_bs_result/Stock)*Stock)-F26))</f>
        <v>-45.869441523521544</v>
      </c>
    </row>
    <row r="27" spans="5:7" ht="15.75" customHeight="1">
      <c r="E27" s="11">
        <f t="shared" si="1"/>
        <v>-76</v>
      </c>
      <c r="F27" s="39">
        <f t="shared" si="0"/>
        <v>27.575999999999993</v>
      </c>
      <c r="G27" s="118">
        <f>IF([0]!bs_option_type="Call",IF(((F27-Stock-(vba_bs_result/Stock)*Stock))&lt;-(vba_bs_result/Stock)*Stock,-(vba_bs_result/Stock)*Stock,(F27-Stock-(vba_bs_result/Stock)*Stock)*1),IF((Exercise-(vba_bs_result/Stock)*Stock)-F27&lt;-(vba_bs_result/Stock)*Stock,-(vba_bs_result/Stock)*Stock,(Exercise-(vba_bs_result/Stock)*Stock)-F27))</f>
        <v>-45.869441523521544</v>
      </c>
    </row>
    <row r="28" spans="5:7" ht="15.75" customHeight="1">
      <c r="E28" s="11">
        <f t="shared" si="1"/>
        <v>-75</v>
      </c>
      <c r="F28" s="39">
        <f t="shared" si="0"/>
        <v>28.724999999999994</v>
      </c>
      <c r="G28" s="118">
        <f>IF([0]!bs_option_type="Call",IF(((F28-Stock-(vba_bs_result/Stock)*Stock))&lt;-(vba_bs_result/Stock)*Stock,-(vba_bs_result/Stock)*Stock,(F28-Stock-(vba_bs_result/Stock)*Stock)*1),IF((Exercise-(vba_bs_result/Stock)*Stock)-F28&lt;-(vba_bs_result/Stock)*Stock,-(vba_bs_result/Stock)*Stock,(Exercise-(vba_bs_result/Stock)*Stock)-F28))</f>
        <v>-45.869441523521544</v>
      </c>
    </row>
    <row r="29" spans="5:7" ht="15.75" customHeight="1">
      <c r="E29" s="11">
        <f t="shared" si="1"/>
        <v>-74</v>
      </c>
      <c r="F29" s="39">
        <f t="shared" si="0"/>
        <v>29.874000000000009</v>
      </c>
      <c r="G29" s="118">
        <f>IF([0]!bs_option_type="Call",IF(((F29-Stock-(vba_bs_result/Stock)*Stock))&lt;-(vba_bs_result/Stock)*Stock,-(vba_bs_result/Stock)*Stock,(F29-Stock-(vba_bs_result/Stock)*Stock)*1),IF((Exercise-(vba_bs_result/Stock)*Stock)-F29&lt;-(vba_bs_result/Stock)*Stock,-(vba_bs_result/Stock)*Stock,(Exercise-(vba_bs_result/Stock)*Stock)-F29))</f>
        <v>-45.869441523521544</v>
      </c>
    </row>
    <row r="30" spans="5:7" ht="15.75" customHeight="1">
      <c r="E30" s="11">
        <f t="shared" si="1"/>
        <v>-73</v>
      </c>
      <c r="F30" s="39">
        <f t="shared" si="0"/>
        <v>31.02300000000001</v>
      </c>
      <c r="G30" s="118">
        <f>IF([0]!bs_option_type="Call",IF(((F30-Stock-(vba_bs_result/Stock)*Stock))&lt;-(vba_bs_result/Stock)*Stock,-(vba_bs_result/Stock)*Stock,(F30-Stock-(vba_bs_result/Stock)*Stock)*1),IF((Exercise-(vba_bs_result/Stock)*Stock)-F30&lt;-(vba_bs_result/Stock)*Stock,-(vba_bs_result/Stock)*Stock,(Exercise-(vba_bs_result/Stock)*Stock)-F30))</f>
        <v>-45.869441523521544</v>
      </c>
    </row>
    <row r="31" spans="5:7" ht="15.75" customHeight="1">
      <c r="E31" s="11">
        <f t="shared" si="1"/>
        <v>-72</v>
      </c>
      <c r="F31" s="39">
        <f t="shared" si="0"/>
        <v>32.172000000000011</v>
      </c>
      <c r="G31" s="118">
        <f>IF([0]!bs_option_type="Call",IF(((F31-Stock-(vba_bs_result/Stock)*Stock))&lt;-(vba_bs_result/Stock)*Stock,-(vba_bs_result/Stock)*Stock,(F31-Stock-(vba_bs_result/Stock)*Stock)*1),IF((Exercise-(vba_bs_result/Stock)*Stock)-F31&lt;-(vba_bs_result/Stock)*Stock,-(vba_bs_result/Stock)*Stock,(Exercise-(vba_bs_result/Stock)*Stock)-F31))</f>
        <v>-45.869441523521544</v>
      </c>
    </row>
    <row r="32" spans="5:7" ht="15.75" customHeight="1">
      <c r="E32" s="11">
        <f t="shared" si="1"/>
        <v>-71</v>
      </c>
      <c r="F32" s="39">
        <f t="shared" si="0"/>
        <v>33.321000000000012</v>
      </c>
      <c r="G32" s="118">
        <f>IF([0]!bs_option_type="Call",IF(((F32-Stock-(vba_bs_result/Stock)*Stock))&lt;-(vba_bs_result/Stock)*Stock,-(vba_bs_result/Stock)*Stock,(F32-Stock-(vba_bs_result/Stock)*Stock)*1),IF((Exercise-(vba_bs_result/Stock)*Stock)-F32&lt;-(vba_bs_result/Stock)*Stock,-(vba_bs_result/Stock)*Stock,(Exercise-(vba_bs_result/Stock)*Stock)-F32))</f>
        <v>-45.869441523521544</v>
      </c>
    </row>
    <row r="33" spans="5:7" ht="15.75" customHeight="1">
      <c r="E33" s="11">
        <f t="shared" si="1"/>
        <v>-70</v>
      </c>
      <c r="F33" s="39">
        <f t="shared" si="0"/>
        <v>34.470000000000013</v>
      </c>
      <c r="G33" s="118">
        <f>IF([0]!bs_option_type="Call",IF(((F33-Stock-(vba_bs_result/Stock)*Stock))&lt;-(vba_bs_result/Stock)*Stock,-(vba_bs_result/Stock)*Stock,(F33-Stock-(vba_bs_result/Stock)*Stock)*1),IF((Exercise-(vba_bs_result/Stock)*Stock)-F33&lt;-(vba_bs_result/Stock)*Stock,-(vba_bs_result/Stock)*Stock,(Exercise-(vba_bs_result/Stock)*Stock)-F33))</f>
        <v>-45.869441523521544</v>
      </c>
    </row>
    <row r="34" spans="5:7" ht="15.75" customHeight="1">
      <c r="E34" s="11">
        <f t="shared" si="1"/>
        <v>-69</v>
      </c>
      <c r="F34" s="39">
        <f t="shared" si="0"/>
        <v>35.619000000000014</v>
      </c>
      <c r="G34" s="118">
        <f>IF([0]!bs_option_type="Call",IF(((F34-Stock-(vba_bs_result/Stock)*Stock))&lt;-(vba_bs_result/Stock)*Stock,-(vba_bs_result/Stock)*Stock,(F34-Stock-(vba_bs_result/Stock)*Stock)*1),IF((Exercise-(vba_bs_result/Stock)*Stock)-F34&lt;-(vba_bs_result/Stock)*Stock,-(vba_bs_result/Stock)*Stock,(Exercise-(vba_bs_result/Stock)*Stock)-F34))</f>
        <v>-45.869441523521544</v>
      </c>
    </row>
    <row r="35" spans="5:7" ht="15.75" customHeight="1">
      <c r="E35" s="11">
        <f t="shared" si="1"/>
        <v>-68</v>
      </c>
      <c r="F35" s="39">
        <f t="shared" si="0"/>
        <v>36.768000000000001</v>
      </c>
      <c r="G35" s="118">
        <f>IF([0]!bs_option_type="Call",IF(((F35-Stock-(vba_bs_result/Stock)*Stock))&lt;-(vba_bs_result/Stock)*Stock,-(vba_bs_result/Stock)*Stock,(F35-Stock-(vba_bs_result/Stock)*Stock)*1),IF((Exercise-(vba_bs_result/Stock)*Stock)-F35&lt;-(vba_bs_result/Stock)*Stock,-(vba_bs_result/Stock)*Stock,(Exercise-(vba_bs_result/Stock)*Stock)-F35))</f>
        <v>-45.869441523521544</v>
      </c>
    </row>
    <row r="36" spans="5:7" ht="15.75" customHeight="1">
      <c r="E36" s="11">
        <f t="shared" si="1"/>
        <v>-67</v>
      </c>
      <c r="F36" s="39">
        <f t="shared" si="0"/>
        <v>37.917000000000002</v>
      </c>
      <c r="G36" s="118">
        <f>IF([0]!bs_option_type="Call",IF(((F36-Stock-(vba_bs_result/Stock)*Stock))&lt;-(vba_bs_result/Stock)*Stock,-(vba_bs_result/Stock)*Stock,(F36-Stock-(vba_bs_result/Stock)*Stock)*1),IF((Exercise-(vba_bs_result/Stock)*Stock)-F36&lt;-(vba_bs_result/Stock)*Stock,-(vba_bs_result/Stock)*Stock,(Exercise-(vba_bs_result/Stock)*Stock)-F36))</f>
        <v>-45.869441523521544</v>
      </c>
    </row>
    <row r="37" spans="5:7" ht="15.75" customHeight="1">
      <c r="E37" s="11">
        <f t="shared" si="1"/>
        <v>-66</v>
      </c>
      <c r="F37" s="39">
        <f t="shared" si="0"/>
        <v>39.066000000000003</v>
      </c>
      <c r="G37" s="118">
        <f>IF([0]!bs_option_type="Call",IF(((F37-Stock-(vba_bs_result/Stock)*Stock))&lt;-(vba_bs_result/Stock)*Stock,-(vba_bs_result/Stock)*Stock,(F37-Stock-(vba_bs_result/Stock)*Stock)*1),IF((Exercise-(vba_bs_result/Stock)*Stock)-F37&lt;-(vba_bs_result/Stock)*Stock,-(vba_bs_result/Stock)*Stock,(Exercise-(vba_bs_result/Stock)*Stock)-F37))</f>
        <v>-45.869441523521544</v>
      </c>
    </row>
    <row r="38" spans="5:7" ht="15.75" customHeight="1">
      <c r="E38" s="11">
        <f t="shared" si="1"/>
        <v>-65</v>
      </c>
      <c r="F38" s="39">
        <f t="shared" si="0"/>
        <v>40.215000000000003</v>
      </c>
      <c r="G38" s="118">
        <f>IF([0]!bs_option_type="Call",IF(((F38-Stock-(vba_bs_result/Stock)*Stock))&lt;-(vba_bs_result/Stock)*Stock,-(vba_bs_result/Stock)*Stock,(F38-Stock-(vba_bs_result/Stock)*Stock)*1),IF((Exercise-(vba_bs_result/Stock)*Stock)-F38&lt;-(vba_bs_result/Stock)*Stock,-(vba_bs_result/Stock)*Stock,(Exercise-(vba_bs_result/Stock)*Stock)-F38))</f>
        <v>-45.869441523521544</v>
      </c>
    </row>
    <row r="39" spans="5:7" ht="15.75" customHeight="1">
      <c r="E39" s="11">
        <f t="shared" si="1"/>
        <v>-64</v>
      </c>
      <c r="F39" s="39">
        <f t="shared" si="0"/>
        <v>41.364000000000004</v>
      </c>
      <c r="G39" s="118">
        <f>IF([0]!bs_option_type="Call",IF(((F39-Stock-(vba_bs_result/Stock)*Stock))&lt;-(vba_bs_result/Stock)*Stock,-(vba_bs_result/Stock)*Stock,(F39-Stock-(vba_bs_result/Stock)*Stock)*1),IF((Exercise-(vba_bs_result/Stock)*Stock)-F39&lt;-(vba_bs_result/Stock)*Stock,-(vba_bs_result/Stock)*Stock,(Exercise-(vba_bs_result/Stock)*Stock)-F39))</f>
        <v>-45.869441523521544</v>
      </c>
    </row>
    <row r="40" spans="5:7" ht="15.75" customHeight="1">
      <c r="E40" s="11">
        <f t="shared" si="1"/>
        <v>-63</v>
      </c>
      <c r="F40" s="39">
        <f t="shared" si="0"/>
        <v>42.513000000000005</v>
      </c>
      <c r="G40" s="118">
        <f>IF([0]!bs_option_type="Call",IF(((F40-Stock-(vba_bs_result/Stock)*Stock))&lt;-(vba_bs_result/Stock)*Stock,-(vba_bs_result/Stock)*Stock,(F40-Stock-(vba_bs_result/Stock)*Stock)*1),IF((Exercise-(vba_bs_result/Stock)*Stock)-F40&lt;-(vba_bs_result/Stock)*Stock,-(vba_bs_result/Stock)*Stock,(Exercise-(vba_bs_result/Stock)*Stock)-F40))</f>
        <v>-45.869441523521544</v>
      </c>
    </row>
    <row r="41" spans="5:7" ht="15.75" customHeight="1">
      <c r="E41" s="11">
        <f t="shared" si="1"/>
        <v>-62</v>
      </c>
      <c r="F41" s="39">
        <f t="shared" si="0"/>
        <v>43.662000000000006</v>
      </c>
      <c r="G41" s="118">
        <f>IF([0]!bs_option_type="Call",IF(((F41-Stock-(vba_bs_result/Stock)*Stock))&lt;-(vba_bs_result/Stock)*Stock,-(vba_bs_result/Stock)*Stock,(F41-Stock-(vba_bs_result/Stock)*Stock)*1),IF((Exercise-(vba_bs_result/Stock)*Stock)-F41&lt;-(vba_bs_result/Stock)*Stock,-(vba_bs_result/Stock)*Stock,(Exercise-(vba_bs_result/Stock)*Stock)-F41))</f>
        <v>-45.869441523521544</v>
      </c>
    </row>
    <row r="42" spans="5:7" ht="15.75" customHeight="1">
      <c r="E42" s="11">
        <f t="shared" si="1"/>
        <v>-61</v>
      </c>
      <c r="F42" s="39">
        <f t="shared" si="0"/>
        <v>44.811000000000007</v>
      </c>
      <c r="G42" s="118">
        <f>IF([0]!bs_option_type="Call",IF(((F42-Stock-(vba_bs_result/Stock)*Stock))&lt;-(vba_bs_result/Stock)*Stock,-(vba_bs_result/Stock)*Stock,(F42-Stock-(vba_bs_result/Stock)*Stock)*1),IF((Exercise-(vba_bs_result/Stock)*Stock)-F42&lt;-(vba_bs_result/Stock)*Stock,-(vba_bs_result/Stock)*Stock,(Exercise-(vba_bs_result/Stock)*Stock)-F42))</f>
        <v>-45.869441523521544</v>
      </c>
    </row>
    <row r="43" spans="5:7" ht="15.75" customHeight="1">
      <c r="E43" s="11">
        <f t="shared" si="1"/>
        <v>-60</v>
      </c>
      <c r="F43" s="39">
        <f t="shared" si="0"/>
        <v>45.960000000000008</v>
      </c>
      <c r="G43" s="118">
        <f>IF([0]!bs_option_type="Call",IF(((F43-Stock-(vba_bs_result/Stock)*Stock))&lt;-(vba_bs_result/Stock)*Stock,-(vba_bs_result/Stock)*Stock,(F43-Stock-(vba_bs_result/Stock)*Stock)*1),IF((Exercise-(vba_bs_result/Stock)*Stock)-F43&lt;-(vba_bs_result/Stock)*Stock,-(vba_bs_result/Stock)*Stock,(Exercise-(vba_bs_result/Stock)*Stock)-F43))</f>
        <v>-45.869441523521544</v>
      </c>
    </row>
    <row r="44" spans="5:7" ht="15.75" customHeight="1">
      <c r="E44" s="11">
        <f t="shared" si="1"/>
        <v>-59</v>
      </c>
      <c r="F44" s="39">
        <f t="shared" si="0"/>
        <v>47.109000000000009</v>
      </c>
      <c r="G44" s="118">
        <f>IF([0]!bs_option_type="Call",IF(((F44-Stock-(vba_bs_result/Stock)*Stock))&lt;-(vba_bs_result/Stock)*Stock,-(vba_bs_result/Stock)*Stock,(F44-Stock-(vba_bs_result/Stock)*Stock)*1),IF((Exercise-(vba_bs_result/Stock)*Stock)-F44&lt;-(vba_bs_result/Stock)*Stock,-(vba_bs_result/Stock)*Stock,(Exercise-(vba_bs_result/Stock)*Stock)-F44))</f>
        <v>-45.869441523521544</v>
      </c>
    </row>
    <row r="45" spans="5:7" ht="15.75" customHeight="1">
      <c r="E45" s="11">
        <f t="shared" si="1"/>
        <v>-58</v>
      </c>
      <c r="F45" s="39">
        <f t="shared" si="0"/>
        <v>48.25800000000001</v>
      </c>
      <c r="G45" s="118">
        <f>IF([0]!bs_option_type="Call",IF(((F45-Stock-(vba_bs_result/Stock)*Stock))&lt;-(vba_bs_result/Stock)*Stock,-(vba_bs_result/Stock)*Stock,(F45-Stock-(vba_bs_result/Stock)*Stock)*1),IF((Exercise-(vba_bs_result/Stock)*Stock)-F45&lt;-(vba_bs_result/Stock)*Stock,-(vba_bs_result/Stock)*Stock,(Exercise-(vba_bs_result/Stock)*Stock)-F45))</f>
        <v>-45.869441523521544</v>
      </c>
    </row>
    <row r="46" spans="5:7" ht="15.75" customHeight="1">
      <c r="E46" s="11">
        <f t="shared" si="1"/>
        <v>-57</v>
      </c>
      <c r="F46" s="39">
        <f t="shared" si="0"/>
        <v>49.407000000000011</v>
      </c>
      <c r="G46" s="118">
        <f>IF([0]!bs_option_type="Call",IF(((F46-Stock-(vba_bs_result/Stock)*Stock))&lt;-(vba_bs_result/Stock)*Stock,-(vba_bs_result/Stock)*Stock,(F46-Stock-(vba_bs_result/Stock)*Stock)*1),IF((Exercise-(vba_bs_result/Stock)*Stock)-F46&lt;-(vba_bs_result/Stock)*Stock,-(vba_bs_result/Stock)*Stock,(Exercise-(vba_bs_result/Stock)*Stock)-F46))</f>
        <v>-45.869441523521544</v>
      </c>
    </row>
    <row r="47" spans="5:7" ht="15.75" customHeight="1">
      <c r="E47" s="11">
        <f t="shared" si="1"/>
        <v>-56</v>
      </c>
      <c r="F47" s="39">
        <f t="shared" si="0"/>
        <v>50.555999999999997</v>
      </c>
      <c r="G47" s="118">
        <f>IF([0]!bs_option_type="Call",IF(((F47-Stock-(vba_bs_result/Stock)*Stock))&lt;-(vba_bs_result/Stock)*Stock,-(vba_bs_result/Stock)*Stock,(F47-Stock-(vba_bs_result/Stock)*Stock)*1),IF((Exercise-(vba_bs_result/Stock)*Stock)-F47&lt;-(vba_bs_result/Stock)*Stock,-(vba_bs_result/Stock)*Stock,(Exercise-(vba_bs_result/Stock)*Stock)-F47))</f>
        <v>-45.869441523521544</v>
      </c>
    </row>
    <row r="48" spans="5:7" ht="15.75" customHeight="1">
      <c r="E48" s="11">
        <f t="shared" si="1"/>
        <v>-55</v>
      </c>
      <c r="F48" s="39">
        <f t="shared" si="0"/>
        <v>51.704999999999998</v>
      </c>
      <c r="G48" s="118">
        <f>IF([0]!bs_option_type="Call",IF(((F48-Stock-(vba_bs_result/Stock)*Stock))&lt;-(vba_bs_result/Stock)*Stock,-(vba_bs_result/Stock)*Stock,(F48-Stock-(vba_bs_result/Stock)*Stock)*1),IF((Exercise-(vba_bs_result/Stock)*Stock)-F48&lt;-(vba_bs_result/Stock)*Stock,-(vba_bs_result/Stock)*Stock,(Exercise-(vba_bs_result/Stock)*Stock)-F48))</f>
        <v>-45.869441523521544</v>
      </c>
    </row>
    <row r="49" spans="5:7" ht="15.75" customHeight="1">
      <c r="E49" s="11">
        <f t="shared" si="1"/>
        <v>-54</v>
      </c>
      <c r="F49" s="39">
        <f t="shared" si="0"/>
        <v>52.853999999999999</v>
      </c>
      <c r="G49" s="118">
        <f>IF([0]!bs_option_type="Call",IF(((F49-Stock-(vba_bs_result/Stock)*Stock))&lt;-(vba_bs_result/Stock)*Stock,-(vba_bs_result/Stock)*Stock,(F49-Stock-(vba_bs_result/Stock)*Stock)*1),IF((Exercise-(vba_bs_result/Stock)*Stock)-F49&lt;-(vba_bs_result/Stock)*Stock,-(vba_bs_result/Stock)*Stock,(Exercise-(vba_bs_result/Stock)*Stock)-F49))</f>
        <v>-45.869441523521544</v>
      </c>
    </row>
    <row r="50" spans="5:7" ht="15.75" customHeight="1">
      <c r="E50" s="11">
        <f t="shared" si="1"/>
        <v>-53</v>
      </c>
      <c r="F50" s="39">
        <f t="shared" si="0"/>
        <v>54.003</v>
      </c>
      <c r="G50" s="118">
        <f>IF([0]!bs_option_type="Call",IF(((F50-Stock-(vba_bs_result/Stock)*Stock))&lt;-(vba_bs_result/Stock)*Stock,-(vba_bs_result/Stock)*Stock,(F50-Stock-(vba_bs_result/Stock)*Stock)*1),IF((Exercise-(vba_bs_result/Stock)*Stock)-F50&lt;-(vba_bs_result/Stock)*Stock,-(vba_bs_result/Stock)*Stock,(Exercise-(vba_bs_result/Stock)*Stock)-F50))</f>
        <v>-45.869441523521544</v>
      </c>
    </row>
    <row r="51" spans="5:7" ht="15.75" customHeight="1">
      <c r="E51" s="11">
        <f t="shared" si="1"/>
        <v>-52</v>
      </c>
      <c r="F51" s="39">
        <f t="shared" si="0"/>
        <v>55.152000000000001</v>
      </c>
      <c r="G51" s="118">
        <f>IF([0]!bs_option_type="Call",IF(((F51-Stock-(vba_bs_result/Stock)*Stock))&lt;-(vba_bs_result/Stock)*Stock,-(vba_bs_result/Stock)*Stock,(F51-Stock-(vba_bs_result/Stock)*Stock)*1),IF((Exercise-(vba_bs_result/Stock)*Stock)-F51&lt;-(vba_bs_result/Stock)*Stock,-(vba_bs_result/Stock)*Stock,(Exercise-(vba_bs_result/Stock)*Stock)-F51))</f>
        <v>-45.869441523521544</v>
      </c>
    </row>
    <row r="52" spans="5:7" ht="15.75" customHeight="1">
      <c r="E52" s="11">
        <f t="shared" si="1"/>
        <v>-51</v>
      </c>
      <c r="F52" s="39">
        <f t="shared" si="0"/>
        <v>56.301000000000002</v>
      </c>
      <c r="G52" s="118">
        <f>IF([0]!bs_option_type="Call",IF(((F52-Stock-(vba_bs_result/Stock)*Stock))&lt;-(vba_bs_result/Stock)*Stock,-(vba_bs_result/Stock)*Stock,(F52-Stock-(vba_bs_result/Stock)*Stock)*1),IF((Exercise-(vba_bs_result/Stock)*Stock)-F52&lt;-(vba_bs_result/Stock)*Stock,-(vba_bs_result/Stock)*Stock,(Exercise-(vba_bs_result/Stock)*Stock)-F52))</f>
        <v>-45.869441523521544</v>
      </c>
    </row>
    <row r="53" spans="5:7" ht="15.75" customHeight="1">
      <c r="E53" s="11">
        <f t="shared" si="1"/>
        <v>-50</v>
      </c>
      <c r="F53" s="39">
        <f t="shared" si="0"/>
        <v>57.45</v>
      </c>
      <c r="G53" s="118">
        <f>IF([0]!bs_option_type="Call",IF(((F53-Stock-(vba_bs_result/Stock)*Stock))&lt;-(vba_bs_result/Stock)*Stock,-(vba_bs_result/Stock)*Stock,(F53-Stock-(vba_bs_result/Stock)*Stock)*1),IF((Exercise-(vba_bs_result/Stock)*Stock)-F53&lt;-(vba_bs_result/Stock)*Stock,-(vba_bs_result/Stock)*Stock,(Exercise-(vba_bs_result/Stock)*Stock)-F53))</f>
        <v>-45.869441523521544</v>
      </c>
    </row>
    <row r="54" spans="5:7" ht="15.75" customHeight="1">
      <c r="E54" s="11">
        <f t="shared" si="1"/>
        <v>-49</v>
      </c>
      <c r="F54" s="39">
        <f t="shared" si="0"/>
        <v>58.599000000000004</v>
      </c>
      <c r="G54" s="118">
        <f>IF([0]!bs_option_type="Call",IF(((F54-Stock-(vba_bs_result/Stock)*Stock))&lt;-(vba_bs_result/Stock)*Stock,-(vba_bs_result/Stock)*Stock,(F54-Stock-(vba_bs_result/Stock)*Stock)*1),IF((Exercise-(vba_bs_result/Stock)*Stock)-F54&lt;-(vba_bs_result/Stock)*Stock,-(vba_bs_result/Stock)*Stock,(Exercise-(vba_bs_result/Stock)*Stock)-F54))</f>
        <v>-45.869441523521544</v>
      </c>
    </row>
    <row r="55" spans="5:7" ht="15.75" customHeight="1">
      <c r="E55" s="11">
        <f t="shared" si="1"/>
        <v>-48</v>
      </c>
      <c r="F55" s="39">
        <f t="shared" si="0"/>
        <v>59.748000000000005</v>
      </c>
      <c r="G55" s="118">
        <f>IF([0]!bs_option_type="Call",IF(((F55-Stock-(vba_bs_result/Stock)*Stock))&lt;-(vba_bs_result/Stock)*Stock,-(vba_bs_result/Stock)*Stock,(F55-Stock-(vba_bs_result/Stock)*Stock)*1),IF((Exercise-(vba_bs_result/Stock)*Stock)-F55&lt;-(vba_bs_result/Stock)*Stock,-(vba_bs_result/Stock)*Stock,(Exercise-(vba_bs_result/Stock)*Stock)-F55))</f>
        <v>-45.869441523521544</v>
      </c>
    </row>
    <row r="56" spans="5:7" ht="15.75" customHeight="1">
      <c r="E56" s="11">
        <f t="shared" si="1"/>
        <v>-47</v>
      </c>
      <c r="F56" s="39">
        <f t="shared" si="0"/>
        <v>60.897000000000006</v>
      </c>
      <c r="G56" s="118">
        <f>IF([0]!bs_option_type="Call",IF(((F56-Stock-(vba_bs_result/Stock)*Stock))&lt;-(vba_bs_result/Stock)*Stock,-(vba_bs_result/Stock)*Stock,(F56-Stock-(vba_bs_result/Stock)*Stock)*1),IF((Exercise-(vba_bs_result/Stock)*Stock)-F56&lt;-(vba_bs_result/Stock)*Stock,-(vba_bs_result/Stock)*Stock,(Exercise-(vba_bs_result/Stock)*Stock)-F56))</f>
        <v>-45.869441523521544</v>
      </c>
    </row>
    <row r="57" spans="5:7" ht="15.75" customHeight="1">
      <c r="E57" s="11">
        <f t="shared" si="1"/>
        <v>-46</v>
      </c>
      <c r="F57" s="39">
        <f t="shared" si="0"/>
        <v>62.045999999999999</v>
      </c>
      <c r="G57" s="118">
        <f>IF([0]!bs_option_type="Call",IF(((F57-Stock-(vba_bs_result/Stock)*Stock))&lt;-(vba_bs_result/Stock)*Stock,-(vba_bs_result/Stock)*Stock,(F57-Stock-(vba_bs_result/Stock)*Stock)*1),IF((Exercise-(vba_bs_result/Stock)*Stock)-F57&lt;-(vba_bs_result/Stock)*Stock,-(vba_bs_result/Stock)*Stock,(Exercise-(vba_bs_result/Stock)*Stock)-F57))</f>
        <v>-45.869441523521544</v>
      </c>
    </row>
    <row r="58" spans="5:7" ht="15.75" customHeight="1">
      <c r="E58" s="11">
        <f t="shared" si="1"/>
        <v>-45</v>
      </c>
      <c r="F58" s="39">
        <f t="shared" si="0"/>
        <v>63.195</v>
      </c>
      <c r="G58" s="118">
        <f>IF([0]!bs_option_type="Call",IF(((F58-Stock-(vba_bs_result/Stock)*Stock))&lt;-(vba_bs_result/Stock)*Stock,-(vba_bs_result/Stock)*Stock,(F58-Stock-(vba_bs_result/Stock)*Stock)*1),IF((Exercise-(vba_bs_result/Stock)*Stock)-F58&lt;-(vba_bs_result/Stock)*Stock,-(vba_bs_result/Stock)*Stock,(Exercise-(vba_bs_result/Stock)*Stock)-F58))</f>
        <v>-45.869441523521544</v>
      </c>
    </row>
    <row r="59" spans="5:7" ht="15.75" customHeight="1">
      <c r="E59" s="11">
        <f t="shared" si="1"/>
        <v>-44</v>
      </c>
      <c r="F59" s="39">
        <f t="shared" si="0"/>
        <v>64.343999999999994</v>
      </c>
      <c r="G59" s="118">
        <f>IF([0]!bs_option_type="Call",IF(((F59-Stock-(vba_bs_result/Stock)*Stock))&lt;-(vba_bs_result/Stock)*Stock,-(vba_bs_result/Stock)*Stock,(F59-Stock-(vba_bs_result/Stock)*Stock)*1),IF((Exercise-(vba_bs_result/Stock)*Stock)-F59&lt;-(vba_bs_result/Stock)*Stock,-(vba_bs_result/Stock)*Stock,(Exercise-(vba_bs_result/Stock)*Stock)-F59))</f>
        <v>-45.869441523521544</v>
      </c>
    </row>
    <row r="60" spans="5:7" ht="15.75" customHeight="1">
      <c r="E60" s="11">
        <f t="shared" si="1"/>
        <v>-43</v>
      </c>
      <c r="F60" s="39">
        <f t="shared" si="0"/>
        <v>65.492999999999995</v>
      </c>
      <c r="G60" s="118">
        <f>IF([0]!bs_option_type="Call",IF(((F60-Stock-(vba_bs_result/Stock)*Stock))&lt;-(vba_bs_result/Stock)*Stock,-(vba_bs_result/Stock)*Stock,(F60-Stock-(vba_bs_result/Stock)*Stock)*1),IF((Exercise-(vba_bs_result/Stock)*Stock)-F60&lt;-(vba_bs_result/Stock)*Stock,-(vba_bs_result/Stock)*Stock,(Exercise-(vba_bs_result/Stock)*Stock)-F60))</f>
        <v>-45.869441523521544</v>
      </c>
    </row>
    <row r="61" spans="5:7" ht="15.75" customHeight="1">
      <c r="E61" s="11">
        <f t="shared" si="1"/>
        <v>-42</v>
      </c>
      <c r="F61" s="39">
        <f t="shared" si="0"/>
        <v>66.641999999999996</v>
      </c>
      <c r="G61" s="118">
        <f>IF([0]!bs_option_type="Call",IF(((F61-Stock-(vba_bs_result/Stock)*Stock))&lt;-(vba_bs_result/Stock)*Stock,-(vba_bs_result/Stock)*Stock,(F61-Stock-(vba_bs_result/Stock)*Stock)*1),IF((Exercise-(vba_bs_result/Stock)*Stock)-F61&lt;-(vba_bs_result/Stock)*Stock,-(vba_bs_result/Stock)*Stock,(Exercise-(vba_bs_result/Stock)*Stock)-F61))</f>
        <v>-45.869441523521544</v>
      </c>
    </row>
    <row r="62" spans="5:7" ht="15.75" customHeight="1">
      <c r="E62" s="11">
        <f t="shared" si="1"/>
        <v>-41</v>
      </c>
      <c r="F62" s="39">
        <f t="shared" si="0"/>
        <v>67.790999999999997</v>
      </c>
      <c r="G62" s="118">
        <f>IF([0]!bs_option_type="Call",IF(((F62-Stock-(vba_bs_result/Stock)*Stock))&lt;-(vba_bs_result/Stock)*Stock,-(vba_bs_result/Stock)*Stock,(F62-Stock-(vba_bs_result/Stock)*Stock)*1),IF((Exercise-(vba_bs_result/Stock)*Stock)-F62&lt;-(vba_bs_result/Stock)*Stock,-(vba_bs_result/Stock)*Stock,(Exercise-(vba_bs_result/Stock)*Stock)-F62))</f>
        <v>-45.869441523521544</v>
      </c>
    </row>
    <row r="63" spans="5:7" ht="15.75" customHeight="1">
      <c r="E63" s="11">
        <f t="shared" si="1"/>
        <v>-40</v>
      </c>
      <c r="F63" s="39">
        <f t="shared" si="0"/>
        <v>68.94</v>
      </c>
      <c r="G63" s="118">
        <f>IF([0]!bs_option_type="Call",IF(((F63-Stock-(vba_bs_result/Stock)*Stock))&lt;-(vba_bs_result/Stock)*Stock,-(vba_bs_result/Stock)*Stock,(F63-Stock-(vba_bs_result/Stock)*Stock)*1),IF((Exercise-(vba_bs_result/Stock)*Stock)-F63&lt;-(vba_bs_result/Stock)*Stock,-(vba_bs_result/Stock)*Stock,(Exercise-(vba_bs_result/Stock)*Stock)-F63))</f>
        <v>-45.869441523521544</v>
      </c>
    </row>
    <row r="64" spans="5:7" ht="15.75" customHeight="1">
      <c r="E64" s="11">
        <f t="shared" si="1"/>
        <v>-39</v>
      </c>
      <c r="F64" s="39">
        <f t="shared" si="0"/>
        <v>70.088999999999999</v>
      </c>
      <c r="G64" s="118">
        <f>IF([0]!bs_option_type="Call",IF(((F64-Stock-(vba_bs_result/Stock)*Stock))&lt;-(vba_bs_result/Stock)*Stock,-(vba_bs_result/Stock)*Stock,(F64-Stock-(vba_bs_result/Stock)*Stock)*1),IF((Exercise-(vba_bs_result/Stock)*Stock)-F64&lt;-(vba_bs_result/Stock)*Stock,-(vba_bs_result/Stock)*Stock,(Exercise-(vba_bs_result/Stock)*Stock)-F64))</f>
        <v>-45.869441523521544</v>
      </c>
    </row>
    <row r="65" spans="5:7" ht="15.75" customHeight="1">
      <c r="E65" s="11">
        <f t="shared" si="1"/>
        <v>-38</v>
      </c>
      <c r="F65" s="39">
        <f t="shared" si="0"/>
        <v>71.238</v>
      </c>
      <c r="G65" s="118">
        <f>IF([0]!bs_option_type="Call",IF(((F65-Stock-(vba_bs_result/Stock)*Stock))&lt;-(vba_bs_result/Stock)*Stock,-(vba_bs_result/Stock)*Stock,(F65-Stock-(vba_bs_result/Stock)*Stock)*1),IF((Exercise-(vba_bs_result/Stock)*Stock)-F65&lt;-(vba_bs_result/Stock)*Stock,-(vba_bs_result/Stock)*Stock,(Exercise-(vba_bs_result/Stock)*Stock)-F65))</f>
        <v>-45.869441523521544</v>
      </c>
    </row>
    <row r="66" spans="5:7" ht="15.75" customHeight="1">
      <c r="E66" s="11">
        <f t="shared" si="1"/>
        <v>-37</v>
      </c>
      <c r="F66" s="39">
        <f t="shared" si="0"/>
        <v>72.387</v>
      </c>
      <c r="G66" s="118">
        <f>IF([0]!bs_option_type="Call",IF(((F66-Stock-(vba_bs_result/Stock)*Stock))&lt;-(vba_bs_result/Stock)*Stock,-(vba_bs_result/Stock)*Stock,(F66-Stock-(vba_bs_result/Stock)*Stock)*1),IF((Exercise-(vba_bs_result/Stock)*Stock)-F66&lt;-(vba_bs_result/Stock)*Stock,-(vba_bs_result/Stock)*Stock,(Exercise-(vba_bs_result/Stock)*Stock)-F66))</f>
        <v>-45.869441523521544</v>
      </c>
    </row>
    <row r="67" spans="5:7" ht="15.75" customHeight="1">
      <c r="E67" s="11">
        <f t="shared" si="1"/>
        <v>-36</v>
      </c>
      <c r="F67" s="39">
        <f t="shared" ref="F67:F130" si="2">Stock+(E67/100)*Stock</f>
        <v>73.536000000000001</v>
      </c>
      <c r="G67" s="118">
        <f>IF([0]!bs_option_type="Call",IF(((F67-Stock-(vba_bs_result/Stock)*Stock))&lt;-(vba_bs_result/Stock)*Stock,-(vba_bs_result/Stock)*Stock,(F67-Stock-(vba_bs_result/Stock)*Stock)*1),IF((Exercise-(vba_bs_result/Stock)*Stock)-F67&lt;-(vba_bs_result/Stock)*Stock,-(vba_bs_result/Stock)*Stock,(Exercise-(vba_bs_result/Stock)*Stock)-F67))</f>
        <v>-45.869441523521544</v>
      </c>
    </row>
    <row r="68" spans="5:7" ht="15.75" customHeight="1">
      <c r="E68" s="11">
        <f t="shared" si="1"/>
        <v>-35</v>
      </c>
      <c r="F68" s="39">
        <f t="shared" si="2"/>
        <v>74.685000000000002</v>
      </c>
      <c r="G68" s="118">
        <f>IF([0]!bs_option_type="Call",IF(((F68-Stock-(vba_bs_result/Stock)*Stock))&lt;-(vba_bs_result/Stock)*Stock,-(vba_bs_result/Stock)*Stock,(F68-Stock-(vba_bs_result/Stock)*Stock)*1),IF((Exercise-(vba_bs_result/Stock)*Stock)-F68&lt;-(vba_bs_result/Stock)*Stock,-(vba_bs_result/Stock)*Stock,(Exercise-(vba_bs_result/Stock)*Stock)-F68))</f>
        <v>-45.869441523521544</v>
      </c>
    </row>
    <row r="69" spans="5:7" ht="15.75" customHeight="1">
      <c r="E69" s="11">
        <f t="shared" si="1"/>
        <v>-34</v>
      </c>
      <c r="F69" s="39">
        <f t="shared" si="2"/>
        <v>75.834000000000003</v>
      </c>
      <c r="G69" s="118">
        <f>IF([0]!bs_option_type="Call",IF(((F69-Stock-(vba_bs_result/Stock)*Stock))&lt;-(vba_bs_result/Stock)*Stock,-(vba_bs_result/Stock)*Stock,(F69-Stock-(vba_bs_result/Stock)*Stock)*1),IF((Exercise-(vba_bs_result/Stock)*Stock)-F69&lt;-(vba_bs_result/Stock)*Stock,-(vba_bs_result/Stock)*Stock,(Exercise-(vba_bs_result/Stock)*Stock)-F69))</f>
        <v>-45.869441523521544</v>
      </c>
    </row>
    <row r="70" spans="5:7" ht="15.75" customHeight="1">
      <c r="E70" s="11">
        <f t="shared" si="1"/>
        <v>-33</v>
      </c>
      <c r="F70" s="39">
        <f t="shared" si="2"/>
        <v>76.983000000000004</v>
      </c>
      <c r="G70" s="118">
        <f>IF([0]!bs_option_type="Call",IF(((F70-Stock-(vba_bs_result/Stock)*Stock))&lt;-(vba_bs_result/Stock)*Stock,-(vba_bs_result/Stock)*Stock,(F70-Stock-(vba_bs_result/Stock)*Stock)*1),IF((Exercise-(vba_bs_result/Stock)*Stock)-F70&lt;-(vba_bs_result/Stock)*Stock,-(vba_bs_result/Stock)*Stock,(Exercise-(vba_bs_result/Stock)*Stock)-F70))</f>
        <v>-45.869441523521544</v>
      </c>
    </row>
    <row r="71" spans="5:7" ht="15.75" customHeight="1">
      <c r="E71" s="11">
        <f t="shared" si="1"/>
        <v>-32</v>
      </c>
      <c r="F71" s="39">
        <f t="shared" si="2"/>
        <v>78.132000000000005</v>
      </c>
      <c r="G71" s="118">
        <f>IF([0]!bs_option_type="Call",IF(((F71-Stock-(vba_bs_result/Stock)*Stock))&lt;-(vba_bs_result/Stock)*Stock,-(vba_bs_result/Stock)*Stock,(F71-Stock-(vba_bs_result/Stock)*Stock)*1),IF((Exercise-(vba_bs_result/Stock)*Stock)-F71&lt;-(vba_bs_result/Stock)*Stock,-(vba_bs_result/Stock)*Stock,(Exercise-(vba_bs_result/Stock)*Stock)-F71))</f>
        <v>-45.869441523521544</v>
      </c>
    </row>
    <row r="72" spans="5:7" ht="15.75" customHeight="1">
      <c r="E72" s="11">
        <f t="shared" si="1"/>
        <v>-31</v>
      </c>
      <c r="F72" s="39">
        <f t="shared" si="2"/>
        <v>79.281000000000006</v>
      </c>
      <c r="G72" s="118">
        <f>IF([0]!bs_option_type="Call",IF(((F72-Stock-(vba_bs_result/Stock)*Stock))&lt;-(vba_bs_result/Stock)*Stock,-(vba_bs_result/Stock)*Stock,(F72-Stock-(vba_bs_result/Stock)*Stock)*1),IF((Exercise-(vba_bs_result/Stock)*Stock)-F72&lt;-(vba_bs_result/Stock)*Stock,-(vba_bs_result/Stock)*Stock,(Exercise-(vba_bs_result/Stock)*Stock)-F72))</f>
        <v>-45.869441523521544</v>
      </c>
    </row>
    <row r="73" spans="5:7" ht="15.75" customHeight="1">
      <c r="E73" s="11">
        <f t="shared" si="1"/>
        <v>-30</v>
      </c>
      <c r="F73" s="39">
        <f t="shared" si="2"/>
        <v>80.430000000000007</v>
      </c>
      <c r="G73" s="118">
        <f>IF([0]!bs_option_type="Call",IF(((F73-Stock-(vba_bs_result/Stock)*Stock))&lt;-(vba_bs_result/Stock)*Stock,-(vba_bs_result/Stock)*Stock,(F73-Stock-(vba_bs_result/Stock)*Stock)*1),IF((Exercise-(vba_bs_result/Stock)*Stock)-F73&lt;-(vba_bs_result/Stock)*Stock,-(vba_bs_result/Stock)*Stock,(Exercise-(vba_bs_result/Stock)*Stock)-F73))</f>
        <v>-45.869441523521544</v>
      </c>
    </row>
    <row r="74" spans="5:7" ht="15.75" customHeight="1">
      <c r="E74" s="11">
        <f t="shared" si="1"/>
        <v>-29</v>
      </c>
      <c r="F74" s="39">
        <f t="shared" si="2"/>
        <v>81.579000000000008</v>
      </c>
      <c r="G74" s="118">
        <f>IF([0]!bs_option_type="Call",IF(((F74-Stock-(vba_bs_result/Stock)*Stock))&lt;-(vba_bs_result/Stock)*Stock,-(vba_bs_result/Stock)*Stock,(F74-Stock-(vba_bs_result/Stock)*Stock)*1),IF((Exercise-(vba_bs_result/Stock)*Stock)-F74&lt;-(vba_bs_result/Stock)*Stock,-(vba_bs_result/Stock)*Stock,(Exercise-(vba_bs_result/Stock)*Stock)-F74))</f>
        <v>-45.869441523521544</v>
      </c>
    </row>
    <row r="75" spans="5:7" ht="15.75" customHeight="1">
      <c r="E75" s="11">
        <f t="shared" si="1"/>
        <v>-28</v>
      </c>
      <c r="F75" s="39">
        <f t="shared" si="2"/>
        <v>82.728000000000009</v>
      </c>
      <c r="G75" s="118">
        <f>IF([0]!bs_option_type="Call",IF(((F75-Stock-(vba_bs_result/Stock)*Stock))&lt;-(vba_bs_result/Stock)*Stock,-(vba_bs_result/Stock)*Stock,(F75-Stock-(vba_bs_result/Stock)*Stock)*1),IF((Exercise-(vba_bs_result/Stock)*Stock)-F75&lt;-(vba_bs_result/Stock)*Stock,-(vba_bs_result/Stock)*Stock,(Exercise-(vba_bs_result/Stock)*Stock)-F75))</f>
        <v>-45.869441523521544</v>
      </c>
    </row>
    <row r="76" spans="5:7" ht="15.75" customHeight="1">
      <c r="E76" s="11">
        <f t="shared" si="1"/>
        <v>-27</v>
      </c>
      <c r="F76" s="39">
        <f t="shared" si="2"/>
        <v>83.87700000000001</v>
      </c>
      <c r="G76" s="118">
        <f>IF([0]!bs_option_type="Call",IF(((F76-Stock-(vba_bs_result/Stock)*Stock))&lt;-(vba_bs_result/Stock)*Stock,-(vba_bs_result/Stock)*Stock,(F76-Stock-(vba_bs_result/Stock)*Stock)*1),IF((Exercise-(vba_bs_result/Stock)*Stock)-F76&lt;-(vba_bs_result/Stock)*Stock,-(vba_bs_result/Stock)*Stock,(Exercise-(vba_bs_result/Stock)*Stock)-F76))</f>
        <v>-45.869441523521544</v>
      </c>
    </row>
    <row r="77" spans="5:7" ht="15.75" customHeight="1">
      <c r="E77" s="11">
        <f t="shared" si="1"/>
        <v>-26</v>
      </c>
      <c r="F77" s="39">
        <f t="shared" si="2"/>
        <v>85.02600000000001</v>
      </c>
      <c r="G77" s="118">
        <f>IF([0]!bs_option_type="Call",IF(((F77-Stock-(vba_bs_result/Stock)*Stock))&lt;-(vba_bs_result/Stock)*Stock,-(vba_bs_result/Stock)*Stock,(F77-Stock-(vba_bs_result/Stock)*Stock)*1),IF((Exercise-(vba_bs_result/Stock)*Stock)-F77&lt;-(vba_bs_result/Stock)*Stock,-(vba_bs_result/Stock)*Stock,(Exercise-(vba_bs_result/Stock)*Stock)-F77))</f>
        <v>-45.869441523521544</v>
      </c>
    </row>
    <row r="78" spans="5:7" ht="15.75" customHeight="1">
      <c r="E78" s="11">
        <f t="shared" si="1"/>
        <v>-25</v>
      </c>
      <c r="F78" s="39">
        <f t="shared" si="2"/>
        <v>86.175000000000011</v>
      </c>
      <c r="G78" s="118">
        <f>IF([0]!bs_option_type="Call",IF(((F78-Stock-(vba_bs_result/Stock)*Stock))&lt;-(vba_bs_result/Stock)*Stock,-(vba_bs_result/Stock)*Stock,(F78-Stock-(vba_bs_result/Stock)*Stock)*1),IF((Exercise-(vba_bs_result/Stock)*Stock)-F78&lt;-(vba_bs_result/Stock)*Stock,-(vba_bs_result/Stock)*Stock,(Exercise-(vba_bs_result/Stock)*Stock)-F78))</f>
        <v>-45.869441523521544</v>
      </c>
    </row>
    <row r="79" spans="5:7" ht="15.75" customHeight="1">
      <c r="E79" s="11">
        <f t="shared" si="1"/>
        <v>-24</v>
      </c>
      <c r="F79" s="39">
        <f t="shared" si="2"/>
        <v>87.324000000000012</v>
      </c>
      <c r="G79" s="118">
        <f>IF([0]!bs_option_type="Call",IF(((F79-Stock-(vba_bs_result/Stock)*Stock))&lt;-(vba_bs_result/Stock)*Stock,-(vba_bs_result/Stock)*Stock,(F79-Stock-(vba_bs_result/Stock)*Stock)*1),IF((Exercise-(vba_bs_result/Stock)*Stock)-F79&lt;-(vba_bs_result/Stock)*Stock,-(vba_bs_result/Stock)*Stock,(Exercise-(vba_bs_result/Stock)*Stock)-F79))</f>
        <v>-45.869441523521544</v>
      </c>
    </row>
    <row r="80" spans="5:7" ht="15.75" customHeight="1">
      <c r="E80" s="11">
        <f t="shared" si="1"/>
        <v>-23</v>
      </c>
      <c r="F80" s="39">
        <f t="shared" si="2"/>
        <v>88.472999999999999</v>
      </c>
      <c r="G80" s="118">
        <f>IF([0]!bs_option_type="Call",IF(((F80-Stock-(vba_bs_result/Stock)*Stock))&lt;-(vba_bs_result/Stock)*Stock,-(vba_bs_result/Stock)*Stock,(F80-Stock-(vba_bs_result/Stock)*Stock)*1),IF((Exercise-(vba_bs_result/Stock)*Stock)-F80&lt;-(vba_bs_result/Stock)*Stock,-(vba_bs_result/Stock)*Stock,(Exercise-(vba_bs_result/Stock)*Stock)-F80))</f>
        <v>-45.869441523521544</v>
      </c>
    </row>
    <row r="81" spans="5:7" ht="15.75" customHeight="1">
      <c r="E81" s="11">
        <f t="shared" si="1"/>
        <v>-22</v>
      </c>
      <c r="F81" s="39">
        <f t="shared" si="2"/>
        <v>89.622</v>
      </c>
      <c r="G81" s="118">
        <f>IF([0]!bs_option_type="Call",IF(((F81-Stock-(vba_bs_result/Stock)*Stock))&lt;-(vba_bs_result/Stock)*Stock,-(vba_bs_result/Stock)*Stock,(F81-Stock-(vba_bs_result/Stock)*Stock)*1),IF((Exercise-(vba_bs_result/Stock)*Stock)-F81&lt;-(vba_bs_result/Stock)*Stock,-(vba_bs_result/Stock)*Stock,(Exercise-(vba_bs_result/Stock)*Stock)-F81))</f>
        <v>-45.869441523521544</v>
      </c>
    </row>
    <row r="82" spans="5:7" ht="15.75" customHeight="1">
      <c r="E82" s="11">
        <f t="shared" si="1"/>
        <v>-21</v>
      </c>
      <c r="F82" s="39">
        <f t="shared" si="2"/>
        <v>90.771000000000001</v>
      </c>
      <c r="G82" s="118">
        <f>IF([0]!bs_option_type="Call",IF(((F82-Stock-(vba_bs_result/Stock)*Stock))&lt;-(vba_bs_result/Stock)*Stock,-(vba_bs_result/Stock)*Stock,(F82-Stock-(vba_bs_result/Stock)*Stock)*1),IF((Exercise-(vba_bs_result/Stock)*Stock)-F82&lt;-(vba_bs_result/Stock)*Stock,-(vba_bs_result/Stock)*Stock,(Exercise-(vba_bs_result/Stock)*Stock)-F82))</f>
        <v>-45.869441523521544</v>
      </c>
    </row>
    <row r="83" spans="5:7" ht="15.75" customHeight="1">
      <c r="E83" s="11">
        <f t="shared" si="1"/>
        <v>-20</v>
      </c>
      <c r="F83" s="39">
        <f t="shared" si="2"/>
        <v>91.92</v>
      </c>
      <c r="G83" s="118">
        <f>IF([0]!bs_option_type="Call",IF(((F83-Stock-(vba_bs_result/Stock)*Stock))&lt;-(vba_bs_result/Stock)*Stock,-(vba_bs_result/Stock)*Stock,(F83-Stock-(vba_bs_result/Stock)*Stock)*1),IF((Exercise-(vba_bs_result/Stock)*Stock)-F83&lt;-(vba_bs_result/Stock)*Stock,-(vba_bs_result/Stock)*Stock,(Exercise-(vba_bs_result/Stock)*Stock)-F83))</f>
        <v>-45.869441523521544</v>
      </c>
    </row>
    <row r="84" spans="5:7" ht="15.75" customHeight="1">
      <c r="E84" s="11">
        <f t="shared" si="1"/>
        <v>-19</v>
      </c>
      <c r="F84" s="39">
        <f t="shared" si="2"/>
        <v>93.069000000000003</v>
      </c>
      <c r="G84" s="118">
        <f>IF([0]!bs_option_type="Call",IF(((F84-Stock-(vba_bs_result/Stock)*Stock))&lt;-(vba_bs_result/Stock)*Stock,-(vba_bs_result/Stock)*Stock,(F84-Stock-(vba_bs_result/Stock)*Stock)*1),IF((Exercise-(vba_bs_result/Stock)*Stock)-F84&lt;-(vba_bs_result/Stock)*Stock,-(vba_bs_result/Stock)*Stock,(Exercise-(vba_bs_result/Stock)*Stock)-F84))</f>
        <v>-45.869441523521544</v>
      </c>
    </row>
    <row r="85" spans="5:7" ht="15.75" customHeight="1">
      <c r="E85" s="11">
        <f t="shared" si="1"/>
        <v>-18</v>
      </c>
      <c r="F85" s="39">
        <f t="shared" si="2"/>
        <v>94.218000000000004</v>
      </c>
      <c r="G85" s="118">
        <f>IF([0]!bs_option_type="Call",IF(((F85-Stock-(vba_bs_result/Stock)*Stock))&lt;-(vba_bs_result/Stock)*Stock,-(vba_bs_result/Stock)*Stock,(F85-Stock-(vba_bs_result/Stock)*Stock)*1),IF((Exercise-(vba_bs_result/Stock)*Stock)-F85&lt;-(vba_bs_result/Stock)*Stock,-(vba_bs_result/Stock)*Stock,(Exercise-(vba_bs_result/Stock)*Stock)-F85))</f>
        <v>-45.869441523521544</v>
      </c>
    </row>
    <row r="86" spans="5:7" ht="15.75" customHeight="1">
      <c r="E86" s="11">
        <f t="shared" si="1"/>
        <v>-17</v>
      </c>
      <c r="F86" s="39">
        <f t="shared" si="2"/>
        <v>95.367000000000004</v>
      </c>
      <c r="G86" s="118">
        <f>IF([0]!bs_option_type="Call",IF(((F86-Stock-(vba_bs_result/Stock)*Stock))&lt;-(vba_bs_result/Stock)*Stock,-(vba_bs_result/Stock)*Stock,(F86-Stock-(vba_bs_result/Stock)*Stock)*1),IF((Exercise-(vba_bs_result/Stock)*Stock)-F86&lt;-(vba_bs_result/Stock)*Stock,-(vba_bs_result/Stock)*Stock,(Exercise-(vba_bs_result/Stock)*Stock)-F86))</f>
        <v>-45.869441523521544</v>
      </c>
    </row>
    <row r="87" spans="5:7" ht="15.75" customHeight="1">
      <c r="E87" s="11">
        <f t="shared" si="1"/>
        <v>-16</v>
      </c>
      <c r="F87" s="39">
        <f t="shared" si="2"/>
        <v>96.516000000000005</v>
      </c>
      <c r="G87" s="118">
        <f>IF([0]!bs_option_type="Call",IF(((F87-Stock-(vba_bs_result/Stock)*Stock))&lt;-(vba_bs_result/Stock)*Stock,-(vba_bs_result/Stock)*Stock,(F87-Stock-(vba_bs_result/Stock)*Stock)*1),IF((Exercise-(vba_bs_result/Stock)*Stock)-F87&lt;-(vba_bs_result/Stock)*Stock,-(vba_bs_result/Stock)*Stock,(Exercise-(vba_bs_result/Stock)*Stock)-F87))</f>
        <v>-45.869441523521544</v>
      </c>
    </row>
    <row r="88" spans="5:7" ht="15.75" customHeight="1">
      <c r="E88" s="11">
        <f t="shared" si="1"/>
        <v>-15</v>
      </c>
      <c r="F88" s="39">
        <f t="shared" si="2"/>
        <v>97.665000000000006</v>
      </c>
      <c r="G88" s="118">
        <f>IF([0]!bs_option_type="Call",IF(((F88-Stock-(vba_bs_result/Stock)*Stock))&lt;-(vba_bs_result/Stock)*Stock,-(vba_bs_result/Stock)*Stock,(F88-Stock-(vba_bs_result/Stock)*Stock)*1),IF((Exercise-(vba_bs_result/Stock)*Stock)-F88&lt;-(vba_bs_result/Stock)*Stock,-(vba_bs_result/Stock)*Stock,(Exercise-(vba_bs_result/Stock)*Stock)-F88))</f>
        <v>-45.869441523521544</v>
      </c>
    </row>
    <row r="89" spans="5:7" ht="15.75" customHeight="1">
      <c r="E89" s="11">
        <f t="shared" si="1"/>
        <v>-14</v>
      </c>
      <c r="F89" s="39">
        <f t="shared" si="2"/>
        <v>98.814000000000007</v>
      </c>
      <c r="G89" s="118">
        <f>IF([0]!bs_option_type="Call",IF(((F89-Stock-(vba_bs_result/Stock)*Stock))&lt;-(vba_bs_result/Stock)*Stock,-(vba_bs_result/Stock)*Stock,(F89-Stock-(vba_bs_result/Stock)*Stock)*1),IF((Exercise-(vba_bs_result/Stock)*Stock)-F89&lt;-(vba_bs_result/Stock)*Stock,-(vba_bs_result/Stock)*Stock,(Exercise-(vba_bs_result/Stock)*Stock)-F89))</f>
        <v>-45.869441523521544</v>
      </c>
    </row>
    <row r="90" spans="5:7" ht="15.75" customHeight="1">
      <c r="E90" s="11">
        <f t="shared" si="1"/>
        <v>-13</v>
      </c>
      <c r="F90" s="39">
        <f t="shared" si="2"/>
        <v>99.963000000000008</v>
      </c>
      <c r="G90" s="118">
        <f>IF([0]!bs_option_type="Call",IF(((F90-Stock-(vba_bs_result/Stock)*Stock))&lt;-(vba_bs_result/Stock)*Stock,-(vba_bs_result/Stock)*Stock,(F90-Stock-(vba_bs_result/Stock)*Stock)*1),IF((Exercise-(vba_bs_result/Stock)*Stock)-F90&lt;-(vba_bs_result/Stock)*Stock,-(vba_bs_result/Stock)*Stock,(Exercise-(vba_bs_result/Stock)*Stock)-F90))</f>
        <v>-45.869441523521544</v>
      </c>
    </row>
    <row r="91" spans="5:7" ht="15.75" customHeight="1">
      <c r="E91" s="11">
        <f t="shared" si="1"/>
        <v>-12</v>
      </c>
      <c r="F91" s="39">
        <f t="shared" si="2"/>
        <v>101.11200000000001</v>
      </c>
      <c r="G91" s="118">
        <f>IF([0]!bs_option_type="Call",IF(((F91-Stock-(vba_bs_result/Stock)*Stock))&lt;-(vba_bs_result/Stock)*Stock,-(vba_bs_result/Stock)*Stock,(F91-Stock-(vba_bs_result/Stock)*Stock)*1),IF((Exercise-(vba_bs_result/Stock)*Stock)-F91&lt;-(vba_bs_result/Stock)*Stock,-(vba_bs_result/Stock)*Stock,(Exercise-(vba_bs_result/Stock)*Stock)-F91))</f>
        <v>-45.869441523521544</v>
      </c>
    </row>
    <row r="92" spans="5:7" ht="15.75" customHeight="1">
      <c r="E92" s="11">
        <f t="shared" si="1"/>
        <v>-11</v>
      </c>
      <c r="F92" s="39">
        <f t="shared" si="2"/>
        <v>102.26100000000001</v>
      </c>
      <c r="G92" s="118">
        <f>IF([0]!bs_option_type="Call",IF(((F92-Stock-(vba_bs_result/Stock)*Stock))&lt;-(vba_bs_result/Stock)*Stock,-(vba_bs_result/Stock)*Stock,(F92-Stock-(vba_bs_result/Stock)*Stock)*1),IF((Exercise-(vba_bs_result/Stock)*Stock)-F92&lt;-(vba_bs_result/Stock)*Stock,-(vba_bs_result/Stock)*Stock,(Exercise-(vba_bs_result/Stock)*Stock)-F92))</f>
        <v>-45.869441523521544</v>
      </c>
    </row>
    <row r="93" spans="5:7" ht="15.75" customHeight="1">
      <c r="E93" s="11">
        <f t="shared" si="1"/>
        <v>-10</v>
      </c>
      <c r="F93" s="39">
        <f t="shared" si="2"/>
        <v>103.41</v>
      </c>
      <c r="G93" s="118">
        <f>IF([0]!bs_option_type="Call",IF(((F93-Stock-(vba_bs_result/Stock)*Stock))&lt;-(vba_bs_result/Stock)*Stock,-(vba_bs_result/Stock)*Stock,(F93-Stock-(vba_bs_result/Stock)*Stock)*1),IF((Exercise-(vba_bs_result/Stock)*Stock)-F93&lt;-(vba_bs_result/Stock)*Stock,-(vba_bs_result/Stock)*Stock,(Exercise-(vba_bs_result/Stock)*Stock)-F93))</f>
        <v>-45.869441523521544</v>
      </c>
    </row>
    <row r="94" spans="5:7" ht="15.75" customHeight="1">
      <c r="E94" s="11">
        <f t="shared" si="1"/>
        <v>-9</v>
      </c>
      <c r="F94" s="39">
        <f t="shared" si="2"/>
        <v>104.55900000000001</v>
      </c>
      <c r="G94" s="118">
        <f>IF([0]!bs_option_type="Call",IF(((F94-Stock-(vba_bs_result/Stock)*Stock))&lt;-(vba_bs_result/Stock)*Stock,-(vba_bs_result/Stock)*Stock,(F94-Stock-(vba_bs_result/Stock)*Stock)*1),IF((Exercise-(vba_bs_result/Stock)*Stock)-F94&lt;-(vba_bs_result/Stock)*Stock,-(vba_bs_result/Stock)*Stock,(Exercise-(vba_bs_result/Stock)*Stock)-F94))</f>
        <v>-45.869441523521544</v>
      </c>
    </row>
    <row r="95" spans="5:7" ht="15.75" customHeight="1">
      <c r="E95" s="11">
        <f t="shared" si="1"/>
        <v>-8</v>
      </c>
      <c r="F95" s="39">
        <f t="shared" si="2"/>
        <v>105.708</v>
      </c>
      <c r="G95" s="118">
        <f>IF([0]!bs_option_type="Call",IF(((F95-Stock-(vba_bs_result/Stock)*Stock))&lt;-(vba_bs_result/Stock)*Stock,-(vba_bs_result/Stock)*Stock,(F95-Stock-(vba_bs_result/Stock)*Stock)*1),IF((Exercise-(vba_bs_result/Stock)*Stock)-F95&lt;-(vba_bs_result/Stock)*Stock,-(vba_bs_result/Stock)*Stock,(Exercise-(vba_bs_result/Stock)*Stock)-F95))</f>
        <v>-45.869441523521544</v>
      </c>
    </row>
    <row r="96" spans="5:7" ht="15.75" customHeight="1">
      <c r="E96" s="11">
        <f t="shared" si="1"/>
        <v>-7</v>
      </c>
      <c r="F96" s="39">
        <f t="shared" si="2"/>
        <v>106.857</v>
      </c>
      <c r="G96" s="118">
        <f>IF([0]!bs_option_type="Call",IF(((F96-Stock-(vba_bs_result/Stock)*Stock))&lt;-(vba_bs_result/Stock)*Stock,-(vba_bs_result/Stock)*Stock,(F96-Stock-(vba_bs_result/Stock)*Stock)*1),IF((Exercise-(vba_bs_result/Stock)*Stock)-F96&lt;-(vba_bs_result/Stock)*Stock,-(vba_bs_result/Stock)*Stock,(Exercise-(vba_bs_result/Stock)*Stock)-F96))</f>
        <v>-45.869441523521544</v>
      </c>
    </row>
    <row r="97" spans="5:7" ht="15.75" customHeight="1">
      <c r="E97" s="11">
        <f t="shared" si="1"/>
        <v>-6</v>
      </c>
      <c r="F97" s="39">
        <f t="shared" si="2"/>
        <v>108.006</v>
      </c>
      <c r="G97" s="118">
        <f>IF([0]!bs_option_type="Call",IF(((F97-Stock-(vba_bs_result/Stock)*Stock))&lt;-(vba_bs_result/Stock)*Stock,-(vba_bs_result/Stock)*Stock,(F97-Stock-(vba_bs_result/Stock)*Stock)*1),IF((Exercise-(vba_bs_result/Stock)*Stock)-F97&lt;-(vba_bs_result/Stock)*Stock,-(vba_bs_result/Stock)*Stock,(Exercise-(vba_bs_result/Stock)*Stock)-F97))</f>
        <v>-45.869441523521544</v>
      </c>
    </row>
    <row r="98" spans="5:7" ht="15.75" customHeight="1">
      <c r="E98" s="11">
        <f t="shared" si="1"/>
        <v>-5</v>
      </c>
      <c r="F98" s="39">
        <f t="shared" si="2"/>
        <v>109.155</v>
      </c>
      <c r="G98" s="118">
        <f>IF([0]!bs_option_type="Call",IF(((F98-Stock-(vba_bs_result/Stock)*Stock))&lt;-(vba_bs_result/Stock)*Stock,-(vba_bs_result/Stock)*Stock,(F98-Stock-(vba_bs_result/Stock)*Stock)*1),IF((Exercise-(vba_bs_result/Stock)*Stock)-F98&lt;-(vba_bs_result/Stock)*Stock,-(vba_bs_result/Stock)*Stock,(Exercise-(vba_bs_result/Stock)*Stock)-F98))</f>
        <v>-45.869441523521544</v>
      </c>
    </row>
    <row r="99" spans="5:7" ht="15.75" customHeight="1">
      <c r="E99" s="11">
        <f t="shared" si="1"/>
        <v>-4</v>
      </c>
      <c r="F99" s="39">
        <f t="shared" si="2"/>
        <v>110.304</v>
      </c>
      <c r="G99" s="118">
        <f>IF([0]!bs_option_type="Call",IF(((F99-Stock-(vba_bs_result/Stock)*Stock))&lt;-(vba_bs_result/Stock)*Stock,-(vba_bs_result/Stock)*Stock,(F99-Stock-(vba_bs_result/Stock)*Stock)*1),IF((Exercise-(vba_bs_result/Stock)*Stock)-F99&lt;-(vba_bs_result/Stock)*Stock,-(vba_bs_result/Stock)*Stock,(Exercise-(vba_bs_result/Stock)*Stock)-F99))</f>
        <v>-45.869441523521544</v>
      </c>
    </row>
    <row r="100" spans="5:7" ht="15.75" customHeight="1">
      <c r="E100" s="11">
        <f t="shared" si="1"/>
        <v>-3</v>
      </c>
      <c r="F100" s="39">
        <f t="shared" si="2"/>
        <v>111.453</v>
      </c>
      <c r="G100" s="118">
        <f>IF([0]!bs_option_type="Call",IF(((F100-Stock-(vba_bs_result/Stock)*Stock))&lt;-(vba_bs_result/Stock)*Stock,-(vba_bs_result/Stock)*Stock,(F100-Stock-(vba_bs_result/Stock)*Stock)*1),IF((Exercise-(vba_bs_result/Stock)*Stock)-F100&lt;-(vba_bs_result/Stock)*Stock,-(vba_bs_result/Stock)*Stock,(Exercise-(vba_bs_result/Stock)*Stock)-F100))</f>
        <v>-45.869441523521544</v>
      </c>
    </row>
    <row r="101" spans="5:7" ht="15.75" customHeight="1">
      <c r="E101" s="11">
        <f t="shared" si="1"/>
        <v>-2</v>
      </c>
      <c r="F101" s="39">
        <f t="shared" si="2"/>
        <v>112.602</v>
      </c>
      <c r="G101" s="118">
        <f>IF([0]!bs_option_type="Call",IF(((F101-Stock-(vba_bs_result/Stock)*Stock))&lt;-(vba_bs_result/Stock)*Stock,-(vba_bs_result/Stock)*Stock,(F101-Stock-(vba_bs_result/Stock)*Stock)*1),IF((Exercise-(vba_bs_result/Stock)*Stock)-F101&lt;-(vba_bs_result/Stock)*Stock,-(vba_bs_result/Stock)*Stock,(Exercise-(vba_bs_result/Stock)*Stock)-F101))</f>
        <v>-45.869441523521544</v>
      </c>
    </row>
    <row r="102" spans="5:7" ht="15.75" customHeight="1">
      <c r="E102" s="11">
        <f t="shared" si="1"/>
        <v>-1</v>
      </c>
      <c r="F102" s="39">
        <f t="shared" si="2"/>
        <v>113.751</v>
      </c>
      <c r="G102" s="118">
        <f>IF([0]!bs_option_type="Call",IF(((F102-Stock-(vba_bs_result/Stock)*Stock))&lt;-(vba_bs_result/Stock)*Stock,-(vba_bs_result/Stock)*Stock,(F102-Stock-(vba_bs_result/Stock)*Stock)*1),IF((Exercise-(vba_bs_result/Stock)*Stock)-F102&lt;-(vba_bs_result/Stock)*Stock,-(vba_bs_result/Stock)*Stock,(Exercise-(vba_bs_result/Stock)*Stock)-F102))</f>
        <v>-45.869441523521544</v>
      </c>
    </row>
    <row r="103" spans="5:7" ht="15.75" customHeight="1">
      <c r="E103" s="11">
        <f t="shared" si="1"/>
        <v>0</v>
      </c>
      <c r="F103" s="39">
        <f t="shared" si="2"/>
        <v>114.9</v>
      </c>
      <c r="G103" s="118">
        <f>IF([0]!bs_option_type="Call",IF(((F103-Stock-(vba_bs_result/Stock)*Stock))&lt;-(vba_bs_result/Stock)*Stock,-(vba_bs_result/Stock)*Stock,(F103-Stock-(vba_bs_result/Stock)*Stock)*1),IF((Exercise-(vba_bs_result/Stock)*Stock)-F103&lt;-(vba_bs_result/Stock)*Stock,-(vba_bs_result/Stock)*Stock,(Exercise-(vba_bs_result/Stock)*Stock)-F103))</f>
        <v>-45.869441523521544</v>
      </c>
    </row>
    <row r="104" spans="5:7" ht="15.75" customHeight="1">
      <c r="E104" s="11">
        <f t="shared" si="1"/>
        <v>1</v>
      </c>
      <c r="F104" s="39">
        <f t="shared" si="2"/>
        <v>116.04900000000001</v>
      </c>
      <c r="G104" s="118">
        <f>IF([0]!bs_option_type="Call",IF(((F104-Stock-(vba_bs_result/Stock)*Stock))&lt;-(vba_bs_result/Stock)*Stock,-(vba_bs_result/Stock)*Stock,(F104-Stock-(vba_bs_result/Stock)*Stock)*1),IF((Exercise-(vba_bs_result/Stock)*Stock)-F104&lt;-(vba_bs_result/Stock)*Stock,-(vba_bs_result/Stock)*Stock,(Exercise-(vba_bs_result/Stock)*Stock)-F104))</f>
        <v>-44.720441523521544</v>
      </c>
    </row>
    <row r="105" spans="5:7" ht="15.75" customHeight="1">
      <c r="E105" s="11">
        <f t="shared" si="1"/>
        <v>2</v>
      </c>
      <c r="F105" s="39">
        <f t="shared" si="2"/>
        <v>117.19800000000001</v>
      </c>
      <c r="G105" s="118">
        <f>IF([0]!bs_option_type="Call",IF(((F105-Stock-(vba_bs_result/Stock)*Stock))&lt;-(vba_bs_result/Stock)*Stock,-(vba_bs_result/Stock)*Stock,(F105-Stock-(vba_bs_result/Stock)*Stock)*1),IF((Exercise-(vba_bs_result/Stock)*Stock)-F105&lt;-(vba_bs_result/Stock)*Stock,-(vba_bs_result/Stock)*Stock,(Exercise-(vba_bs_result/Stock)*Stock)-F105))</f>
        <v>-43.571441523521543</v>
      </c>
    </row>
    <row r="106" spans="5:7" ht="15.75" customHeight="1">
      <c r="E106" s="11">
        <f t="shared" si="1"/>
        <v>3</v>
      </c>
      <c r="F106" s="39">
        <f t="shared" si="2"/>
        <v>118.34700000000001</v>
      </c>
      <c r="G106" s="118">
        <f>IF([0]!bs_option_type="Call",IF(((F106-Stock-(vba_bs_result/Stock)*Stock))&lt;-(vba_bs_result/Stock)*Stock,-(vba_bs_result/Stock)*Stock,(F106-Stock-(vba_bs_result/Stock)*Stock)*1),IF((Exercise-(vba_bs_result/Stock)*Stock)-F106&lt;-(vba_bs_result/Stock)*Stock,-(vba_bs_result/Stock)*Stock,(Exercise-(vba_bs_result/Stock)*Stock)-F106))</f>
        <v>-42.422441523521542</v>
      </c>
    </row>
    <row r="107" spans="5:7" ht="15.75" customHeight="1">
      <c r="E107" s="11">
        <f t="shared" si="1"/>
        <v>4</v>
      </c>
      <c r="F107" s="39">
        <f t="shared" si="2"/>
        <v>119.49600000000001</v>
      </c>
      <c r="G107" s="118">
        <f>IF([0]!bs_option_type="Call",IF(((F107-Stock-(vba_bs_result/Stock)*Stock))&lt;-(vba_bs_result/Stock)*Stock,-(vba_bs_result/Stock)*Stock,(F107-Stock-(vba_bs_result/Stock)*Stock)*1),IF((Exercise-(vba_bs_result/Stock)*Stock)-F107&lt;-(vba_bs_result/Stock)*Stock,-(vba_bs_result/Stock)*Stock,(Exercise-(vba_bs_result/Stock)*Stock)-F107))</f>
        <v>-41.273441523521541</v>
      </c>
    </row>
    <row r="108" spans="5:7" ht="15.75" customHeight="1">
      <c r="E108" s="11">
        <f t="shared" si="1"/>
        <v>5</v>
      </c>
      <c r="F108" s="39">
        <f t="shared" si="2"/>
        <v>120.64500000000001</v>
      </c>
      <c r="G108" s="118">
        <f>IF([0]!bs_option_type="Call",IF(((F108-Stock-(vba_bs_result/Stock)*Stock))&lt;-(vba_bs_result/Stock)*Stock,-(vba_bs_result/Stock)*Stock,(F108-Stock-(vba_bs_result/Stock)*Stock)*1),IF((Exercise-(vba_bs_result/Stock)*Stock)-F108&lt;-(vba_bs_result/Stock)*Stock,-(vba_bs_result/Stock)*Stock,(Exercise-(vba_bs_result/Stock)*Stock)-F108))</f>
        <v>-40.12444152352154</v>
      </c>
    </row>
    <row r="109" spans="5:7" ht="15.75" customHeight="1">
      <c r="E109" s="11">
        <f t="shared" si="1"/>
        <v>6</v>
      </c>
      <c r="F109" s="39">
        <f t="shared" si="2"/>
        <v>121.79400000000001</v>
      </c>
      <c r="G109" s="118">
        <f>IF([0]!bs_option_type="Call",IF(((F109-Stock-(vba_bs_result/Stock)*Stock))&lt;-(vba_bs_result/Stock)*Stock,-(vba_bs_result/Stock)*Stock,(F109-Stock-(vba_bs_result/Stock)*Stock)*1),IF((Exercise-(vba_bs_result/Stock)*Stock)-F109&lt;-(vba_bs_result/Stock)*Stock,-(vba_bs_result/Stock)*Stock,(Exercise-(vba_bs_result/Stock)*Stock)-F109))</f>
        <v>-38.975441523521539</v>
      </c>
    </row>
    <row r="110" spans="5:7" ht="15.75" customHeight="1">
      <c r="E110" s="11">
        <f t="shared" si="1"/>
        <v>7</v>
      </c>
      <c r="F110" s="39">
        <f t="shared" si="2"/>
        <v>122.94300000000001</v>
      </c>
      <c r="G110" s="118">
        <f>IF([0]!bs_option_type="Call",IF(((F110-Stock-(vba_bs_result/Stock)*Stock))&lt;-(vba_bs_result/Stock)*Stock,-(vba_bs_result/Stock)*Stock,(F110-Stock-(vba_bs_result/Stock)*Stock)*1),IF((Exercise-(vba_bs_result/Stock)*Stock)-F110&lt;-(vba_bs_result/Stock)*Stock,-(vba_bs_result/Stock)*Stock,(Exercise-(vba_bs_result/Stock)*Stock)-F110))</f>
        <v>-37.826441523521538</v>
      </c>
    </row>
    <row r="111" spans="5:7" ht="15.75" customHeight="1">
      <c r="E111" s="11">
        <f t="shared" si="1"/>
        <v>8</v>
      </c>
      <c r="F111" s="39">
        <f t="shared" si="2"/>
        <v>124.09200000000001</v>
      </c>
      <c r="G111" s="118">
        <f>IF([0]!bs_option_type="Call",IF(((F111-Stock-(vba_bs_result/Stock)*Stock))&lt;-(vba_bs_result/Stock)*Stock,-(vba_bs_result/Stock)*Stock,(F111-Stock-(vba_bs_result/Stock)*Stock)*1),IF((Exercise-(vba_bs_result/Stock)*Stock)-F111&lt;-(vba_bs_result/Stock)*Stock,-(vba_bs_result/Stock)*Stock,(Exercise-(vba_bs_result/Stock)*Stock)-F111))</f>
        <v>-36.677441523521537</v>
      </c>
    </row>
    <row r="112" spans="5:7" ht="15.75" customHeight="1">
      <c r="E112" s="11">
        <f t="shared" si="1"/>
        <v>9</v>
      </c>
      <c r="F112" s="39">
        <f t="shared" si="2"/>
        <v>125.241</v>
      </c>
      <c r="G112" s="118">
        <f>IF([0]!bs_option_type="Call",IF(((F112-Stock-(vba_bs_result/Stock)*Stock))&lt;-(vba_bs_result/Stock)*Stock,-(vba_bs_result/Stock)*Stock,(F112-Stock-(vba_bs_result/Stock)*Stock)*1),IF((Exercise-(vba_bs_result/Stock)*Stock)-F112&lt;-(vba_bs_result/Stock)*Stock,-(vba_bs_result/Stock)*Stock,(Exercise-(vba_bs_result/Stock)*Stock)-F112))</f>
        <v>-35.52844152352155</v>
      </c>
    </row>
    <row r="113" spans="5:7" ht="15.75" customHeight="1">
      <c r="E113" s="11">
        <f t="shared" si="1"/>
        <v>10</v>
      </c>
      <c r="F113" s="39">
        <f t="shared" si="2"/>
        <v>126.39000000000001</v>
      </c>
      <c r="G113" s="118">
        <f>IF([0]!bs_option_type="Call",IF(((F113-Stock-(vba_bs_result/Stock)*Stock))&lt;-(vba_bs_result/Stock)*Stock,-(vba_bs_result/Stock)*Stock,(F113-Stock-(vba_bs_result/Stock)*Stock)*1),IF((Exercise-(vba_bs_result/Stock)*Stock)-F113&lt;-(vba_bs_result/Stock)*Stock,-(vba_bs_result/Stock)*Stock,(Exercise-(vba_bs_result/Stock)*Stock)-F113))</f>
        <v>-34.379441523521535</v>
      </c>
    </row>
    <row r="114" spans="5:7" ht="15.75" customHeight="1">
      <c r="E114" s="11">
        <f t="shared" si="1"/>
        <v>11</v>
      </c>
      <c r="F114" s="39">
        <f t="shared" si="2"/>
        <v>127.539</v>
      </c>
      <c r="G114" s="118">
        <f>IF([0]!bs_option_type="Call",IF(((F114-Stock-(vba_bs_result/Stock)*Stock))&lt;-(vba_bs_result/Stock)*Stock,-(vba_bs_result/Stock)*Stock,(F114-Stock-(vba_bs_result/Stock)*Stock)*1),IF((Exercise-(vba_bs_result/Stock)*Stock)-F114&lt;-(vba_bs_result/Stock)*Stock,-(vba_bs_result/Stock)*Stock,(Exercise-(vba_bs_result/Stock)*Stock)-F114))</f>
        <v>-33.230441523521549</v>
      </c>
    </row>
    <row r="115" spans="5:7" ht="15.75" customHeight="1">
      <c r="E115" s="11">
        <f t="shared" si="1"/>
        <v>12</v>
      </c>
      <c r="F115" s="39">
        <f t="shared" si="2"/>
        <v>128.68800000000002</v>
      </c>
      <c r="G115" s="118">
        <f>IF([0]!bs_option_type="Call",IF(((F115-Stock-(vba_bs_result/Stock)*Stock))&lt;-(vba_bs_result/Stock)*Stock,-(vba_bs_result/Stock)*Stock,(F115-Stock-(vba_bs_result/Stock)*Stock)*1),IF((Exercise-(vba_bs_result/Stock)*Stock)-F115&lt;-(vba_bs_result/Stock)*Stock,-(vba_bs_result/Stock)*Stock,(Exercise-(vba_bs_result/Stock)*Stock)-F115))</f>
        <v>-32.081441523521534</v>
      </c>
    </row>
    <row r="116" spans="5:7" ht="15.75" customHeight="1">
      <c r="E116" s="11">
        <f t="shared" si="1"/>
        <v>13</v>
      </c>
      <c r="F116" s="39">
        <f t="shared" si="2"/>
        <v>129.83700000000002</v>
      </c>
      <c r="G116" s="118">
        <f>IF([0]!bs_option_type="Call",IF(((F116-Stock-(vba_bs_result/Stock)*Stock))&lt;-(vba_bs_result/Stock)*Stock,-(vba_bs_result/Stock)*Stock,(F116-Stock-(vba_bs_result/Stock)*Stock)*1),IF((Exercise-(vba_bs_result/Stock)*Stock)-F116&lt;-(vba_bs_result/Stock)*Stock,-(vba_bs_result/Stock)*Stock,(Exercise-(vba_bs_result/Stock)*Stock)-F116))</f>
        <v>-30.932441523521533</v>
      </c>
    </row>
    <row r="117" spans="5:7" ht="15.75" customHeight="1">
      <c r="E117" s="11">
        <f t="shared" si="1"/>
        <v>14</v>
      </c>
      <c r="F117" s="39">
        <f t="shared" si="2"/>
        <v>130.98600000000002</v>
      </c>
      <c r="G117" s="118">
        <f>IF([0]!bs_option_type="Call",IF(((F117-Stock-(vba_bs_result/Stock)*Stock))&lt;-(vba_bs_result/Stock)*Stock,-(vba_bs_result/Stock)*Stock,(F117-Stock-(vba_bs_result/Stock)*Stock)*1),IF((Exercise-(vba_bs_result/Stock)*Stock)-F117&lt;-(vba_bs_result/Stock)*Stock,-(vba_bs_result/Stock)*Stock,(Exercise-(vba_bs_result/Stock)*Stock)-F117))</f>
        <v>-29.783441523521532</v>
      </c>
    </row>
    <row r="118" spans="5:7" ht="15.75" customHeight="1">
      <c r="E118" s="11">
        <f t="shared" si="1"/>
        <v>15</v>
      </c>
      <c r="F118" s="39">
        <f t="shared" si="2"/>
        <v>132.13499999999999</v>
      </c>
      <c r="G118" s="118">
        <f>IF([0]!bs_option_type="Call",IF(((F118-Stock-(vba_bs_result/Stock)*Stock))&lt;-(vba_bs_result/Stock)*Stock,-(vba_bs_result/Stock)*Stock,(F118-Stock-(vba_bs_result/Stock)*Stock)*1),IF((Exercise-(vba_bs_result/Stock)*Stock)-F118&lt;-(vba_bs_result/Stock)*Stock,-(vba_bs_result/Stock)*Stock,(Exercise-(vba_bs_result/Stock)*Stock)-F118))</f>
        <v>-28.634441523521559</v>
      </c>
    </row>
    <row r="119" spans="5:7" ht="15.75" customHeight="1">
      <c r="E119" s="11">
        <f t="shared" si="1"/>
        <v>16</v>
      </c>
      <c r="F119" s="39">
        <f t="shared" si="2"/>
        <v>133.28399999999999</v>
      </c>
      <c r="G119" s="118">
        <f>IF([0]!bs_option_type="Call",IF(((F119-Stock-(vba_bs_result/Stock)*Stock))&lt;-(vba_bs_result/Stock)*Stock,-(vba_bs_result/Stock)*Stock,(F119-Stock-(vba_bs_result/Stock)*Stock)*1),IF((Exercise-(vba_bs_result/Stock)*Stock)-F119&lt;-(vba_bs_result/Stock)*Stock,-(vba_bs_result/Stock)*Stock,(Exercise-(vba_bs_result/Stock)*Stock)-F119))</f>
        <v>-27.485441523521558</v>
      </c>
    </row>
    <row r="120" spans="5:7" ht="15.75" customHeight="1">
      <c r="E120" s="11">
        <f t="shared" si="1"/>
        <v>17</v>
      </c>
      <c r="F120" s="39">
        <f t="shared" si="2"/>
        <v>134.43299999999999</v>
      </c>
      <c r="G120" s="118">
        <f>IF([0]!bs_option_type="Call",IF(((F120-Stock-(vba_bs_result/Stock)*Stock))&lt;-(vba_bs_result/Stock)*Stock,-(vba_bs_result/Stock)*Stock,(F120-Stock-(vba_bs_result/Stock)*Stock)*1),IF((Exercise-(vba_bs_result/Stock)*Stock)-F120&lt;-(vba_bs_result/Stock)*Stock,-(vba_bs_result/Stock)*Stock,(Exercise-(vba_bs_result/Stock)*Stock)-F120))</f>
        <v>-26.336441523521557</v>
      </c>
    </row>
    <row r="121" spans="5:7" ht="15.75" customHeight="1">
      <c r="E121" s="11">
        <f t="shared" si="1"/>
        <v>18</v>
      </c>
      <c r="F121" s="39">
        <f t="shared" si="2"/>
        <v>135.58199999999999</v>
      </c>
      <c r="G121" s="118">
        <f>IF([0]!bs_option_type="Call",IF(((F121-Stock-(vba_bs_result/Stock)*Stock))&lt;-(vba_bs_result/Stock)*Stock,-(vba_bs_result/Stock)*Stock,(F121-Stock-(vba_bs_result/Stock)*Stock)*1),IF((Exercise-(vba_bs_result/Stock)*Stock)-F121&lt;-(vba_bs_result/Stock)*Stock,-(vba_bs_result/Stock)*Stock,(Exercise-(vba_bs_result/Stock)*Stock)-F121))</f>
        <v>-25.187441523521557</v>
      </c>
    </row>
    <row r="122" spans="5:7" ht="15.75" customHeight="1">
      <c r="E122" s="11">
        <f t="shared" si="1"/>
        <v>19</v>
      </c>
      <c r="F122" s="39">
        <f t="shared" si="2"/>
        <v>136.73099999999999</v>
      </c>
      <c r="G122" s="118">
        <f>IF([0]!bs_option_type="Call",IF(((F122-Stock-(vba_bs_result/Stock)*Stock))&lt;-(vba_bs_result/Stock)*Stock,-(vba_bs_result/Stock)*Stock,(F122-Stock-(vba_bs_result/Stock)*Stock)*1),IF((Exercise-(vba_bs_result/Stock)*Stock)-F122&lt;-(vba_bs_result/Stock)*Stock,-(vba_bs_result/Stock)*Stock,(Exercise-(vba_bs_result/Stock)*Stock)-F122))</f>
        <v>-24.038441523521556</v>
      </c>
    </row>
    <row r="123" spans="5:7" ht="15.75" customHeight="1">
      <c r="E123" s="11">
        <f t="shared" si="1"/>
        <v>20</v>
      </c>
      <c r="F123" s="39">
        <f t="shared" si="2"/>
        <v>137.88</v>
      </c>
      <c r="G123" s="118">
        <f>IF([0]!bs_option_type="Call",IF(((F123-Stock-(vba_bs_result/Stock)*Stock))&lt;-(vba_bs_result/Stock)*Stock,-(vba_bs_result/Stock)*Stock,(F123-Stock-(vba_bs_result/Stock)*Stock)*1),IF((Exercise-(vba_bs_result/Stock)*Stock)-F123&lt;-(vba_bs_result/Stock)*Stock,-(vba_bs_result/Stock)*Stock,(Exercise-(vba_bs_result/Stock)*Stock)-F123))</f>
        <v>-22.889441523521555</v>
      </c>
    </row>
    <row r="124" spans="5:7" ht="15.75" customHeight="1">
      <c r="E124" s="11">
        <f t="shared" si="1"/>
        <v>21</v>
      </c>
      <c r="F124" s="39">
        <f t="shared" si="2"/>
        <v>139.029</v>
      </c>
      <c r="G124" s="118">
        <f>IF([0]!bs_option_type="Call",IF(((F124-Stock-(vba_bs_result/Stock)*Stock))&lt;-(vba_bs_result/Stock)*Stock,-(vba_bs_result/Stock)*Stock,(F124-Stock-(vba_bs_result/Stock)*Stock)*1),IF((Exercise-(vba_bs_result/Stock)*Stock)-F124&lt;-(vba_bs_result/Stock)*Stock,-(vba_bs_result/Stock)*Stock,(Exercise-(vba_bs_result/Stock)*Stock)-F124))</f>
        <v>-21.740441523521554</v>
      </c>
    </row>
    <row r="125" spans="5:7" ht="15.75" customHeight="1">
      <c r="E125" s="11">
        <f t="shared" si="1"/>
        <v>22</v>
      </c>
      <c r="F125" s="39">
        <f t="shared" si="2"/>
        <v>140.178</v>
      </c>
      <c r="G125" s="118">
        <f>IF([0]!bs_option_type="Call",IF(((F125-Stock-(vba_bs_result/Stock)*Stock))&lt;-(vba_bs_result/Stock)*Stock,-(vba_bs_result/Stock)*Stock,(F125-Stock-(vba_bs_result/Stock)*Stock)*1),IF((Exercise-(vba_bs_result/Stock)*Stock)-F125&lt;-(vba_bs_result/Stock)*Stock,-(vba_bs_result/Stock)*Stock,(Exercise-(vba_bs_result/Stock)*Stock)-F125))</f>
        <v>-20.591441523521553</v>
      </c>
    </row>
    <row r="126" spans="5:7" ht="15.75" customHeight="1">
      <c r="E126" s="11">
        <f t="shared" si="1"/>
        <v>23</v>
      </c>
      <c r="F126" s="39">
        <f t="shared" si="2"/>
        <v>141.327</v>
      </c>
      <c r="G126" s="118">
        <f>IF([0]!bs_option_type="Call",IF(((F126-Stock-(vba_bs_result/Stock)*Stock))&lt;-(vba_bs_result/Stock)*Stock,-(vba_bs_result/Stock)*Stock,(F126-Stock-(vba_bs_result/Stock)*Stock)*1),IF((Exercise-(vba_bs_result/Stock)*Stock)-F126&lt;-(vba_bs_result/Stock)*Stock,-(vba_bs_result/Stock)*Stock,(Exercise-(vba_bs_result/Stock)*Stock)-F126))</f>
        <v>-19.442441523521552</v>
      </c>
    </row>
    <row r="127" spans="5:7" ht="15.75" customHeight="1">
      <c r="E127" s="11">
        <f t="shared" si="1"/>
        <v>24</v>
      </c>
      <c r="F127" s="39">
        <f t="shared" si="2"/>
        <v>142.476</v>
      </c>
      <c r="G127" s="118">
        <f>IF([0]!bs_option_type="Call",IF(((F127-Stock-(vba_bs_result/Stock)*Stock))&lt;-(vba_bs_result/Stock)*Stock,-(vba_bs_result/Stock)*Stock,(F127-Stock-(vba_bs_result/Stock)*Stock)*1),IF((Exercise-(vba_bs_result/Stock)*Stock)-F127&lt;-(vba_bs_result/Stock)*Stock,-(vba_bs_result/Stock)*Stock,(Exercise-(vba_bs_result/Stock)*Stock)-F127))</f>
        <v>-18.293441523521551</v>
      </c>
    </row>
    <row r="128" spans="5:7" ht="15.75" customHeight="1">
      <c r="E128" s="11">
        <f t="shared" si="1"/>
        <v>25</v>
      </c>
      <c r="F128" s="39">
        <f t="shared" si="2"/>
        <v>143.625</v>
      </c>
      <c r="G128" s="118">
        <f>IF([0]!bs_option_type="Call",IF(((F128-Stock-(vba_bs_result/Stock)*Stock))&lt;-(vba_bs_result/Stock)*Stock,-(vba_bs_result/Stock)*Stock,(F128-Stock-(vba_bs_result/Stock)*Stock)*1),IF((Exercise-(vba_bs_result/Stock)*Stock)-F128&lt;-(vba_bs_result/Stock)*Stock,-(vba_bs_result/Stock)*Stock,(Exercise-(vba_bs_result/Stock)*Stock)-F128))</f>
        <v>-17.14444152352155</v>
      </c>
    </row>
    <row r="129" spans="5:7" ht="15.75" customHeight="1">
      <c r="E129" s="11">
        <f t="shared" si="1"/>
        <v>26</v>
      </c>
      <c r="F129" s="39">
        <f t="shared" si="2"/>
        <v>144.774</v>
      </c>
      <c r="G129" s="118">
        <f>IF([0]!bs_option_type="Call",IF(((F129-Stock-(vba_bs_result/Stock)*Stock))&lt;-(vba_bs_result/Stock)*Stock,-(vba_bs_result/Stock)*Stock,(F129-Stock-(vba_bs_result/Stock)*Stock)*1),IF((Exercise-(vba_bs_result/Stock)*Stock)-F129&lt;-(vba_bs_result/Stock)*Stock,-(vba_bs_result/Stock)*Stock,(Exercise-(vba_bs_result/Stock)*Stock)-F129))</f>
        <v>-15.995441523521549</v>
      </c>
    </row>
    <row r="130" spans="5:7" ht="15.75" customHeight="1">
      <c r="E130" s="11">
        <f t="shared" si="1"/>
        <v>27</v>
      </c>
      <c r="F130" s="39">
        <f t="shared" si="2"/>
        <v>145.923</v>
      </c>
      <c r="G130" s="118">
        <f>IF([0]!bs_option_type="Call",IF(((F130-Stock-(vba_bs_result/Stock)*Stock))&lt;-(vba_bs_result/Stock)*Stock,-(vba_bs_result/Stock)*Stock,(F130-Stock-(vba_bs_result/Stock)*Stock)*1),IF((Exercise-(vba_bs_result/Stock)*Stock)-F130&lt;-(vba_bs_result/Stock)*Stock,-(vba_bs_result/Stock)*Stock,(Exercise-(vba_bs_result/Stock)*Stock)-F130))</f>
        <v>-14.846441523521548</v>
      </c>
    </row>
    <row r="131" spans="5:7" ht="15.75" customHeight="1">
      <c r="E131" s="11">
        <f t="shared" si="1"/>
        <v>28</v>
      </c>
      <c r="F131" s="39">
        <f t="shared" ref="F131:F194" si="3">Stock+(E131/100)*Stock</f>
        <v>147.072</v>
      </c>
      <c r="G131" s="118">
        <f>IF([0]!bs_option_type="Call",IF(((F131-Stock-(vba_bs_result/Stock)*Stock))&lt;-(vba_bs_result/Stock)*Stock,-(vba_bs_result/Stock)*Stock,(F131-Stock-(vba_bs_result/Stock)*Stock)*1),IF((Exercise-(vba_bs_result/Stock)*Stock)-F131&lt;-(vba_bs_result/Stock)*Stock,-(vba_bs_result/Stock)*Stock,(Exercise-(vba_bs_result/Stock)*Stock)-F131))</f>
        <v>-13.697441523521547</v>
      </c>
    </row>
    <row r="132" spans="5:7" ht="15.75" customHeight="1">
      <c r="E132" s="11">
        <f t="shared" si="1"/>
        <v>29</v>
      </c>
      <c r="F132" s="39">
        <f t="shared" si="3"/>
        <v>148.221</v>
      </c>
      <c r="G132" s="118">
        <f>IF([0]!bs_option_type="Call",IF(((F132-Stock-(vba_bs_result/Stock)*Stock))&lt;-(vba_bs_result/Stock)*Stock,-(vba_bs_result/Stock)*Stock,(F132-Stock-(vba_bs_result/Stock)*Stock)*1),IF((Exercise-(vba_bs_result/Stock)*Stock)-F132&lt;-(vba_bs_result/Stock)*Stock,-(vba_bs_result/Stock)*Stock,(Exercise-(vba_bs_result/Stock)*Stock)-F132))</f>
        <v>-12.548441523521547</v>
      </c>
    </row>
    <row r="133" spans="5:7" ht="15.75" customHeight="1">
      <c r="E133" s="11">
        <f t="shared" si="1"/>
        <v>30</v>
      </c>
      <c r="F133" s="39">
        <f t="shared" si="3"/>
        <v>149.37</v>
      </c>
      <c r="G133" s="118">
        <f>IF([0]!bs_option_type="Call",IF(((F133-Stock-(vba_bs_result/Stock)*Stock))&lt;-(vba_bs_result/Stock)*Stock,-(vba_bs_result/Stock)*Stock,(F133-Stock-(vba_bs_result/Stock)*Stock)*1),IF((Exercise-(vba_bs_result/Stock)*Stock)-F133&lt;-(vba_bs_result/Stock)*Stock,-(vba_bs_result/Stock)*Stock,(Exercise-(vba_bs_result/Stock)*Stock)-F133))</f>
        <v>-11.399441523521546</v>
      </c>
    </row>
    <row r="134" spans="5:7" ht="15.75" customHeight="1">
      <c r="E134" s="11">
        <f t="shared" si="1"/>
        <v>31</v>
      </c>
      <c r="F134" s="39">
        <f t="shared" si="3"/>
        <v>150.51900000000001</v>
      </c>
      <c r="G134" s="118">
        <f>IF([0]!bs_option_type="Call",IF(((F134-Stock-(vba_bs_result/Stock)*Stock))&lt;-(vba_bs_result/Stock)*Stock,-(vba_bs_result/Stock)*Stock,(F134-Stock-(vba_bs_result/Stock)*Stock)*1),IF((Exercise-(vba_bs_result/Stock)*Stock)-F134&lt;-(vba_bs_result/Stock)*Stock,-(vba_bs_result/Stock)*Stock,(Exercise-(vba_bs_result/Stock)*Stock)-F134))</f>
        <v>-10.250441523521545</v>
      </c>
    </row>
    <row r="135" spans="5:7" ht="15.75" customHeight="1">
      <c r="E135" s="11">
        <f t="shared" si="1"/>
        <v>32</v>
      </c>
      <c r="F135" s="39">
        <f t="shared" si="3"/>
        <v>151.66800000000001</v>
      </c>
      <c r="G135" s="118">
        <f>IF([0]!bs_option_type="Call",IF(((F135-Stock-(vba_bs_result/Stock)*Stock))&lt;-(vba_bs_result/Stock)*Stock,-(vba_bs_result/Stock)*Stock,(F135-Stock-(vba_bs_result/Stock)*Stock)*1),IF((Exercise-(vba_bs_result/Stock)*Stock)-F135&lt;-(vba_bs_result/Stock)*Stock,-(vba_bs_result/Stock)*Stock,(Exercise-(vba_bs_result/Stock)*Stock)-F135))</f>
        <v>-9.1014415235215438</v>
      </c>
    </row>
    <row r="136" spans="5:7" ht="15.75" customHeight="1">
      <c r="E136" s="11">
        <f t="shared" si="1"/>
        <v>33</v>
      </c>
      <c r="F136" s="39">
        <f t="shared" si="3"/>
        <v>152.81700000000001</v>
      </c>
      <c r="G136" s="118">
        <f>IF([0]!bs_option_type="Call",IF(((F136-Stock-(vba_bs_result/Stock)*Stock))&lt;-(vba_bs_result/Stock)*Stock,-(vba_bs_result/Stock)*Stock,(F136-Stock-(vba_bs_result/Stock)*Stock)*1),IF((Exercise-(vba_bs_result/Stock)*Stock)-F136&lt;-(vba_bs_result/Stock)*Stock,-(vba_bs_result/Stock)*Stock,(Exercise-(vba_bs_result/Stock)*Stock)-F136))</f>
        <v>-7.9524415235215429</v>
      </c>
    </row>
    <row r="137" spans="5:7" ht="15.75" customHeight="1">
      <c r="E137" s="11">
        <f t="shared" si="1"/>
        <v>34</v>
      </c>
      <c r="F137" s="39">
        <f t="shared" si="3"/>
        <v>153.96600000000001</v>
      </c>
      <c r="G137" s="118">
        <f>IF([0]!bs_option_type="Call",IF(((F137-Stock-(vba_bs_result/Stock)*Stock))&lt;-(vba_bs_result/Stock)*Stock,-(vba_bs_result/Stock)*Stock,(F137-Stock-(vba_bs_result/Stock)*Stock)*1),IF((Exercise-(vba_bs_result/Stock)*Stock)-F137&lt;-(vba_bs_result/Stock)*Stock,-(vba_bs_result/Stock)*Stock,(Exercise-(vba_bs_result/Stock)*Stock)-F137))</f>
        <v>-6.803441523521542</v>
      </c>
    </row>
    <row r="138" spans="5:7" ht="15.75" customHeight="1">
      <c r="E138" s="11">
        <f t="shared" si="1"/>
        <v>35</v>
      </c>
      <c r="F138" s="39">
        <f t="shared" si="3"/>
        <v>155.11500000000001</v>
      </c>
      <c r="G138" s="118">
        <f>IF([0]!bs_option_type="Call",IF(((F138-Stock-(vba_bs_result/Stock)*Stock))&lt;-(vba_bs_result/Stock)*Stock,-(vba_bs_result/Stock)*Stock,(F138-Stock-(vba_bs_result/Stock)*Stock)*1),IF((Exercise-(vba_bs_result/Stock)*Stock)-F138&lt;-(vba_bs_result/Stock)*Stock,-(vba_bs_result/Stock)*Stock,(Exercise-(vba_bs_result/Stock)*Stock)-F138))</f>
        <v>-5.6544415235215411</v>
      </c>
    </row>
    <row r="139" spans="5:7" ht="15.75" customHeight="1">
      <c r="E139" s="11">
        <f t="shared" si="1"/>
        <v>36</v>
      </c>
      <c r="F139" s="39">
        <f t="shared" si="3"/>
        <v>156.26400000000001</v>
      </c>
      <c r="G139" s="118">
        <f>IF([0]!bs_option_type="Call",IF(((F139-Stock-(vba_bs_result/Stock)*Stock))&lt;-(vba_bs_result/Stock)*Stock,-(vba_bs_result/Stock)*Stock,(F139-Stock-(vba_bs_result/Stock)*Stock)*1),IF((Exercise-(vba_bs_result/Stock)*Stock)-F139&lt;-(vba_bs_result/Stock)*Stock,-(vba_bs_result/Stock)*Stock,(Exercise-(vba_bs_result/Stock)*Stock)-F139))</f>
        <v>-4.5054415235215401</v>
      </c>
    </row>
    <row r="140" spans="5:7" ht="15.75" customHeight="1">
      <c r="E140" s="11">
        <f t="shared" si="1"/>
        <v>37</v>
      </c>
      <c r="F140" s="39">
        <f t="shared" si="3"/>
        <v>157.41300000000001</v>
      </c>
      <c r="G140" s="118">
        <f>IF([0]!bs_option_type="Call",IF(((F140-Stock-(vba_bs_result/Stock)*Stock))&lt;-(vba_bs_result/Stock)*Stock,-(vba_bs_result/Stock)*Stock,(F140-Stock-(vba_bs_result/Stock)*Stock)*1),IF((Exercise-(vba_bs_result/Stock)*Stock)-F140&lt;-(vba_bs_result/Stock)*Stock,-(vba_bs_result/Stock)*Stock,(Exercise-(vba_bs_result/Stock)*Stock)-F140))</f>
        <v>-3.3564415235215392</v>
      </c>
    </row>
    <row r="141" spans="5:7" ht="15.75" customHeight="1">
      <c r="E141" s="11">
        <f t="shared" si="1"/>
        <v>38</v>
      </c>
      <c r="F141" s="39">
        <f t="shared" si="3"/>
        <v>158.56200000000001</v>
      </c>
      <c r="G141" s="118">
        <f>IF([0]!bs_option_type="Call",IF(((F141-Stock-(vba_bs_result/Stock)*Stock))&lt;-(vba_bs_result/Stock)*Stock,-(vba_bs_result/Stock)*Stock,(F141-Stock-(vba_bs_result/Stock)*Stock)*1),IF((Exercise-(vba_bs_result/Stock)*Stock)-F141&lt;-(vba_bs_result/Stock)*Stock,-(vba_bs_result/Stock)*Stock,(Exercise-(vba_bs_result/Stock)*Stock)-F141))</f>
        <v>-2.2074415235215383</v>
      </c>
    </row>
    <row r="142" spans="5:7" ht="15.75" customHeight="1">
      <c r="E142" s="11">
        <f t="shared" si="1"/>
        <v>39</v>
      </c>
      <c r="F142" s="39">
        <f t="shared" si="3"/>
        <v>159.71100000000001</v>
      </c>
      <c r="G142" s="118">
        <f>IF([0]!bs_option_type="Call",IF(((F142-Stock-(vba_bs_result/Stock)*Stock))&lt;-(vba_bs_result/Stock)*Stock,-(vba_bs_result/Stock)*Stock,(F142-Stock-(vba_bs_result/Stock)*Stock)*1),IF((Exercise-(vba_bs_result/Stock)*Stock)-F142&lt;-(vba_bs_result/Stock)*Stock,-(vba_bs_result/Stock)*Stock,(Exercise-(vba_bs_result/Stock)*Stock)-F142))</f>
        <v>-1.0584415235215374</v>
      </c>
    </row>
    <row r="143" spans="5:7" ht="15.75" customHeight="1">
      <c r="E143" s="11">
        <f t="shared" si="1"/>
        <v>40</v>
      </c>
      <c r="F143" s="39">
        <f t="shared" si="3"/>
        <v>160.86000000000001</v>
      </c>
      <c r="G143" s="118">
        <f>IF([0]!bs_option_type="Call",IF(((F143-Stock-(vba_bs_result/Stock)*Stock))&lt;-(vba_bs_result/Stock)*Stock,-(vba_bs_result/Stock)*Stock,(F143-Stock-(vba_bs_result/Stock)*Stock)*1),IF((Exercise-(vba_bs_result/Stock)*Stock)-F143&lt;-(vba_bs_result/Stock)*Stock,-(vba_bs_result/Stock)*Stock,(Exercise-(vba_bs_result/Stock)*Stock)-F143))</f>
        <v>9.055847647846349E-2</v>
      </c>
    </row>
    <row r="144" spans="5:7" ht="15.75" customHeight="1">
      <c r="E144" s="11">
        <f t="shared" si="1"/>
        <v>41</v>
      </c>
      <c r="F144" s="39">
        <f t="shared" si="3"/>
        <v>162.00900000000001</v>
      </c>
      <c r="G144" s="118">
        <f>IF([0]!bs_option_type="Call",IF(((F144-Stock-(vba_bs_result/Stock)*Stock))&lt;-(vba_bs_result/Stock)*Stock,-(vba_bs_result/Stock)*Stock,(F144-Stock-(vba_bs_result/Stock)*Stock)*1),IF((Exercise-(vba_bs_result/Stock)*Stock)-F144&lt;-(vba_bs_result/Stock)*Stock,-(vba_bs_result/Stock)*Stock,(Exercise-(vba_bs_result/Stock)*Stock)-F144))</f>
        <v>1.2395584764784644</v>
      </c>
    </row>
    <row r="145" spans="5:7" ht="15.75" customHeight="1">
      <c r="E145" s="11">
        <f t="shared" si="1"/>
        <v>42</v>
      </c>
      <c r="F145" s="39">
        <f t="shared" si="3"/>
        <v>163.15800000000002</v>
      </c>
      <c r="G145" s="118">
        <f>IF([0]!bs_option_type="Call",IF(((F145-Stock-(vba_bs_result/Stock)*Stock))&lt;-(vba_bs_result/Stock)*Stock,-(vba_bs_result/Stock)*Stock,(F145-Stock-(vba_bs_result/Stock)*Stock)*1),IF((Exercise-(vba_bs_result/Stock)*Stock)-F145&lt;-(vba_bs_result/Stock)*Stock,-(vba_bs_result/Stock)*Stock,(Exercise-(vba_bs_result/Stock)*Stock)-F145))</f>
        <v>2.3885584764784653</v>
      </c>
    </row>
    <row r="146" spans="5:7" ht="15.75" customHeight="1">
      <c r="E146" s="11">
        <f t="shared" si="1"/>
        <v>43</v>
      </c>
      <c r="F146" s="39">
        <f t="shared" si="3"/>
        <v>164.30700000000002</v>
      </c>
      <c r="G146" s="118">
        <f>IF([0]!bs_option_type="Call",IF(((F146-Stock-(vba_bs_result/Stock)*Stock))&lt;-(vba_bs_result/Stock)*Stock,-(vba_bs_result/Stock)*Stock,(F146-Stock-(vba_bs_result/Stock)*Stock)*1),IF((Exercise-(vba_bs_result/Stock)*Stock)-F146&lt;-(vba_bs_result/Stock)*Stock,-(vba_bs_result/Stock)*Stock,(Exercise-(vba_bs_result/Stock)*Stock)-F146))</f>
        <v>3.5375584764784662</v>
      </c>
    </row>
    <row r="147" spans="5:7" ht="15.75" customHeight="1">
      <c r="E147" s="11">
        <f t="shared" si="1"/>
        <v>44</v>
      </c>
      <c r="F147" s="39">
        <f t="shared" si="3"/>
        <v>165.45600000000002</v>
      </c>
      <c r="G147" s="118">
        <f>IF([0]!bs_option_type="Call",IF(((F147-Stock-(vba_bs_result/Stock)*Stock))&lt;-(vba_bs_result/Stock)*Stock,-(vba_bs_result/Stock)*Stock,(F147-Stock-(vba_bs_result/Stock)*Stock)*1),IF((Exercise-(vba_bs_result/Stock)*Stock)-F147&lt;-(vba_bs_result/Stock)*Stock,-(vba_bs_result/Stock)*Stock,(Exercise-(vba_bs_result/Stock)*Stock)-F147))</f>
        <v>4.6865584764784671</v>
      </c>
    </row>
    <row r="148" spans="5:7" ht="15.75" customHeight="1">
      <c r="E148" s="11">
        <f t="shared" si="1"/>
        <v>45</v>
      </c>
      <c r="F148" s="39">
        <f t="shared" si="3"/>
        <v>166.60500000000002</v>
      </c>
      <c r="G148" s="118">
        <f>IF([0]!bs_option_type="Call",IF(((F148-Stock-(vba_bs_result/Stock)*Stock))&lt;-(vba_bs_result/Stock)*Stock,-(vba_bs_result/Stock)*Stock,(F148-Stock-(vba_bs_result/Stock)*Stock)*1),IF((Exercise-(vba_bs_result/Stock)*Stock)-F148&lt;-(vba_bs_result/Stock)*Stock,-(vba_bs_result/Stock)*Stock,(Exercise-(vba_bs_result/Stock)*Stock)-F148))</f>
        <v>5.835558476478468</v>
      </c>
    </row>
    <row r="149" spans="5:7" ht="15.75" customHeight="1">
      <c r="E149" s="11">
        <f t="shared" si="1"/>
        <v>46</v>
      </c>
      <c r="F149" s="39">
        <f t="shared" si="3"/>
        <v>167.75400000000002</v>
      </c>
      <c r="G149" s="118">
        <f>IF([0]!bs_option_type="Call",IF(((F149-Stock-(vba_bs_result/Stock)*Stock))&lt;-(vba_bs_result/Stock)*Stock,-(vba_bs_result/Stock)*Stock,(F149-Stock-(vba_bs_result/Stock)*Stock)*1),IF((Exercise-(vba_bs_result/Stock)*Stock)-F149&lt;-(vba_bs_result/Stock)*Stock,-(vba_bs_result/Stock)*Stock,(Exercise-(vba_bs_result/Stock)*Stock)-F149))</f>
        <v>6.9845584764784689</v>
      </c>
    </row>
    <row r="150" spans="5:7" ht="15.75" customHeight="1">
      <c r="E150" s="11">
        <f t="shared" si="1"/>
        <v>47</v>
      </c>
      <c r="F150" s="39">
        <f t="shared" si="3"/>
        <v>168.90300000000002</v>
      </c>
      <c r="G150" s="118">
        <f>IF([0]!bs_option_type="Call",IF(((F150-Stock-(vba_bs_result/Stock)*Stock))&lt;-(vba_bs_result/Stock)*Stock,-(vba_bs_result/Stock)*Stock,(F150-Stock-(vba_bs_result/Stock)*Stock)*1),IF((Exercise-(vba_bs_result/Stock)*Stock)-F150&lt;-(vba_bs_result/Stock)*Stock,-(vba_bs_result/Stock)*Stock,(Exercise-(vba_bs_result/Stock)*Stock)-F150))</f>
        <v>8.1335584764784699</v>
      </c>
    </row>
    <row r="151" spans="5:7" ht="15.75" customHeight="1">
      <c r="E151" s="11">
        <f t="shared" si="1"/>
        <v>48</v>
      </c>
      <c r="F151" s="39">
        <f t="shared" si="3"/>
        <v>170.05200000000002</v>
      </c>
      <c r="G151" s="118">
        <f>IF([0]!bs_option_type="Call",IF(((F151-Stock-(vba_bs_result/Stock)*Stock))&lt;-(vba_bs_result/Stock)*Stock,-(vba_bs_result/Stock)*Stock,(F151-Stock-(vba_bs_result/Stock)*Stock)*1),IF((Exercise-(vba_bs_result/Stock)*Stock)-F151&lt;-(vba_bs_result/Stock)*Stock,-(vba_bs_result/Stock)*Stock,(Exercise-(vba_bs_result/Stock)*Stock)-F151))</f>
        <v>9.2825584764784708</v>
      </c>
    </row>
    <row r="152" spans="5:7" ht="15.75" customHeight="1">
      <c r="E152" s="11">
        <f t="shared" si="1"/>
        <v>49</v>
      </c>
      <c r="F152" s="39">
        <f t="shared" si="3"/>
        <v>171.20100000000002</v>
      </c>
      <c r="G152" s="118">
        <f>IF([0]!bs_option_type="Call",IF(((F152-Stock-(vba_bs_result/Stock)*Stock))&lt;-(vba_bs_result/Stock)*Stock,-(vba_bs_result/Stock)*Stock,(F152-Stock-(vba_bs_result/Stock)*Stock)*1),IF((Exercise-(vba_bs_result/Stock)*Stock)-F152&lt;-(vba_bs_result/Stock)*Stock,-(vba_bs_result/Stock)*Stock,(Exercise-(vba_bs_result/Stock)*Stock)-F152))</f>
        <v>10.431558476478472</v>
      </c>
    </row>
    <row r="153" spans="5:7" ht="15.75" customHeight="1">
      <c r="E153" s="11">
        <f t="shared" si="1"/>
        <v>50</v>
      </c>
      <c r="F153" s="39">
        <f t="shared" si="3"/>
        <v>172.35000000000002</v>
      </c>
      <c r="G153" s="118">
        <f>IF([0]!bs_option_type="Call",IF(((F153-Stock-(vba_bs_result/Stock)*Stock))&lt;-(vba_bs_result/Stock)*Stock,-(vba_bs_result/Stock)*Stock,(F153-Stock-(vba_bs_result/Stock)*Stock)*1),IF((Exercise-(vba_bs_result/Stock)*Stock)-F153&lt;-(vba_bs_result/Stock)*Stock,-(vba_bs_result/Stock)*Stock,(Exercise-(vba_bs_result/Stock)*Stock)-F153))</f>
        <v>11.580558476478473</v>
      </c>
    </row>
    <row r="154" spans="5:7" ht="15.75" customHeight="1">
      <c r="E154" s="11">
        <f t="shared" si="1"/>
        <v>51</v>
      </c>
      <c r="F154" s="39">
        <f t="shared" si="3"/>
        <v>173.49900000000002</v>
      </c>
      <c r="G154" s="118">
        <f>IF([0]!bs_option_type="Call",IF(((F154-Stock-(vba_bs_result/Stock)*Stock))&lt;-(vba_bs_result/Stock)*Stock,-(vba_bs_result/Stock)*Stock,(F154-Stock-(vba_bs_result/Stock)*Stock)*1),IF((Exercise-(vba_bs_result/Stock)*Stock)-F154&lt;-(vba_bs_result/Stock)*Stock,-(vba_bs_result/Stock)*Stock,(Exercise-(vba_bs_result/Stock)*Stock)-F154))</f>
        <v>12.729558476478473</v>
      </c>
    </row>
    <row r="155" spans="5:7" ht="15.75" customHeight="1">
      <c r="E155" s="11">
        <f t="shared" si="1"/>
        <v>52</v>
      </c>
      <c r="F155" s="39">
        <f t="shared" si="3"/>
        <v>174.64800000000002</v>
      </c>
      <c r="G155" s="118">
        <f>IF([0]!bs_option_type="Call",IF(((F155-Stock-(vba_bs_result/Stock)*Stock))&lt;-(vba_bs_result/Stock)*Stock,-(vba_bs_result/Stock)*Stock,(F155-Stock-(vba_bs_result/Stock)*Stock)*1),IF((Exercise-(vba_bs_result/Stock)*Stock)-F155&lt;-(vba_bs_result/Stock)*Stock,-(vba_bs_result/Stock)*Stock,(Exercise-(vba_bs_result/Stock)*Stock)-F155))</f>
        <v>13.878558476478474</v>
      </c>
    </row>
    <row r="156" spans="5:7" ht="15.75" customHeight="1">
      <c r="E156" s="11">
        <f t="shared" si="1"/>
        <v>53</v>
      </c>
      <c r="F156" s="39">
        <f t="shared" si="3"/>
        <v>175.79700000000003</v>
      </c>
      <c r="G156" s="118">
        <f>IF([0]!bs_option_type="Call",IF(((F156-Stock-(vba_bs_result/Stock)*Stock))&lt;-(vba_bs_result/Stock)*Stock,-(vba_bs_result/Stock)*Stock,(F156-Stock-(vba_bs_result/Stock)*Stock)*1),IF((Exercise-(vba_bs_result/Stock)*Stock)-F156&lt;-(vba_bs_result/Stock)*Stock,-(vba_bs_result/Stock)*Stock,(Exercise-(vba_bs_result/Stock)*Stock)-F156))</f>
        <v>15.027558476478475</v>
      </c>
    </row>
    <row r="157" spans="5:7" ht="15.75" customHeight="1">
      <c r="E157" s="11">
        <f t="shared" si="1"/>
        <v>54</v>
      </c>
      <c r="F157" s="39">
        <f t="shared" si="3"/>
        <v>176.94600000000003</v>
      </c>
      <c r="G157" s="118">
        <f>IF([0]!bs_option_type="Call",IF(((F157-Stock-(vba_bs_result/Stock)*Stock))&lt;-(vba_bs_result/Stock)*Stock,-(vba_bs_result/Stock)*Stock,(F157-Stock-(vba_bs_result/Stock)*Stock)*1),IF((Exercise-(vba_bs_result/Stock)*Stock)-F157&lt;-(vba_bs_result/Stock)*Stock,-(vba_bs_result/Stock)*Stock,(Exercise-(vba_bs_result/Stock)*Stock)-F157))</f>
        <v>16.176558476478476</v>
      </c>
    </row>
    <row r="158" spans="5:7" ht="15.75" customHeight="1">
      <c r="E158" s="11">
        <f t="shared" si="1"/>
        <v>55</v>
      </c>
      <c r="F158" s="39">
        <f t="shared" si="3"/>
        <v>178.09500000000003</v>
      </c>
      <c r="G158" s="118">
        <f>IF([0]!bs_option_type="Call",IF(((F158-Stock-(vba_bs_result/Stock)*Stock))&lt;-(vba_bs_result/Stock)*Stock,-(vba_bs_result/Stock)*Stock,(F158-Stock-(vba_bs_result/Stock)*Stock)*1),IF((Exercise-(vba_bs_result/Stock)*Stock)-F158&lt;-(vba_bs_result/Stock)*Stock,-(vba_bs_result/Stock)*Stock,(Exercise-(vba_bs_result/Stock)*Stock)-F158))</f>
        <v>17.325558476478477</v>
      </c>
    </row>
    <row r="159" spans="5:7" ht="15.75" customHeight="1">
      <c r="E159" s="11">
        <f t="shared" si="1"/>
        <v>56</v>
      </c>
      <c r="F159" s="39">
        <f t="shared" si="3"/>
        <v>179.24400000000003</v>
      </c>
      <c r="G159" s="118">
        <f>IF([0]!bs_option_type="Call",IF(((F159-Stock-(vba_bs_result/Stock)*Stock))&lt;-(vba_bs_result/Stock)*Stock,-(vba_bs_result/Stock)*Stock,(F159-Stock-(vba_bs_result/Stock)*Stock)*1),IF((Exercise-(vba_bs_result/Stock)*Stock)-F159&lt;-(vba_bs_result/Stock)*Stock,-(vba_bs_result/Stock)*Stock,(Exercise-(vba_bs_result/Stock)*Stock)-F159))</f>
        <v>18.474558476478478</v>
      </c>
    </row>
    <row r="160" spans="5:7" ht="15.75" customHeight="1">
      <c r="E160" s="11">
        <f t="shared" si="1"/>
        <v>57</v>
      </c>
      <c r="F160" s="39">
        <f t="shared" si="3"/>
        <v>180.393</v>
      </c>
      <c r="G160" s="118">
        <f>IF([0]!bs_option_type="Call",IF(((F160-Stock-(vba_bs_result/Stock)*Stock))&lt;-(vba_bs_result/Stock)*Stock,-(vba_bs_result/Stock)*Stock,(F160-Stock-(vba_bs_result/Stock)*Stock)*1),IF((Exercise-(vba_bs_result/Stock)*Stock)-F160&lt;-(vba_bs_result/Stock)*Stock,-(vba_bs_result/Stock)*Stock,(Exercise-(vba_bs_result/Stock)*Stock)-F160))</f>
        <v>19.623558476478451</v>
      </c>
    </row>
    <row r="161" spans="5:7" ht="15.75" customHeight="1">
      <c r="E161" s="11">
        <f t="shared" si="1"/>
        <v>58</v>
      </c>
      <c r="F161" s="39">
        <f t="shared" si="3"/>
        <v>181.542</v>
      </c>
      <c r="G161" s="118">
        <f>IF([0]!bs_option_type="Call",IF(((F161-Stock-(vba_bs_result/Stock)*Stock))&lt;-(vba_bs_result/Stock)*Stock,-(vba_bs_result/Stock)*Stock,(F161-Stock-(vba_bs_result/Stock)*Stock)*1),IF((Exercise-(vba_bs_result/Stock)*Stock)-F161&lt;-(vba_bs_result/Stock)*Stock,-(vba_bs_result/Stock)*Stock,(Exercise-(vba_bs_result/Stock)*Stock)-F161))</f>
        <v>20.772558476478451</v>
      </c>
    </row>
    <row r="162" spans="5:7" ht="15.75" customHeight="1">
      <c r="E162" s="11">
        <f t="shared" si="1"/>
        <v>59</v>
      </c>
      <c r="F162" s="39">
        <f t="shared" si="3"/>
        <v>182.691</v>
      </c>
      <c r="G162" s="118">
        <f>IF([0]!bs_option_type="Call",IF(((F162-Stock-(vba_bs_result/Stock)*Stock))&lt;-(vba_bs_result/Stock)*Stock,-(vba_bs_result/Stock)*Stock,(F162-Stock-(vba_bs_result/Stock)*Stock)*1),IF((Exercise-(vba_bs_result/Stock)*Stock)-F162&lt;-(vba_bs_result/Stock)*Stock,-(vba_bs_result/Stock)*Stock,(Exercise-(vba_bs_result/Stock)*Stock)-F162))</f>
        <v>21.921558476478452</v>
      </c>
    </row>
    <row r="163" spans="5:7" ht="15.75" customHeight="1">
      <c r="E163" s="11">
        <f t="shared" si="1"/>
        <v>60</v>
      </c>
      <c r="F163" s="39">
        <f t="shared" si="3"/>
        <v>183.84</v>
      </c>
      <c r="G163" s="118">
        <f>IF([0]!bs_option_type="Call",IF(((F163-Stock-(vba_bs_result/Stock)*Stock))&lt;-(vba_bs_result/Stock)*Stock,-(vba_bs_result/Stock)*Stock,(F163-Stock-(vba_bs_result/Stock)*Stock)*1),IF((Exercise-(vba_bs_result/Stock)*Stock)-F163&lt;-(vba_bs_result/Stock)*Stock,-(vba_bs_result/Stock)*Stock,(Exercise-(vba_bs_result/Stock)*Stock)-F163))</f>
        <v>23.070558476478453</v>
      </c>
    </row>
    <row r="164" spans="5:7" ht="15.75" customHeight="1">
      <c r="E164" s="11">
        <f t="shared" si="1"/>
        <v>61</v>
      </c>
      <c r="F164" s="39">
        <f t="shared" si="3"/>
        <v>184.989</v>
      </c>
      <c r="G164" s="118">
        <f>IF([0]!bs_option_type="Call",IF(((F164-Stock-(vba_bs_result/Stock)*Stock))&lt;-(vba_bs_result/Stock)*Stock,-(vba_bs_result/Stock)*Stock,(F164-Stock-(vba_bs_result/Stock)*Stock)*1),IF((Exercise-(vba_bs_result/Stock)*Stock)-F164&lt;-(vba_bs_result/Stock)*Stock,-(vba_bs_result/Stock)*Stock,(Exercise-(vba_bs_result/Stock)*Stock)-F164))</f>
        <v>24.219558476478454</v>
      </c>
    </row>
    <row r="165" spans="5:7" ht="15.75" customHeight="1">
      <c r="E165" s="11">
        <f t="shared" si="1"/>
        <v>62</v>
      </c>
      <c r="F165" s="39">
        <f t="shared" si="3"/>
        <v>186.13800000000001</v>
      </c>
      <c r="G165" s="118">
        <f>IF([0]!bs_option_type="Call",IF(((F165-Stock-(vba_bs_result/Stock)*Stock))&lt;-(vba_bs_result/Stock)*Stock,-(vba_bs_result/Stock)*Stock,(F165-Stock-(vba_bs_result/Stock)*Stock)*1),IF((Exercise-(vba_bs_result/Stock)*Stock)-F165&lt;-(vba_bs_result/Stock)*Stock,-(vba_bs_result/Stock)*Stock,(Exercise-(vba_bs_result/Stock)*Stock)-F165))</f>
        <v>25.368558476478455</v>
      </c>
    </row>
    <row r="166" spans="5:7" ht="15.75" customHeight="1">
      <c r="E166" s="11">
        <f t="shared" si="1"/>
        <v>63</v>
      </c>
      <c r="F166" s="39">
        <f t="shared" si="3"/>
        <v>187.28700000000001</v>
      </c>
      <c r="G166" s="118">
        <f>IF([0]!bs_option_type="Call",IF(((F166-Stock-(vba_bs_result/Stock)*Stock))&lt;-(vba_bs_result/Stock)*Stock,-(vba_bs_result/Stock)*Stock,(F166-Stock-(vba_bs_result/Stock)*Stock)*1),IF((Exercise-(vba_bs_result/Stock)*Stock)-F166&lt;-(vba_bs_result/Stock)*Stock,-(vba_bs_result/Stock)*Stock,(Exercise-(vba_bs_result/Stock)*Stock)-F166))</f>
        <v>26.517558476478456</v>
      </c>
    </row>
    <row r="167" spans="5:7" ht="15.75" customHeight="1">
      <c r="E167" s="11">
        <f t="shared" si="1"/>
        <v>64</v>
      </c>
      <c r="F167" s="39">
        <f t="shared" si="3"/>
        <v>188.43600000000001</v>
      </c>
      <c r="G167" s="118">
        <f>IF([0]!bs_option_type="Call",IF(((F167-Stock-(vba_bs_result/Stock)*Stock))&lt;-(vba_bs_result/Stock)*Stock,-(vba_bs_result/Stock)*Stock,(F167-Stock-(vba_bs_result/Stock)*Stock)*1),IF((Exercise-(vba_bs_result/Stock)*Stock)-F167&lt;-(vba_bs_result/Stock)*Stock,-(vba_bs_result/Stock)*Stock,(Exercise-(vba_bs_result/Stock)*Stock)-F167))</f>
        <v>27.666558476478457</v>
      </c>
    </row>
    <row r="168" spans="5:7" ht="15.75" customHeight="1">
      <c r="E168" s="11">
        <f t="shared" si="1"/>
        <v>65</v>
      </c>
      <c r="F168" s="39">
        <f t="shared" si="3"/>
        <v>189.58500000000001</v>
      </c>
      <c r="G168" s="118">
        <f>IF([0]!bs_option_type="Call",IF(((F168-Stock-(vba_bs_result/Stock)*Stock))&lt;-(vba_bs_result/Stock)*Stock,-(vba_bs_result/Stock)*Stock,(F168-Stock-(vba_bs_result/Stock)*Stock)*1),IF((Exercise-(vba_bs_result/Stock)*Stock)-F168&lt;-(vba_bs_result/Stock)*Stock,-(vba_bs_result/Stock)*Stock,(Exercise-(vba_bs_result/Stock)*Stock)-F168))</f>
        <v>28.815558476478458</v>
      </c>
    </row>
    <row r="169" spans="5:7" ht="15.75" customHeight="1">
      <c r="E169" s="11">
        <f t="shared" si="1"/>
        <v>66</v>
      </c>
      <c r="F169" s="39">
        <f t="shared" si="3"/>
        <v>190.73400000000001</v>
      </c>
      <c r="G169" s="118">
        <f>IF([0]!bs_option_type="Call",IF(((F169-Stock-(vba_bs_result/Stock)*Stock))&lt;-(vba_bs_result/Stock)*Stock,-(vba_bs_result/Stock)*Stock,(F169-Stock-(vba_bs_result/Stock)*Stock)*1),IF((Exercise-(vba_bs_result/Stock)*Stock)-F169&lt;-(vba_bs_result/Stock)*Stock,-(vba_bs_result/Stock)*Stock,(Exercise-(vba_bs_result/Stock)*Stock)-F169))</f>
        <v>29.964558476478459</v>
      </c>
    </row>
    <row r="170" spans="5:7" ht="15.75" customHeight="1">
      <c r="E170" s="11">
        <f t="shared" si="1"/>
        <v>67</v>
      </c>
      <c r="F170" s="39">
        <f t="shared" si="3"/>
        <v>191.88300000000001</v>
      </c>
      <c r="G170" s="118">
        <f>IF([0]!bs_option_type="Call",IF(((F170-Stock-(vba_bs_result/Stock)*Stock))&lt;-(vba_bs_result/Stock)*Stock,-(vba_bs_result/Stock)*Stock,(F170-Stock-(vba_bs_result/Stock)*Stock)*1),IF((Exercise-(vba_bs_result/Stock)*Stock)-F170&lt;-(vba_bs_result/Stock)*Stock,-(vba_bs_result/Stock)*Stock,(Exercise-(vba_bs_result/Stock)*Stock)-F170))</f>
        <v>31.11355847647846</v>
      </c>
    </row>
    <row r="171" spans="5:7" ht="15.75" customHeight="1">
      <c r="E171" s="11">
        <f t="shared" si="1"/>
        <v>68</v>
      </c>
      <c r="F171" s="39">
        <f t="shared" si="3"/>
        <v>193.03200000000001</v>
      </c>
      <c r="G171" s="118">
        <f>IF([0]!bs_option_type="Call",IF(((F171-Stock-(vba_bs_result/Stock)*Stock))&lt;-(vba_bs_result/Stock)*Stock,-(vba_bs_result/Stock)*Stock,(F171-Stock-(vba_bs_result/Stock)*Stock)*1),IF((Exercise-(vba_bs_result/Stock)*Stock)-F171&lt;-(vba_bs_result/Stock)*Stock,-(vba_bs_result/Stock)*Stock,(Exercise-(vba_bs_result/Stock)*Stock)-F171))</f>
        <v>32.262558476478461</v>
      </c>
    </row>
    <row r="172" spans="5:7" ht="15.75" customHeight="1">
      <c r="E172" s="11">
        <f t="shared" si="1"/>
        <v>69</v>
      </c>
      <c r="F172" s="39">
        <f t="shared" si="3"/>
        <v>194.18099999999998</v>
      </c>
      <c r="G172" s="118">
        <f>IF([0]!bs_option_type="Call",IF(((F172-Stock-(vba_bs_result/Stock)*Stock))&lt;-(vba_bs_result/Stock)*Stock,-(vba_bs_result/Stock)*Stock,(F172-Stock-(vba_bs_result/Stock)*Stock)*1),IF((Exercise-(vba_bs_result/Stock)*Stock)-F172&lt;-(vba_bs_result/Stock)*Stock,-(vba_bs_result/Stock)*Stock,(Exercise-(vba_bs_result/Stock)*Stock)-F172))</f>
        <v>33.411558476478433</v>
      </c>
    </row>
    <row r="173" spans="5:7" ht="15.75" customHeight="1">
      <c r="E173" s="11">
        <f t="shared" si="1"/>
        <v>70</v>
      </c>
      <c r="F173" s="39">
        <f t="shared" si="3"/>
        <v>195.32999999999998</v>
      </c>
      <c r="G173" s="118">
        <f>IF([0]!bs_option_type="Call",IF(((F173-Stock-(vba_bs_result/Stock)*Stock))&lt;-(vba_bs_result/Stock)*Stock,-(vba_bs_result/Stock)*Stock,(F173-Stock-(vba_bs_result/Stock)*Stock)*1),IF((Exercise-(vba_bs_result/Stock)*Stock)-F173&lt;-(vba_bs_result/Stock)*Stock,-(vba_bs_result/Stock)*Stock,(Exercise-(vba_bs_result/Stock)*Stock)-F173))</f>
        <v>34.560558476478434</v>
      </c>
    </row>
    <row r="174" spans="5:7" ht="15.75" customHeight="1">
      <c r="E174" s="11">
        <f t="shared" si="1"/>
        <v>71</v>
      </c>
      <c r="F174" s="39">
        <f t="shared" si="3"/>
        <v>196.47899999999998</v>
      </c>
      <c r="G174" s="118">
        <f>IF([0]!bs_option_type="Call",IF(((F174-Stock-(vba_bs_result/Stock)*Stock))&lt;-(vba_bs_result/Stock)*Stock,-(vba_bs_result/Stock)*Stock,(F174-Stock-(vba_bs_result/Stock)*Stock)*1),IF((Exercise-(vba_bs_result/Stock)*Stock)-F174&lt;-(vba_bs_result/Stock)*Stock,-(vba_bs_result/Stock)*Stock,(Exercise-(vba_bs_result/Stock)*Stock)-F174))</f>
        <v>35.709558476478435</v>
      </c>
    </row>
    <row r="175" spans="5:7" ht="15.75" customHeight="1">
      <c r="E175" s="11">
        <f t="shared" si="1"/>
        <v>72</v>
      </c>
      <c r="F175" s="39">
        <f t="shared" si="3"/>
        <v>197.62799999999999</v>
      </c>
      <c r="G175" s="118">
        <f>IF([0]!bs_option_type="Call",IF(((F175-Stock-(vba_bs_result/Stock)*Stock))&lt;-(vba_bs_result/Stock)*Stock,-(vba_bs_result/Stock)*Stock,(F175-Stock-(vba_bs_result/Stock)*Stock)*1),IF((Exercise-(vba_bs_result/Stock)*Stock)-F175&lt;-(vba_bs_result/Stock)*Stock,-(vba_bs_result/Stock)*Stock,(Exercise-(vba_bs_result/Stock)*Stock)-F175))</f>
        <v>36.858558476478436</v>
      </c>
    </row>
    <row r="176" spans="5:7" ht="15.75" customHeight="1">
      <c r="E176" s="11">
        <f t="shared" si="1"/>
        <v>73</v>
      </c>
      <c r="F176" s="39">
        <f t="shared" si="3"/>
        <v>198.77699999999999</v>
      </c>
      <c r="G176" s="118">
        <f>IF([0]!bs_option_type="Call",IF(((F176-Stock-(vba_bs_result/Stock)*Stock))&lt;-(vba_bs_result/Stock)*Stock,-(vba_bs_result/Stock)*Stock,(F176-Stock-(vba_bs_result/Stock)*Stock)*1),IF((Exercise-(vba_bs_result/Stock)*Stock)-F176&lt;-(vba_bs_result/Stock)*Stock,-(vba_bs_result/Stock)*Stock,(Exercise-(vba_bs_result/Stock)*Stock)-F176))</f>
        <v>38.007558476478437</v>
      </c>
    </row>
    <row r="177" spans="5:7" ht="15.75" customHeight="1">
      <c r="E177" s="11">
        <f t="shared" si="1"/>
        <v>74</v>
      </c>
      <c r="F177" s="39">
        <f t="shared" si="3"/>
        <v>199.92599999999999</v>
      </c>
      <c r="G177" s="118">
        <f>IF([0]!bs_option_type="Call",IF(((F177-Stock-(vba_bs_result/Stock)*Stock))&lt;-(vba_bs_result/Stock)*Stock,-(vba_bs_result/Stock)*Stock,(F177-Stock-(vba_bs_result/Stock)*Stock)*1),IF((Exercise-(vba_bs_result/Stock)*Stock)-F177&lt;-(vba_bs_result/Stock)*Stock,-(vba_bs_result/Stock)*Stock,(Exercise-(vba_bs_result/Stock)*Stock)-F177))</f>
        <v>39.156558476478438</v>
      </c>
    </row>
    <row r="178" spans="5:7" ht="15.75" customHeight="1">
      <c r="E178" s="11">
        <f t="shared" si="1"/>
        <v>75</v>
      </c>
      <c r="F178" s="39">
        <f t="shared" si="3"/>
        <v>201.07500000000002</v>
      </c>
      <c r="G178" s="118">
        <f>IF([0]!bs_option_type="Call",IF(((F178-Stock-(vba_bs_result/Stock)*Stock))&lt;-(vba_bs_result/Stock)*Stock,-(vba_bs_result/Stock)*Stock,(F178-Stock-(vba_bs_result/Stock)*Stock)*1),IF((Exercise-(vba_bs_result/Stock)*Stock)-F178&lt;-(vba_bs_result/Stock)*Stock,-(vba_bs_result/Stock)*Stock,(Exercise-(vba_bs_result/Stock)*Stock)-F178))</f>
        <v>40.305558476478467</v>
      </c>
    </row>
    <row r="179" spans="5:7" ht="15.75" customHeight="1">
      <c r="E179" s="11">
        <f t="shared" si="1"/>
        <v>76</v>
      </c>
      <c r="F179" s="39">
        <f t="shared" si="3"/>
        <v>202.22400000000002</v>
      </c>
      <c r="G179" s="118">
        <f>IF([0]!bs_option_type="Call",IF(((F179-Stock-(vba_bs_result/Stock)*Stock))&lt;-(vba_bs_result/Stock)*Stock,-(vba_bs_result/Stock)*Stock,(F179-Stock-(vba_bs_result/Stock)*Stock)*1),IF((Exercise-(vba_bs_result/Stock)*Stock)-F179&lt;-(vba_bs_result/Stock)*Stock,-(vba_bs_result/Stock)*Stock,(Exercise-(vba_bs_result/Stock)*Stock)-F179))</f>
        <v>41.454558476478468</v>
      </c>
    </row>
    <row r="180" spans="5:7" ht="15.75" customHeight="1">
      <c r="E180" s="11">
        <f t="shared" si="1"/>
        <v>77</v>
      </c>
      <c r="F180" s="39">
        <f t="shared" si="3"/>
        <v>203.37300000000002</v>
      </c>
      <c r="G180" s="118">
        <f>IF([0]!bs_option_type="Call",IF(((F180-Stock-(vba_bs_result/Stock)*Stock))&lt;-(vba_bs_result/Stock)*Stock,-(vba_bs_result/Stock)*Stock,(F180-Stock-(vba_bs_result/Stock)*Stock)*1),IF((Exercise-(vba_bs_result/Stock)*Stock)-F180&lt;-(vba_bs_result/Stock)*Stock,-(vba_bs_result/Stock)*Stock,(Exercise-(vba_bs_result/Stock)*Stock)-F180))</f>
        <v>42.603558476478469</v>
      </c>
    </row>
    <row r="181" spans="5:7" ht="15.75" customHeight="1">
      <c r="E181" s="11">
        <f t="shared" si="1"/>
        <v>78</v>
      </c>
      <c r="F181" s="39">
        <f t="shared" si="3"/>
        <v>204.52200000000002</v>
      </c>
      <c r="G181" s="118">
        <f>IF([0]!bs_option_type="Call",IF(((F181-Stock-(vba_bs_result/Stock)*Stock))&lt;-(vba_bs_result/Stock)*Stock,-(vba_bs_result/Stock)*Stock,(F181-Stock-(vba_bs_result/Stock)*Stock)*1),IF((Exercise-(vba_bs_result/Stock)*Stock)-F181&lt;-(vba_bs_result/Stock)*Stock,-(vba_bs_result/Stock)*Stock,(Exercise-(vba_bs_result/Stock)*Stock)-F181))</f>
        <v>43.75255847647847</v>
      </c>
    </row>
    <row r="182" spans="5:7" ht="15.75" customHeight="1">
      <c r="E182" s="11">
        <f t="shared" si="1"/>
        <v>79</v>
      </c>
      <c r="F182" s="39">
        <f t="shared" si="3"/>
        <v>205.67100000000002</v>
      </c>
      <c r="G182" s="118">
        <f>IF([0]!bs_option_type="Call",IF(((F182-Stock-(vba_bs_result/Stock)*Stock))&lt;-(vba_bs_result/Stock)*Stock,-(vba_bs_result/Stock)*Stock,(F182-Stock-(vba_bs_result/Stock)*Stock)*1),IF((Exercise-(vba_bs_result/Stock)*Stock)-F182&lt;-(vba_bs_result/Stock)*Stock,-(vba_bs_result/Stock)*Stock,(Exercise-(vba_bs_result/Stock)*Stock)-F182))</f>
        <v>44.901558476478471</v>
      </c>
    </row>
    <row r="183" spans="5:7" ht="15.75" customHeight="1">
      <c r="E183" s="11">
        <f t="shared" si="1"/>
        <v>80</v>
      </c>
      <c r="F183" s="39">
        <f t="shared" si="3"/>
        <v>206.82000000000002</v>
      </c>
      <c r="G183" s="118">
        <f>IF([0]!bs_option_type="Call",IF(((F183-Stock-(vba_bs_result/Stock)*Stock))&lt;-(vba_bs_result/Stock)*Stock,-(vba_bs_result/Stock)*Stock,(F183-Stock-(vba_bs_result/Stock)*Stock)*1),IF((Exercise-(vba_bs_result/Stock)*Stock)-F183&lt;-(vba_bs_result/Stock)*Stock,-(vba_bs_result/Stock)*Stock,(Exercise-(vba_bs_result/Stock)*Stock)-F183))</f>
        <v>46.050558476478471</v>
      </c>
    </row>
    <row r="184" spans="5:7" ht="15.75" customHeight="1">
      <c r="E184" s="11">
        <f t="shared" si="1"/>
        <v>81</v>
      </c>
      <c r="F184" s="39">
        <f t="shared" si="3"/>
        <v>207.96900000000002</v>
      </c>
      <c r="G184" s="118">
        <f>IF([0]!bs_option_type="Call",IF(((F184-Stock-(vba_bs_result/Stock)*Stock))&lt;-(vba_bs_result/Stock)*Stock,-(vba_bs_result/Stock)*Stock,(F184-Stock-(vba_bs_result/Stock)*Stock)*1),IF((Exercise-(vba_bs_result/Stock)*Stock)-F184&lt;-(vba_bs_result/Stock)*Stock,-(vba_bs_result/Stock)*Stock,(Exercise-(vba_bs_result/Stock)*Stock)-F184))</f>
        <v>47.199558476478472</v>
      </c>
    </row>
    <row r="185" spans="5:7" ht="15.75" customHeight="1">
      <c r="E185" s="11">
        <f t="shared" si="1"/>
        <v>82</v>
      </c>
      <c r="F185" s="39">
        <f t="shared" si="3"/>
        <v>209.11799999999999</v>
      </c>
      <c r="G185" s="118">
        <f>IF([0]!bs_option_type="Call",IF(((F185-Stock-(vba_bs_result/Stock)*Stock))&lt;-(vba_bs_result/Stock)*Stock,-(vba_bs_result/Stock)*Stock,(F185-Stock-(vba_bs_result/Stock)*Stock)*1),IF((Exercise-(vba_bs_result/Stock)*Stock)-F185&lt;-(vba_bs_result/Stock)*Stock,-(vba_bs_result/Stock)*Stock,(Exercise-(vba_bs_result/Stock)*Stock)-F185))</f>
        <v>48.348558476478445</v>
      </c>
    </row>
    <row r="186" spans="5:7" ht="15.75" customHeight="1">
      <c r="E186" s="11">
        <f t="shared" si="1"/>
        <v>83</v>
      </c>
      <c r="F186" s="39">
        <f t="shared" si="3"/>
        <v>210.267</v>
      </c>
      <c r="G186" s="118">
        <f>IF([0]!bs_option_type="Call",IF(((F186-Stock-(vba_bs_result/Stock)*Stock))&lt;-(vba_bs_result/Stock)*Stock,-(vba_bs_result/Stock)*Stock,(F186-Stock-(vba_bs_result/Stock)*Stock)*1),IF((Exercise-(vba_bs_result/Stock)*Stock)-F186&lt;-(vba_bs_result/Stock)*Stock,-(vba_bs_result/Stock)*Stock,(Exercise-(vba_bs_result/Stock)*Stock)-F186))</f>
        <v>49.497558476478446</v>
      </c>
    </row>
    <row r="187" spans="5:7" ht="15.75" customHeight="1">
      <c r="E187" s="11">
        <f t="shared" si="1"/>
        <v>84</v>
      </c>
      <c r="F187" s="39">
        <f t="shared" si="3"/>
        <v>211.416</v>
      </c>
      <c r="G187" s="118">
        <f>IF([0]!bs_option_type="Call",IF(((F187-Stock-(vba_bs_result/Stock)*Stock))&lt;-(vba_bs_result/Stock)*Stock,-(vba_bs_result/Stock)*Stock,(F187-Stock-(vba_bs_result/Stock)*Stock)*1),IF((Exercise-(vba_bs_result/Stock)*Stock)-F187&lt;-(vba_bs_result/Stock)*Stock,-(vba_bs_result/Stock)*Stock,(Exercise-(vba_bs_result/Stock)*Stock)-F187))</f>
        <v>50.646558476478447</v>
      </c>
    </row>
    <row r="188" spans="5:7" ht="15.75" customHeight="1">
      <c r="E188" s="11">
        <f t="shared" si="1"/>
        <v>85</v>
      </c>
      <c r="F188" s="39">
        <f t="shared" si="3"/>
        <v>212.565</v>
      </c>
      <c r="G188" s="118">
        <f>IF([0]!bs_option_type="Call",IF(((F188-Stock-(vba_bs_result/Stock)*Stock))&lt;-(vba_bs_result/Stock)*Stock,-(vba_bs_result/Stock)*Stock,(F188-Stock-(vba_bs_result/Stock)*Stock)*1),IF((Exercise-(vba_bs_result/Stock)*Stock)-F188&lt;-(vba_bs_result/Stock)*Stock,-(vba_bs_result/Stock)*Stock,(Exercise-(vba_bs_result/Stock)*Stock)-F188))</f>
        <v>51.795558476478448</v>
      </c>
    </row>
    <row r="189" spans="5:7" ht="15.75" customHeight="1">
      <c r="E189" s="11">
        <f t="shared" si="1"/>
        <v>86</v>
      </c>
      <c r="F189" s="39">
        <f t="shared" si="3"/>
        <v>213.714</v>
      </c>
      <c r="G189" s="118">
        <f>IF([0]!bs_option_type="Call",IF(((F189-Stock-(vba_bs_result/Stock)*Stock))&lt;-(vba_bs_result/Stock)*Stock,-(vba_bs_result/Stock)*Stock,(F189-Stock-(vba_bs_result/Stock)*Stock)*1),IF((Exercise-(vba_bs_result/Stock)*Stock)-F189&lt;-(vba_bs_result/Stock)*Stock,-(vba_bs_result/Stock)*Stock,(Exercise-(vba_bs_result/Stock)*Stock)-F189))</f>
        <v>52.944558476478448</v>
      </c>
    </row>
    <row r="190" spans="5:7" ht="15.75" customHeight="1">
      <c r="E190" s="11">
        <f t="shared" si="1"/>
        <v>87</v>
      </c>
      <c r="F190" s="39">
        <f t="shared" si="3"/>
        <v>214.863</v>
      </c>
      <c r="G190" s="118">
        <f>IF([0]!bs_option_type="Call",IF(((F190-Stock-(vba_bs_result/Stock)*Stock))&lt;-(vba_bs_result/Stock)*Stock,-(vba_bs_result/Stock)*Stock,(F190-Stock-(vba_bs_result/Stock)*Stock)*1),IF((Exercise-(vba_bs_result/Stock)*Stock)-F190&lt;-(vba_bs_result/Stock)*Stock,-(vba_bs_result/Stock)*Stock,(Exercise-(vba_bs_result/Stock)*Stock)-F190))</f>
        <v>54.093558476478449</v>
      </c>
    </row>
    <row r="191" spans="5:7" ht="15.75" customHeight="1">
      <c r="E191" s="11">
        <f t="shared" si="1"/>
        <v>88</v>
      </c>
      <c r="F191" s="39">
        <f t="shared" si="3"/>
        <v>216.012</v>
      </c>
      <c r="G191" s="118">
        <f>IF([0]!bs_option_type="Call",IF(((F191-Stock-(vba_bs_result/Stock)*Stock))&lt;-(vba_bs_result/Stock)*Stock,-(vba_bs_result/Stock)*Stock,(F191-Stock-(vba_bs_result/Stock)*Stock)*1),IF((Exercise-(vba_bs_result/Stock)*Stock)-F191&lt;-(vba_bs_result/Stock)*Stock,-(vba_bs_result/Stock)*Stock,(Exercise-(vba_bs_result/Stock)*Stock)-F191))</f>
        <v>55.24255847647845</v>
      </c>
    </row>
    <row r="192" spans="5:7" ht="15.75" customHeight="1">
      <c r="E192" s="11">
        <f t="shared" si="1"/>
        <v>89</v>
      </c>
      <c r="F192" s="39">
        <f t="shared" si="3"/>
        <v>217.161</v>
      </c>
      <c r="G192" s="118">
        <f>IF([0]!bs_option_type="Call",IF(((F192-Stock-(vba_bs_result/Stock)*Stock))&lt;-(vba_bs_result/Stock)*Stock,-(vba_bs_result/Stock)*Stock,(F192-Stock-(vba_bs_result/Stock)*Stock)*1),IF((Exercise-(vba_bs_result/Stock)*Stock)-F192&lt;-(vba_bs_result/Stock)*Stock,-(vba_bs_result/Stock)*Stock,(Exercise-(vba_bs_result/Stock)*Stock)-F192))</f>
        <v>56.391558476478451</v>
      </c>
    </row>
    <row r="193" spans="5:7" ht="15.75" customHeight="1">
      <c r="E193" s="11">
        <f t="shared" si="1"/>
        <v>90</v>
      </c>
      <c r="F193" s="39">
        <f t="shared" si="3"/>
        <v>218.31</v>
      </c>
      <c r="G193" s="118">
        <f>IF([0]!bs_option_type="Call",IF(((F193-Stock-(vba_bs_result/Stock)*Stock))&lt;-(vba_bs_result/Stock)*Stock,-(vba_bs_result/Stock)*Stock,(F193-Stock-(vba_bs_result/Stock)*Stock)*1),IF((Exercise-(vba_bs_result/Stock)*Stock)-F193&lt;-(vba_bs_result/Stock)*Stock,-(vba_bs_result/Stock)*Stock,(Exercise-(vba_bs_result/Stock)*Stock)-F193))</f>
        <v>57.540558476478452</v>
      </c>
    </row>
    <row r="194" spans="5:7" ht="15.75" customHeight="1">
      <c r="E194" s="11">
        <f t="shared" si="1"/>
        <v>91</v>
      </c>
      <c r="F194" s="39">
        <f t="shared" si="3"/>
        <v>219.459</v>
      </c>
      <c r="G194" s="118">
        <f>IF([0]!bs_option_type="Call",IF(((F194-Stock-(vba_bs_result/Stock)*Stock))&lt;-(vba_bs_result/Stock)*Stock,-(vba_bs_result/Stock)*Stock,(F194-Stock-(vba_bs_result/Stock)*Stock)*1),IF((Exercise-(vba_bs_result/Stock)*Stock)-F194&lt;-(vba_bs_result/Stock)*Stock,-(vba_bs_result/Stock)*Stock,(Exercise-(vba_bs_result/Stock)*Stock)-F194))</f>
        <v>58.689558476478453</v>
      </c>
    </row>
    <row r="195" spans="5:7" ht="15.75" customHeight="1">
      <c r="E195" s="11">
        <f t="shared" si="1"/>
        <v>92</v>
      </c>
      <c r="F195" s="39">
        <f t="shared" ref="F195:F203" si="4">Stock+(E195/100)*Stock</f>
        <v>220.608</v>
      </c>
      <c r="G195" s="118">
        <f>IF([0]!bs_option_type="Call",IF(((F195-Stock-(vba_bs_result/Stock)*Stock))&lt;-(vba_bs_result/Stock)*Stock,-(vba_bs_result/Stock)*Stock,(F195-Stock-(vba_bs_result/Stock)*Stock)*1),IF((Exercise-(vba_bs_result/Stock)*Stock)-F195&lt;-(vba_bs_result/Stock)*Stock,-(vba_bs_result/Stock)*Stock,(Exercise-(vba_bs_result/Stock)*Stock)-F195))</f>
        <v>59.838558476478454</v>
      </c>
    </row>
    <row r="196" spans="5:7" ht="15.75" customHeight="1">
      <c r="E196" s="11">
        <f t="shared" si="1"/>
        <v>93</v>
      </c>
      <c r="F196" s="39">
        <f t="shared" si="4"/>
        <v>221.75700000000001</v>
      </c>
      <c r="G196" s="118">
        <f>IF([0]!bs_option_type="Call",IF(((F196-Stock-(vba_bs_result/Stock)*Stock))&lt;-(vba_bs_result/Stock)*Stock,-(vba_bs_result/Stock)*Stock,(F196-Stock-(vba_bs_result/Stock)*Stock)*1),IF((Exercise-(vba_bs_result/Stock)*Stock)-F196&lt;-(vba_bs_result/Stock)*Stock,-(vba_bs_result/Stock)*Stock,(Exercise-(vba_bs_result/Stock)*Stock)-F196))</f>
        <v>60.987558476478455</v>
      </c>
    </row>
    <row r="197" spans="5:7" ht="15.75" customHeight="1">
      <c r="E197" s="11">
        <f t="shared" si="1"/>
        <v>94</v>
      </c>
      <c r="F197" s="39">
        <f t="shared" si="4"/>
        <v>222.90600000000001</v>
      </c>
      <c r="G197" s="118">
        <f>IF([0]!bs_option_type="Call",IF(((F197-Stock-(vba_bs_result/Stock)*Stock))&lt;-(vba_bs_result/Stock)*Stock,-(vba_bs_result/Stock)*Stock,(F197-Stock-(vba_bs_result/Stock)*Stock)*1),IF((Exercise-(vba_bs_result/Stock)*Stock)-F197&lt;-(vba_bs_result/Stock)*Stock,-(vba_bs_result/Stock)*Stock,(Exercise-(vba_bs_result/Stock)*Stock)-F197))</f>
        <v>62.136558476478456</v>
      </c>
    </row>
    <row r="198" spans="5:7" ht="15.75" customHeight="1">
      <c r="E198" s="11">
        <f t="shared" si="1"/>
        <v>95</v>
      </c>
      <c r="F198" s="39">
        <f t="shared" si="4"/>
        <v>224.05500000000001</v>
      </c>
      <c r="G198" s="118">
        <f>IF([0]!bs_option_type="Call",IF(((F198-Stock-(vba_bs_result/Stock)*Stock))&lt;-(vba_bs_result/Stock)*Stock,-(vba_bs_result/Stock)*Stock,(F198-Stock-(vba_bs_result/Stock)*Stock)*1),IF((Exercise-(vba_bs_result/Stock)*Stock)-F198&lt;-(vba_bs_result/Stock)*Stock,-(vba_bs_result/Stock)*Stock,(Exercise-(vba_bs_result/Stock)*Stock)-F198))</f>
        <v>63.285558476478457</v>
      </c>
    </row>
    <row r="199" spans="5:7" ht="15.75" customHeight="1">
      <c r="E199" s="11">
        <f t="shared" si="1"/>
        <v>96</v>
      </c>
      <c r="F199" s="39">
        <f t="shared" si="4"/>
        <v>225.20400000000001</v>
      </c>
      <c r="G199" s="118">
        <f>IF([0]!bs_option_type="Call",IF(((F199-Stock-(vba_bs_result/Stock)*Stock))&lt;-(vba_bs_result/Stock)*Stock,-(vba_bs_result/Stock)*Stock,(F199-Stock-(vba_bs_result/Stock)*Stock)*1),IF((Exercise-(vba_bs_result/Stock)*Stock)-F199&lt;-(vba_bs_result/Stock)*Stock,-(vba_bs_result/Stock)*Stock,(Exercise-(vba_bs_result/Stock)*Stock)-F199))</f>
        <v>64.434558476478458</v>
      </c>
    </row>
    <row r="200" spans="5:7" ht="15.75" customHeight="1">
      <c r="E200" s="11">
        <f t="shared" si="1"/>
        <v>97</v>
      </c>
      <c r="F200" s="39">
        <f t="shared" si="4"/>
        <v>226.35300000000001</v>
      </c>
      <c r="G200" s="118">
        <f>IF([0]!bs_option_type="Call",IF(((F200-Stock-(vba_bs_result/Stock)*Stock))&lt;-(vba_bs_result/Stock)*Stock,-(vba_bs_result/Stock)*Stock,(F200-Stock-(vba_bs_result/Stock)*Stock)*1),IF((Exercise-(vba_bs_result/Stock)*Stock)-F200&lt;-(vba_bs_result/Stock)*Stock,-(vba_bs_result/Stock)*Stock,(Exercise-(vba_bs_result/Stock)*Stock)-F200))</f>
        <v>65.583558476478458</v>
      </c>
    </row>
    <row r="201" spans="5:7" ht="15.75" customHeight="1">
      <c r="E201" s="11">
        <f t="shared" si="1"/>
        <v>98</v>
      </c>
      <c r="F201" s="39">
        <f t="shared" si="4"/>
        <v>227.50200000000001</v>
      </c>
      <c r="G201" s="118">
        <f>IF([0]!bs_option_type="Call",IF(((F201-Stock-(vba_bs_result/Stock)*Stock))&lt;-(vba_bs_result/Stock)*Stock,-(vba_bs_result/Stock)*Stock,(F201-Stock-(vba_bs_result/Stock)*Stock)*1),IF((Exercise-(vba_bs_result/Stock)*Stock)-F201&lt;-(vba_bs_result/Stock)*Stock,-(vba_bs_result/Stock)*Stock,(Exercise-(vba_bs_result/Stock)*Stock)-F201))</f>
        <v>66.732558476478459</v>
      </c>
    </row>
    <row r="202" spans="5:7" ht="15.75" customHeight="1">
      <c r="E202" s="11">
        <f t="shared" si="1"/>
        <v>99</v>
      </c>
      <c r="F202" s="39">
        <f t="shared" si="4"/>
        <v>228.65100000000001</v>
      </c>
      <c r="G202" s="118">
        <f>IF([0]!bs_option_type="Call",IF(((F202-Stock-(vba_bs_result/Stock)*Stock))&lt;-(vba_bs_result/Stock)*Stock,-(vba_bs_result/Stock)*Stock,(F202-Stock-(vba_bs_result/Stock)*Stock)*1),IF((Exercise-(vba_bs_result/Stock)*Stock)-F202&lt;-(vba_bs_result/Stock)*Stock,-(vba_bs_result/Stock)*Stock,(Exercise-(vba_bs_result/Stock)*Stock)-F202))</f>
        <v>67.88155847647846</v>
      </c>
    </row>
    <row r="203" spans="5:7" ht="15.75" customHeight="1">
      <c r="E203" s="11">
        <f t="shared" si="1"/>
        <v>100</v>
      </c>
      <c r="F203" s="39">
        <f t="shared" si="4"/>
        <v>229.8</v>
      </c>
      <c r="G203" s="118">
        <f>IF([0]!bs_option_type="Call",IF(((F203-Stock-(vba_bs_result/Stock)*Stock))&lt;-(vba_bs_result/Stock)*Stock,-(vba_bs_result/Stock)*Stock,(F203-Stock-(vba_bs_result/Stock)*Stock)*1),IF((Exercise-(vba_bs_result/Stock)*Stock)-F203&lt;-(vba_bs_result/Stock)*Stock,-(vba_bs_result/Stock)*Stock,(Exercise-(vba_bs_result/Stock)*Stock)-F203))</f>
        <v>69.030558476478461</v>
      </c>
    </row>
    <row r="204" spans="5:7" ht="15.75" customHeight="1"/>
    <row r="205" spans="5:7" ht="15.75" customHeight="1"/>
    <row r="206" spans="5:7" ht="15.75" customHeight="1"/>
    <row r="207" spans="5:7" ht="15.75" customHeight="1"/>
    <row r="208" spans="5:7"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10</vt:i4>
      </vt:variant>
      <vt:variant>
        <vt:lpstr>Plages nommées</vt:lpstr>
      </vt:variant>
      <vt:variant>
        <vt:i4>30</vt:i4>
      </vt:variant>
    </vt:vector>
  </HeadingPairs>
  <TitlesOfParts>
    <vt:vector size="40" baseType="lpstr">
      <vt:lpstr>ReadMe</vt:lpstr>
      <vt:lpstr>ReadMe_old</vt:lpstr>
      <vt:lpstr>Inputs</vt:lpstr>
      <vt:lpstr>BinomialModel</vt:lpstr>
      <vt:lpstr>BinomialModel_VBA</vt:lpstr>
      <vt:lpstr>MC</vt:lpstr>
      <vt:lpstr>Black&amp;Scholes</vt:lpstr>
      <vt:lpstr>Airbus - Market Data</vt:lpstr>
      <vt:lpstr>Current Market Data</vt:lpstr>
      <vt:lpstr>Aux</vt:lpstr>
      <vt:lpstr>average_price</vt:lpstr>
      <vt:lpstr>bs_option_type</vt:lpstr>
      <vt:lpstr>d_1</vt:lpstr>
      <vt:lpstr>d_2</vt:lpstr>
      <vt:lpstr>dividend_rate</vt:lpstr>
      <vt:lpstr>down_factor</vt:lpstr>
      <vt:lpstr>Inputs!Exercise</vt:lpstr>
      <vt:lpstr>Exercise</vt:lpstr>
      <vt:lpstr>Inputs!expected_return</vt:lpstr>
      <vt:lpstr>expected_return</vt:lpstr>
      <vt:lpstr>BinomialModel!hedge_ratio</vt:lpstr>
      <vt:lpstr>n_periods</vt:lpstr>
      <vt:lpstr>Nd_1</vt:lpstr>
      <vt:lpstr>Nd_2</vt:lpstr>
      <vt:lpstr>Nminusd_1</vt:lpstr>
      <vt:lpstr>Nminusd_2</vt:lpstr>
      <vt:lpstr>option_cat</vt:lpstr>
      <vt:lpstr>Inputs!Rate</vt:lpstr>
      <vt:lpstr>Rate</vt:lpstr>
      <vt:lpstr>RefSymbol</vt:lpstr>
      <vt:lpstr>Risk_Neutral_Pb</vt:lpstr>
      <vt:lpstr>Inputs!Sigma</vt:lpstr>
      <vt:lpstr>Sigma</vt:lpstr>
      <vt:lpstr>Inputs!Stock</vt:lpstr>
      <vt:lpstr>Stock</vt:lpstr>
      <vt:lpstr>Inputs!Time</vt:lpstr>
      <vt:lpstr>Time</vt:lpstr>
      <vt:lpstr>trading_date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Ilyès</cp:lastModifiedBy>
  <dcterms:created xsi:type="dcterms:W3CDTF">2021-10-14T12:19:46Z</dcterms:created>
  <dcterms:modified xsi:type="dcterms:W3CDTF">2021-11-16T22:34:29Z</dcterms:modified>
</cp:coreProperties>
</file>