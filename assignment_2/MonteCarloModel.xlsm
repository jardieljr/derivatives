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ardieljunior/Desktop/projects/derivatives/assignment_2/"/>
    </mc:Choice>
  </mc:AlternateContent>
  <xr:revisionPtr revIDLastSave="0" documentId="8_{972FAB02-CF94-2544-A19F-6EB92EB33314}" xr6:coauthVersionLast="47" xr6:coauthVersionMax="47" xr10:uidLastSave="{00000000-0000-0000-0000-000000000000}"/>
  <bookViews>
    <workbookView xWindow="380" yWindow="460" windowWidth="28040" windowHeight="16520" xr2:uid="{0DE2D4DA-4B20-994B-A81B-B66934311463}"/>
  </bookViews>
  <sheets>
    <sheet name="Inputs" sheetId="1" r:id="rId1"/>
  </sheets>
  <definedNames>
    <definedName name="dividend_rate">Inputs!$B$5</definedName>
    <definedName name="down_factor">Inputs!$E$6</definedName>
    <definedName name="expected_return">Inputs!$B$6</definedName>
    <definedName name="h">Inputs!$E$3</definedName>
    <definedName name="maturity">Inputs!$B$8</definedName>
    <definedName name="n">Inputs!$E$4</definedName>
    <definedName name="price">Inputs!$B$3</definedName>
    <definedName name="risk_free">Inputs!$B$7</definedName>
    <definedName name="up_factor">Inputs!$E$5</definedName>
    <definedName name="volatility">Inputs!$B$4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" i="1" l="1"/>
  <c r="E5" i="1" l="1"/>
  <c r="E6" i="1"/>
  <c r="B12" i="1" s="1"/>
</calcChain>
</file>

<file path=xl/sharedStrings.xml><?xml version="1.0" encoding="utf-8"?>
<sst xmlns="http://schemas.openxmlformats.org/spreadsheetml/2006/main" count="15" uniqueCount="15">
  <si>
    <t>Price</t>
  </si>
  <si>
    <t>Volatility</t>
  </si>
  <si>
    <t>Dividend Rate</t>
  </si>
  <si>
    <t>Risk Free Rate</t>
  </si>
  <si>
    <t>Expected Return</t>
  </si>
  <si>
    <t>Maturity (year ratio)</t>
  </si>
  <si>
    <t>Binomial Model - Parameters</t>
  </si>
  <si>
    <t>h (days)</t>
  </si>
  <si>
    <t>n (days)</t>
  </si>
  <si>
    <t>Fixed Strike - averaged price is used in place of strike</t>
  </si>
  <si>
    <t>Asian Option Parameters - Stock ABC</t>
  </si>
  <si>
    <t>average of the strike price during the lifetime of the option</t>
  </si>
  <si>
    <t>q</t>
  </si>
  <si>
    <t>Up-Factor (per step)</t>
  </si>
  <si>
    <t>Down-Factor (per step)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</si>
</sst>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0" fontId="0" fillId="0" borderId="1" xfId="0" applyBorder="1"/>
    <xf numFmtId="164" fontId="0" fillId="0" borderId="1" xfId="0" applyNumberFormat="1" applyBorder="1"/>
    <xf numFmtId="9" fontId="0" fillId="0" borderId="1" xfId="0" applyNumberFormat="1" applyBorder="1"/>
    <xf numFmtId="0" fontId="0" fillId="0" borderId="1" xfId="0" quotePrefix="1" applyBorder="1"/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01726-9700-B342-9240-91A9D6E38D2B}">
  <sheetPr codeName="Sheet1"/>
  <dimension ref="A1:E12"/>
  <sheetViews>
    <sheetView tabSelected="1" workbookViewId="0">
      <selection activeCell="D10" sqref="D10"/>
    </sheetView>
  </sheetViews>
  <sheetFormatPr baseColWidth="10" defaultRowHeight="16" x14ac:dyDescent="0.2"/>
  <cols>
    <col min="1" max="1" width="25.6640625" customWidth="1"/>
    <col min="2" max="2" width="8.5" customWidth="1"/>
    <col min="4" max="4" width="20.33203125" customWidth="1"/>
    <col min="5" max="5" width="14" customWidth="1"/>
  </cols>
  <sheetData>
    <row r="1" spans="1:5" x14ac:dyDescent="0.2">
      <c r="D1" t="s">
        <v>9</v>
      </c>
    </row>
    <row r="2" spans="1:5" x14ac:dyDescent="0.2">
      <c r="A2" s="6" t="s">
        <v>10</v>
      </c>
      <c r="B2" s="6"/>
      <c r="D2" s="6" t="s">
        <v>6</v>
      </c>
      <c r="E2" s="6"/>
    </row>
    <row r="3" spans="1:5" x14ac:dyDescent="0.2">
      <c r="A3" s="2" t="s">
        <v>0</v>
      </c>
      <c r="B3" s="2">
        <v>100</v>
      </c>
      <c r="D3" s="2" t="s">
        <v>7</v>
      </c>
      <c r="E3" s="2">
        <v>1</v>
      </c>
    </row>
    <row r="4" spans="1:5" x14ac:dyDescent="0.2">
      <c r="A4" s="2" t="s">
        <v>1</v>
      </c>
      <c r="B4" s="4">
        <v>0.2</v>
      </c>
      <c r="D4" s="2" t="s">
        <v>8</v>
      </c>
      <c r="E4" s="2">
        <v>30</v>
      </c>
    </row>
    <row r="5" spans="1:5" x14ac:dyDescent="0.2">
      <c r="A5" s="2" t="s">
        <v>2</v>
      </c>
      <c r="B5" s="4">
        <v>0.03</v>
      </c>
      <c r="D5" s="2" t="s">
        <v>13</v>
      </c>
      <c r="E5" s="3">
        <f>EXP(volatility*SQRT(maturity/E4))</f>
        <v>1.0105966768072645</v>
      </c>
    </row>
    <row r="6" spans="1:5" x14ac:dyDescent="0.2">
      <c r="A6" s="5" t="s">
        <v>4</v>
      </c>
      <c r="B6" s="4">
        <v>0.1</v>
      </c>
      <c r="D6" s="2" t="s">
        <v>14</v>
      </c>
      <c r="E6" s="3">
        <f>EXP(-volatility*SQRT(maturity/n))</f>
        <v>0.98951443533265704</v>
      </c>
    </row>
    <row r="7" spans="1:5" x14ac:dyDescent="0.2">
      <c r="A7" s="2" t="s">
        <v>3</v>
      </c>
      <c r="B7" s="4">
        <v>0.01</v>
      </c>
    </row>
    <row r="8" spans="1:5" x14ac:dyDescent="0.2">
      <c r="A8" s="2" t="s">
        <v>5</v>
      </c>
      <c r="B8" s="3">
        <f>1/12</f>
        <v>8.3333333333333329E-2</v>
      </c>
    </row>
    <row r="10" spans="1:5" x14ac:dyDescent="0.2">
      <c r="A10" t="s">
        <v>11</v>
      </c>
    </row>
    <row r="12" spans="1:5" x14ac:dyDescent="0.2">
      <c r="A12" t="s">
        <v>12</v>
      </c>
      <c r="B12" s="1">
        <f>(EXP(risk_free*(h/E4))-down_factor)/(up_factor-down_factor)</f>
        <v>0.51317852399310371</v>
      </c>
    </row>
  </sheetData>
  <mergeCells count="2">
    <mergeCell ref="A2:B2"/>
    <mergeCell ref="D2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10</vt:i4>
      </vt:variant>
    </vt:vector>
  </HeadingPairs>
  <TitlesOfParts>
    <vt:vector size="11" baseType="lpstr">
      <vt:lpstr>Inputs</vt:lpstr>
      <vt:lpstr>dividend_rate</vt:lpstr>
      <vt:lpstr>down_factor</vt:lpstr>
      <vt:lpstr>expected_return</vt:lpstr>
      <vt:lpstr>h</vt:lpstr>
      <vt:lpstr>maturity</vt:lpstr>
      <vt:lpstr>n</vt:lpstr>
      <vt:lpstr>price</vt:lpstr>
      <vt:lpstr>risk_free</vt:lpstr>
      <vt:lpstr>up_factor</vt:lpstr>
      <vt:lpstr>volatility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Jardiel Júnior</dc:creator>
  <cp:lastModifiedBy>Jardiel Júnior</cp:lastModifiedBy>
  <dcterms:created xsi:type="dcterms:W3CDTF">2021-11-04T11:41:17Z</dcterms:created>
  <dcterms:modified xsi:type="dcterms:W3CDTF">2021-11-10T13:13:22Z</dcterms:modified>
</cp:coreProperties>
</file>